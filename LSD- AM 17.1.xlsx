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csf\Desktop\"/>
    </mc:Choice>
  </mc:AlternateContent>
  <xr:revisionPtr revIDLastSave="0" documentId="13_ncr:1_{54FD4171-039D-4D59-8AAA-B95A3C14AB8D}" xr6:coauthVersionLast="47" xr6:coauthVersionMax="47" xr10:uidLastSave="{00000000-0000-0000-0000-000000000000}"/>
  <bookViews>
    <workbookView xWindow="-120" yWindow="-120" windowWidth="29040" windowHeight="15720" tabRatio="833" xr2:uid="{00000000-000D-0000-FFFF-FFFF00000000}"/>
  </bookViews>
  <sheets>
    <sheet name="TN" sheetId="21" r:id="rId1"/>
    <sheet name="TCm" sheetId="23" r:id="rId2"/>
  </sheets>
  <definedNames>
    <definedName name="_xlnm._FilterDatabase" localSheetId="1" hidden="1">TCm!$B$1:$CO$361</definedName>
    <definedName name="_xlnm._FilterDatabase" localSheetId="0" hidden="1">TN!$B$6:$H$797</definedName>
    <definedName name="_xlnm.Print_Area" localSheetId="1">TCm!$B$2:$BG$104</definedName>
    <definedName name="_xlnm.Print_Area" localSheetId="0">TN!$B$2:$H$797</definedName>
    <definedName name="_xlnm.Print_Titles" localSheetId="1">TCm!$5:$5</definedName>
    <definedName name="_xlnm.Print_Titles" localSheetId="0">TN!$5:$5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6" i="21" l="1"/>
  <c r="G157" i="21"/>
  <c r="G155" i="21"/>
  <c r="G141" i="21"/>
  <c r="G142" i="21"/>
  <c r="G143" i="21"/>
  <c r="G144" i="21"/>
  <c r="G140" i="21"/>
  <c r="G122" i="21" l="1"/>
  <c r="G121" i="21"/>
  <c r="AH184" i="23"/>
  <c r="AH183" i="23"/>
  <c r="AH182" i="23"/>
  <c r="AH187" i="23"/>
  <c r="AH188" i="23"/>
  <c r="AH186" i="23"/>
  <c r="AI276" i="23" l="1"/>
  <c r="AI273" i="23"/>
  <c r="AI274" i="23"/>
  <c r="AI275" i="23"/>
  <c r="AI277" i="23"/>
  <c r="AI278" i="23"/>
  <c r="AI279" i="23"/>
  <c r="AI280" i="23"/>
  <c r="AI281" i="23"/>
  <c r="AI282" i="23"/>
  <c r="AI283" i="23"/>
  <c r="AH265" i="23" l="1"/>
  <c r="AH193" i="23"/>
  <c r="AH195" i="23"/>
  <c r="AH288" i="23"/>
  <c r="AH289" i="23"/>
  <c r="AH290" i="23"/>
  <c r="AH293" i="23"/>
  <c r="AH296" i="23"/>
  <c r="AH297" i="23"/>
  <c r="AH298" i="23"/>
  <c r="AH299" i="23"/>
  <c r="AH300" i="23"/>
  <c r="AH302" i="23"/>
  <c r="AH303" i="23"/>
  <c r="AH287" i="23"/>
  <c r="AH196" i="23" l="1"/>
  <c r="AH191" i="23"/>
  <c r="AH190" i="23"/>
  <c r="CG125" i="23"/>
  <c r="CG120" i="23"/>
  <c r="P269" i="23"/>
  <c r="AB223" i="23" l="1"/>
  <c r="AB224" i="23"/>
  <c r="AB225" i="23"/>
  <c r="AB226" i="23"/>
  <c r="AB227" i="23"/>
  <c r="AB228" i="23"/>
  <c r="AB229" i="23"/>
  <c r="AB230" i="23"/>
  <c r="AB231" i="23"/>
  <c r="AB232" i="23"/>
  <c r="AB233" i="23"/>
  <c r="AB234" i="23"/>
  <c r="AB235" i="23"/>
  <c r="AB236" i="23"/>
  <c r="AB237" i="23"/>
  <c r="AB238" i="23"/>
  <c r="AB239" i="23"/>
  <c r="AB240" i="23"/>
  <c r="AB241" i="23"/>
  <c r="AB242" i="23"/>
  <c r="AB243" i="23"/>
  <c r="AB244" i="23"/>
  <c r="AB245" i="23"/>
  <c r="AB246" i="23"/>
  <c r="AB247" i="23"/>
  <c r="AB248" i="23"/>
  <c r="AB249" i="23"/>
  <c r="AB250" i="23"/>
  <c r="AB251" i="23"/>
  <c r="AB252" i="23"/>
  <c r="AB253" i="23"/>
  <c r="AB254" i="23"/>
  <c r="AB255" i="23"/>
  <c r="AB256" i="23"/>
  <c r="AB257" i="23"/>
  <c r="AB258" i="23"/>
  <c r="AB259" i="23"/>
  <c r="AB260" i="23"/>
  <c r="AB261" i="23"/>
  <c r="AB262" i="23"/>
  <c r="AB263" i="23"/>
  <c r="AB264" i="23"/>
  <c r="BI306" i="23" l="1"/>
  <c r="BJ306" i="23"/>
  <c r="BK306" i="23"/>
  <c r="BL306" i="23"/>
  <c r="BM306" i="23"/>
  <c r="BN306" i="23"/>
  <c r="BO306" i="23"/>
  <c r="BP306" i="23"/>
  <c r="BQ306" i="23"/>
  <c r="BR306" i="23"/>
  <c r="BS306" i="23"/>
  <c r="BT306" i="23"/>
  <c r="BU306" i="23"/>
  <c r="BV306" i="23"/>
  <c r="BW306" i="23"/>
  <c r="BX306" i="23"/>
  <c r="BY306" i="23"/>
  <c r="BZ306" i="23"/>
  <c r="CA306" i="23"/>
  <c r="CB306" i="23"/>
  <c r="CC306" i="23"/>
  <c r="CD306" i="23"/>
  <c r="CE306" i="23"/>
  <c r="CF306" i="23"/>
  <c r="BI307" i="23"/>
  <c r="BJ307" i="23"/>
  <c r="BK307" i="23"/>
  <c r="BL307" i="23"/>
  <c r="BM307" i="23"/>
  <c r="BN307" i="23"/>
  <c r="BO307" i="23"/>
  <c r="BP307" i="23"/>
  <c r="BQ307" i="23"/>
  <c r="BR307" i="23"/>
  <c r="BS307" i="23"/>
  <c r="BT307" i="23"/>
  <c r="BU307" i="23"/>
  <c r="BV307" i="23"/>
  <c r="BW307" i="23"/>
  <c r="BX307" i="23"/>
  <c r="BY307" i="23"/>
  <c r="BZ307" i="23"/>
  <c r="CA307" i="23"/>
  <c r="CB307" i="23"/>
  <c r="CC307" i="23"/>
  <c r="CD307" i="23"/>
  <c r="CE307" i="23"/>
  <c r="CF307" i="23"/>
  <c r="BI308" i="23"/>
  <c r="BJ308" i="23"/>
  <c r="BK308" i="23"/>
  <c r="BL308" i="23"/>
  <c r="BM308" i="23"/>
  <c r="BN308" i="23"/>
  <c r="BO308" i="23"/>
  <c r="BP308" i="23"/>
  <c r="BQ308" i="23"/>
  <c r="BR308" i="23"/>
  <c r="BS308" i="23"/>
  <c r="BT308" i="23"/>
  <c r="BU308" i="23"/>
  <c r="BV308" i="23"/>
  <c r="BW308" i="23"/>
  <c r="BX308" i="23"/>
  <c r="BY308" i="23"/>
  <c r="BZ308" i="23"/>
  <c r="CA308" i="23"/>
  <c r="CB308" i="23"/>
  <c r="CC308" i="23"/>
  <c r="CD308" i="23"/>
  <c r="CE308" i="23"/>
  <c r="CF308" i="23"/>
  <c r="BI309" i="23"/>
  <c r="BJ309" i="23"/>
  <c r="BK309" i="23"/>
  <c r="BL309" i="23"/>
  <c r="BM309" i="23"/>
  <c r="BN309" i="23"/>
  <c r="BO309" i="23"/>
  <c r="BP309" i="23"/>
  <c r="BQ309" i="23"/>
  <c r="BR309" i="23"/>
  <c r="BS309" i="23"/>
  <c r="BT309" i="23"/>
  <c r="BU309" i="23"/>
  <c r="BV309" i="23"/>
  <c r="BW309" i="23"/>
  <c r="BX309" i="23"/>
  <c r="BY309" i="23"/>
  <c r="BZ309" i="23"/>
  <c r="CA309" i="23"/>
  <c r="CB309" i="23"/>
  <c r="CC309" i="23"/>
  <c r="CD309" i="23"/>
  <c r="CE309" i="23"/>
  <c r="CF309" i="23"/>
  <c r="BI310" i="23"/>
  <c r="BJ310" i="23"/>
  <c r="BK310" i="23"/>
  <c r="BL310" i="23"/>
  <c r="BM310" i="23"/>
  <c r="BN310" i="23"/>
  <c r="BO310" i="23"/>
  <c r="BP310" i="23"/>
  <c r="BQ310" i="23"/>
  <c r="BR310" i="23"/>
  <c r="BS310" i="23"/>
  <c r="BT310" i="23"/>
  <c r="BU310" i="23"/>
  <c r="BV310" i="23"/>
  <c r="BW310" i="23"/>
  <c r="BX310" i="23"/>
  <c r="BY310" i="23"/>
  <c r="BZ310" i="23"/>
  <c r="CA310" i="23"/>
  <c r="CB310" i="23"/>
  <c r="CC310" i="23"/>
  <c r="CD310" i="23"/>
  <c r="CE310" i="23"/>
  <c r="CF310" i="23"/>
  <c r="BI311" i="23"/>
  <c r="BJ311" i="23"/>
  <c r="BK311" i="23"/>
  <c r="BL311" i="23"/>
  <c r="BM311" i="23"/>
  <c r="BN311" i="23"/>
  <c r="BO311" i="23"/>
  <c r="BP311" i="23"/>
  <c r="BQ311" i="23"/>
  <c r="BR311" i="23"/>
  <c r="BS311" i="23"/>
  <c r="BT311" i="23"/>
  <c r="BU311" i="23"/>
  <c r="BV311" i="23"/>
  <c r="BW311" i="23"/>
  <c r="BX311" i="23"/>
  <c r="BY311" i="23"/>
  <c r="BZ311" i="23"/>
  <c r="CA311" i="23"/>
  <c r="CB311" i="23"/>
  <c r="CC311" i="23"/>
  <c r="CD311" i="23"/>
  <c r="CE311" i="23"/>
  <c r="CF311" i="23"/>
  <c r="BI312" i="23"/>
  <c r="BJ312" i="23"/>
  <c r="BK312" i="23"/>
  <c r="BL312" i="23"/>
  <c r="BM312" i="23"/>
  <c r="BN312" i="23"/>
  <c r="BO312" i="23"/>
  <c r="BP312" i="23"/>
  <c r="BQ312" i="23"/>
  <c r="BR312" i="23"/>
  <c r="BS312" i="23"/>
  <c r="BT312" i="23"/>
  <c r="BU312" i="23"/>
  <c r="BV312" i="23"/>
  <c r="BW312" i="23"/>
  <c r="BX312" i="23"/>
  <c r="BY312" i="23"/>
  <c r="BZ312" i="23"/>
  <c r="CA312" i="23"/>
  <c r="CB312" i="23"/>
  <c r="CC312" i="23"/>
  <c r="CD312" i="23"/>
  <c r="CE312" i="23"/>
  <c r="CF312" i="23"/>
  <c r="BI313" i="23"/>
  <c r="BJ313" i="23"/>
  <c r="BK313" i="23"/>
  <c r="BL313" i="23"/>
  <c r="BM313" i="23"/>
  <c r="BN313" i="23"/>
  <c r="BO313" i="23"/>
  <c r="BP313" i="23"/>
  <c r="BQ313" i="23"/>
  <c r="BR313" i="23"/>
  <c r="BS313" i="23"/>
  <c r="BT313" i="23"/>
  <c r="BU313" i="23"/>
  <c r="BV313" i="23"/>
  <c r="BW313" i="23"/>
  <c r="BX313" i="23"/>
  <c r="BY313" i="23"/>
  <c r="BZ313" i="23"/>
  <c r="CA313" i="23"/>
  <c r="CB313" i="23"/>
  <c r="CC313" i="23"/>
  <c r="CD313" i="23"/>
  <c r="CE313" i="23"/>
  <c r="CF313" i="23"/>
  <c r="BI314" i="23"/>
  <c r="BJ314" i="23"/>
  <c r="BK314" i="23"/>
  <c r="BL314" i="23"/>
  <c r="BM314" i="23"/>
  <c r="BN314" i="23"/>
  <c r="BO314" i="23"/>
  <c r="BP314" i="23"/>
  <c r="BQ314" i="23"/>
  <c r="BR314" i="23"/>
  <c r="BS314" i="23"/>
  <c r="BT314" i="23"/>
  <c r="BU314" i="23"/>
  <c r="BV314" i="23"/>
  <c r="BW314" i="23"/>
  <c r="BX314" i="23"/>
  <c r="BY314" i="23"/>
  <c r="BZ314" i="23"/>
  <c r="CA314" i="23"/>
  <c r="CB314" i="23"/>
  <c r="CC314" i="23"/>
  <c r="CD314" i="23"/>
  <c r="CE314" i="23"/>
  <c r="CF314" i="23"/>
  <c r="BI315" i="23"/>
  <c r="BJ315" i="23"/>
  <c r="BK315" i="23"/>
  <c r="BL315" i="23"/>
  <c r="BM315" i="23"/>
  <c r="BN315" i="23"/>
  <c r="BO315" i="23"/>
  <c r="BP315" i="23"/>
  <c r="BQ315" i="23"/>
  <c r="BR315" i="23"/>
  <c r="BS315" i="23"/>
  <c r="BT315" i="23"/>
  <c r="BU315" i="23"/>
  <c r="BV315" i="23"/>
  <c r="BW315" i="23"/>
  <c r="BX315" i="23"/>
  <c r="BY315" i="23"/>
  <c r="BZ315" i="23"/>
  <c r="CA315" i="23"/>
  <c r="CB315" i="23"/>
  <c r="CC315" i="23"/>
  <c r="CD315" i="23"/>
  <c r="CE315" i="23"/>
  <c r="CF315" i="23"/>
  <c r="BI316" i="23"/>
  <c r="BJ316" i="23"/>
  <c r="BK316" i="23"/>
  <c r="BL316" i="23"/>
  <c r="BM316" i="23"/>
  <c r="BN316" i="23"/>
  <c r="BO316" i="23"/>
  <c r="BP316" i="23"/>
  <c r="BQ316" i="23"/>
  <c r="BR316" i="23"/>
  <c r="BS316" i="23"/>
  <c r="BT316" i="23"/>
  <c r="BU316" i="23"/>
  <c r="BV316" i="23"/>
  <c r="BW316" i="23"/>
  <c r="BX316" i="23"/>
  <c r="BY316" i="23"/>
  <c r="BZ316" i="23"/>
  <c r="CA316" i="23"/>
  <c r="CB316" i="23"/>
  <c r="CC316" i="23"/>
  <c r="CD316" i="23"/>
  <c r="CE316" i="23"/>
  <c r="CF316" i="23"/>
  <c r="BI317" i="23"/>
  <c r="BJ317" i="23"/>
  <c r="BK317" i="23"/>
  <c r="BL317" i="23"/>
  <c r="BM317" i="23"/>
  <c r="BN317" i="23"/>
  <c r="BO317" i="23"/>
  <c r="BP317" i="23"/>
  <c r="BQ317" i="23"/>
  <c r="BR317" i="23"/>
  <c r="BS317" i="23"/>
  <c r="BT317" i="23"/>
  <c r="BU317" i="23"/>
  <c r="BV317" i="23"/>
  <c r="BW317" i="23"/>
  <c r="BX317" i="23"/>
  <c r="BY317" i="23"/>
  <c r="BZ317" i="23"/>
  <c r="CA317" i="23"/>
  <c r="CB317" i="23"/>
  <c r="CC317" i="23"/>
  <c r="CD317" i="23"/>
  <c r="CE317" i="23"/>
  <c r="CF317" i="23"/>
  <c r="BI318" i="23"/>
  <c r="BJ318" i="23"/>
  <c r="BK318" i="23"/>
  <c r="BL318" i="23"/>
  <c r="BM318" i="23"/>
  <c r="BN318" i="23"/>
  <c r="BO318" i="23"/>
  <c r="BP318" i="23"/>
  <c r="BQ318" i="23"/>
  <c r="BR318" i="23"/>
  <c r="BS318" i="23"/>
  <c r="BT318" i="23"/>
  <c r="BU318" i="23"/>
  <c r="BV318" i="23"/>
  <c r="BW318" i="23"/>
  <c r="BX318" i="23"/>
  <c r="BY318" i="23"/>
  <c r="BZ318" i="23"/>
  <c r="CA318" i="23"/>
  <c r="CB318" i="23"/>
  <c r="CC318" i="23"/>
  <c r="CD318" i="23"/>
  <c r="CE318" i="23"/>
  <c r="CF318" i="23"/>
  <c r="BI319" i="23"/>
  <c r="BJ319" i="23"/>
  <c r="BK319" i="23"/>
  <c r="BL319" i="23"/>
  <c r="BM319" i="23"/>
  <c r="BN319" i="23"/>
  <c r="BO319" i="23"/>
  <c r="BP319" i="23"/>
  <c r="BQ319" i="23"/>
  <c r="BR319" i="23"/>
  <c r="BS319" i="23"/>
  <c r="BT319" i="23"/>
  <c r="BU319" i="23"/>
  <c r="BV319" i="23"/>
  <c r="BW319" i="23"/>
  <c r="BX319" i="23"/>
  <c r="BY319" i="23"/>
  <c r="BZ319" i="23"/>
  <c r="CA319" i="23"/>
  <c r="CB319" i="23"/>
  <c r="CC319" i="23"/>
  <c r="CD319" i="23"/>
  <c r="CE319" i="23"/>
  <c r="CF319" i="23"/>
  <c r="BI320" i="23"/>
  <c r="BJ320" i="23"/>
  <c r="BK320" i="23"/>
  <c r="BL320" i="23"/>
  <c r="BM320" i="23"/>
  <c r="BN320" i="23"/>
  <c r="BO320" i="23"/>
  <c r="BP320" i="23"/>
  <c r="BQ320" i="23"/>
  <c r="BR320" i="23"/>
  <c r="BS320" i="23"/>
  <c r="BT320" i="23"/>
  <c r="BU320" i="23"/>
  <c r="BV320" i="23"/>
  <c r="BW320" i="23"/>
  <c r="BX320" i="23"/>
  <c r="BY320" i="23"/>
  <c r="BZ320" i="23"/>
  <c r="CA320" i="23"/>
  <c r="CB320" i="23"/>
  <c r="CC320" i="23"/>
  <c r="CD320" i="23"/>
  <c r="CE320" i="23"/>
  <c r="CF320" i="23"/>
  <c r="BI321" i="23"/>
  <c r="BJ321" i="23"/>
  <c r="BK321" i="23"/>
  <c r="BL321" i="23"/>
  <c r="BM321" i="23"/>
  <c r="BN321" i="23"/>
  <c r="BO321" i="23"/>
  <c r="BP321" i="23"/>
  <c r="BQ321" i="23"/>
  <c r="BR321" i="23"/>
  <c r="BS321" i="23"/>
  <c r="BT321" i="23"/>
  <c r="BU321" i="23"/>
  <c r="BV321" i="23"/>
  <c r="BW321" i="23"/>
  <c r="BX321" i="23"/>
  <c r="BY321" i="23"/>
  <c r="BZ321" i="23"/>
  <c r="CA321" i="23"/>
  <c r="CB321" i="23"/>
  <c r="CC321" i="23"/>
  <c r="CD321" i="23"/>
  <c r="CE321" i="23"/>
  <c r="CF321" i="23"/>
  <c r="BI322" i="23"/>
  <c r="BJ322" i="23"/>
  <c r="BK322" i="23"/>
  <c r="BL322" i="23"/>
  <c r="BM322" i="23"/>
  <c r="BN322" i="23"/>
  <c r="BO322" i="23"/>
  <c r="BP322" i="23"/>
  <c r="BQ322" i="23"/>
  <c r="BR322" i="23"/>
  <c r="BS322" i="23"/>
  <c r="BT322" i="23"/>
  <c r="BU322" i="23"/>
  <c r="BV322" i="23"/>
  <c r="BW322" i="23"/>
  <c r="BX322" i="23"/>
  <c r="BY322" i="23"/>
  <c r="BZ322" i="23"/>
  <c r="CA322" i="23"/>
  <c r="CB322" i="23"/>
  <c r="CC322" i="23"/>
  <c r="CD322" i="23"/>
  <c r="CE322" i="23"/>
  <c r="CF322" i="23"/>
  <c r="BI323" i="23"/>
  <c r="BJ323" i="23"/>
  <c r="BK323" i="23"/>
  <c r="BL323" i="23"/>
  <c r="BM323" i="23"/>
  <c r="BN323" i="23"/>
  <c r="BO323" i="23"/>
  <c r="BP323" i="23"/>
  <c r="BQ323" i="23"/>
  <c r="BR323" i="23"/>
  <c r="BS323" i="23"/>
  <c r="BT323" i="23"/>
  <c r="BU323" i="23"/>
  <c r="BV323" i="23"/>
  <c r="BW323" i="23"/>
  <c r="BX323" i="23"/>
  <c r="BY323" i="23"/>
  <c r="BZ323" i="23"/>
  <c r="CA323" i="23"/>
  <c r="CB323" i="23"/>
  <c r="CC323" i="23"/>
  <c r="CD323" i="23"/>
  <c r="CE323" i="23"/>
  <c r="CF323" i="23"/>
  <c r="BI324" i="23"/>
  <c r="BJ324" i="23"/>
  <c r="BK324" i="23"/>
  <c r="BL324" i="23"/>
  <c r="BM324" i="23"/>
  <c r="BN324" i="23"/>
  <c r="BO324" i="23"/>
  <c r="BP324" i="23"/>
  <c r="BQ324" i="23"/>
  <c r="BR324" i="23"/>
  <c r="BS324" i="23"/>
  <c r="BT324" i="23"/>
  <c r="BU324" i="23"/>
  <c r="BV324" i="23"/>
  <c r="BW324" i="23"/>
  <c r="BX324" i="23"/>
  <c r="BY324" i="23"/>
  <c r="BZ324" i="23"/>
  <c r="CA324" i="23"/>
  <c r="CB324" i="23"/>
  <c r="CC324" i="23"/>
  <c r="CD324" i="23"/>
  <c r="CE324" i="23"/>
  <c r="CF324" i="23"/>
  <c r="BI325" i="23"/>
  <c r="BJ325" i="23"/>
  <c r="BK325" i="23"/>
  <c r="BL325" i="23"/>
  <c r="BM325" i="23"/>
  <c r="BN325" i="23"/>
  <c r="BO325" i="23"/>
  <c r="BP325" i="23"/>
  <c r="BQ325" i="23"/>
  <c r="BR325" i="23"/>
  <c r="BS325" i="23"/>
  <c r="BT325" i="23"/>
  <c r="BU325" i="23"/>
  <c r="BV325" i="23"/>
  <c r="BW325" i="23"/>
  <c r="BX325" i="23"/>
  <c r="BY325" i="23"/>
  <c r="BZ325" i="23"/>
  <c r="CA325" i="23"/>
  <c r="CB325" i="23"/>
  <c r="CC325" i="23"/>
  <c r="CD325" i="23"/>
  <c r="CE325" i="23"/>
  <c r="CF325" i="23"/>
  <c r="BI326" i="23"/>
  <c r="BJ326" i="23"/>
  <c r="BK326" i="23"/>
  <c r="BL326" i="23"/>
  <c r="BM326" i="23"/>
  <c r="BN326" i="23"/>
  <c r="BO326" i="23"/>
  <c r="BP326" i="23"/>
  <c r="BQ326" i="23"/>
  <c r="BR326" i="23"/>
  <c r="BS326" i="23"/>
  <c r="BT326" i="23"/>
  <c r="BU326" i="23"/>
  <c r="BV326" i="23"/>
  <c r="BW326" i="23"/>
  <c r="BX326" i="23"/>
  <c r="BY326" i="23"/>
  <c r="BZ326" i="23"/>
  <c r="CA326" i="23"/>
  <c r="CB326" i="23"/>
  <c r="CC326" i="23"/>
  <c r="CD326" i="23"/>
  <c r="CE326" i="23"/>
  <c r="CF326" i="23"/>
  <c r="BI286" i="23"/>
  <c r="BJ286" i="23"/>
  <c r="BK286" i="23"/>
  <c r="BL286" i="23"/>
  <c r="BM286" i="23"/>
  <c r="BN286" i="23"/>
  <c r="BO286" i="23"/>
  <c r="BP286" i="23"/>
  <c r="BQ286" i="23"/>
  <c r="BR286" i="23"/>
  <c r="BS286" i="23"/>
  <c r="BT286" i="23"/>
  <c r="BU286" i="23"/>
  <c r="BV286" i="23"/>
  <c r="BW286" i="23"/>
  <c r="BX286" i="23"/>
  <c r="BY286" i="23"/>
  <c r="BZ286" i="23"/>
  <c r="CA286" i="23"/>
  <c r="CB286" i="23"/>
  <c r="CC286" i="23"/>
  <c r="CD286" i="23"/>
  <c r="CE286" i="23"/>
  <c r="CF286" i="23"/>
  <c r="BI287" i="23"/>
  <c r="BJ287" i="23"/>
  <c r="BK287" i="23"/>
  <c r="BL287" i="23"/>
  <c r="BM287" i="23"/>
  <c r="BN287" i="23"/>
  <c r="BO287" i="23"/>
  <c r="BP287" i="23"/>
  <c r="BQ287" i="23"/>
  <c r="BR287" i="23"/>
  <c r="BS287" i="23"/>
  <c r="BT287" i="23"/>
  <c r="BU287" i="23"/>
  <c r="BV287" i="23"/>
  <c r="BW287" i="23"/>
  <c r="BX287" i="23"/>
  <c r="BY287" i="23"/>
  <c r="BZ287" i="23"/>
  <c r="CA287" i="23"/>
  <c r="CB287" i="23"/>
  <c r="CC287" i="23"/>
  <c r="CD287" i="23"/>
  <c r="CE287" i="23"/>
  <c r="CF287" i="23"/>
  <c r="BI288" i="23"/>
  <c r="BJ288" i="23"/>
  <c r="BK288" i="23"/>
  <c r="BL288" i="23"/>
  <c r="BM288" i="23"/>
  <c r="BN288" i="23"/>
  <c r="BO288" i="23"/>
  <c r="BP288" i="23"/>
  <c r="BQ288" i="23"/>
  <c r="BR288" i="23"/>
  <c r="BS288" i="23"/>
  <c r="BT288" i="23"/>
  <c r="BU288" i="23"/>
  <c r="BV288" i="23"/>
  <c r="BW288" i="23"/>
  <c r="BX288" i="23"/>
  <c r="BY288" i="23"/>
  <c r="BZ288" i="23"/>
  <c r="CA288" i="23"/>
  <c r="CB288" i="23"/>
  <c r="CC288" i="23"/>
  <c r="CD288" i="23"/>
  <c r="CE288" i="23"/>
  <c r="CF288" i="23"/>
  <c r="BI289" i="23"/>
  <c r="BJ289" i="23"/>
  <c r="BK289" i="23"/>
  <c r="BL289" i="23"/>
  <c r="BM289" i="23"/>
  <c r="BN289" i="23"/>
  <c r="BO289" i="23"/>
  <c r="BP289" i="23"/>
  <c r="BQ289" i="23"/>
  <c r="BR289" i="23"/>
  <c r="BS289" i="23"/>
  <c r="BT289" i="23"/>
  <c r="BU289" i="23"/>
  <c r="BV289" i="23"/>
  <c r="BW289" i="23"/>
  <c r="BX289" i="23"/>
  <c r="BY289" i="23"/>
  <c r="BZ289" i="23"/>
  <c r="CA289" i="23"/>
  <c r="CB289" i="23"/>
  <c r="CC289" i="23"/>
  <c r="CD289" i="23"/>
  <c r="CE289" i="23"/>
  <c r="CF289" i="23"/>
  <c r="BI290" i="23"/>
  <c r="BJ290" i="23"/>
  <c r="BK290" i="23"/>
  <c r="BL290" i="23"/>
  <c r="BM290" i="23"/>
  <c r="BN290" i="23"/>
  <c r="BO290" i="23"/>
  <c r="BP290" i="23"/>
  <c r="BQ290" i="23"/>
  <c r="BR290" i="23"/>
  <c r="BS290" i="23"/>
  <c r="BT290" i="23"/>
  <c r="BU290" i="23"/>
  <c r="BV290" i="23"/>
  <c r="BW290" i="23"/>
  <c r="BX290" i="23"/>
  <c r="BY290" i="23"/>
  <c r="BZ290" i="23"/>
  <c r="CA290" i="23"/>
  <c r="CB290" i="23"/>
  <c r="CC290" i="23"/>
  <c r="CD290" i="23"/>
  <c r="CE290" i="23"/>
  <c r="CF290" i="23"/>
  <c r="BI291" i="23"/>
  <c r="BJ291" i="23"/>
  <c r="BK291" i="23"/>
  <c r="BL291" i="23"/>
  <c r="BM291" i="23"/>
  <c r="BN291" i="23"/>
  <c r="BO291" i="23"/>
  <c r="BP291" i="23"/>
  <c r="BQ291" i="23"/>
  <c r="BR291" i="23"/>
  <c r="BS291" i="23"/>
  <c r="BT291" i="23"/>
  <c r="BU291" i="23"/>
  <c r="BV291" i="23"/>
  <c r="BW291" i="23"/>
  <c r="BX291" i="23"/>
  <c r="BY291" i="23"/>
  <c r="BZ291" i="23"/>
  <c r="CA291" i="23"/>
  <c r="CB291" i="23"/>
  <c r="CC291" i="23"/>
  <c r="CD291" i="23"/>
  <c r="CE291" i="23"/>
  <c r="CF291" i="23"/>
  <c r="BI292" i="23"/>
  <c r="BJ292" i="23"/>
  <c r="BK292" i="23"/>
  <c r="BL292" i="23"/>
  <c r="BM292" i="23"/>
  <c r="BN292" i="23"/>
  <c r="BO292" i="23"/>
  <c r="BP292" i="23"/>
  <c r="BQ292" i="23"/>
  <c r="BR292" i="23"/>
  <c r="BS292" i="23"/>
  <c r="BT292" i="23"/>
  <c r="BU292" i="23"/>
  <c r="BV292" i="23"/>
  <c r="BW292" i="23"/>
  <c r="BX292" i="23"/>
  <c r="BY292" i="23"/>
  <c r="BZ292" i="23"/>
  <c r="CA292" i="23"/>
  <c r="CB292" i="23"/>
  <c r="CC292" i="23"/>
  <c r="CD292" i="23"/>
  <c r="CE292" i="23"/>
  <c r="CF292" i="23"/>
  <c r="BI293" i="23"/>
  <c r="BJ293" i="23"/>
  <c r="BK293" i="23"/>
  <c r="BL293" i="23"/>
  <c r="BM293" i="23"/>
  <c r="BN293" i="23"/>
  <c r="BO293" i="23"/>
  <c r="BP293" i="23"/>
  <c r="BQ293" i="23"/>
  <c r="BR293" i="23"/>
  <c r="BS293" i="23"/>
  <c r="BT293" i="23"/>
  <c r="BU293" i="23"/>
  <c r="BV293" i="23"/>
  <c r="BW293" i="23"/>
  <c r="BX293" i="23"/>
  <c r="BY293" i="23"/>
  <c r="BZ293" i="23"/>
  <c r="CA293" i="23"/>
  <c r="CB293" i="23"/>
  <c r="CC293" i="23"/>
  <c r="CD293" i="23"/>
  <c r="CE293" i="23"/>
  <c r="CF293" i="23"/>
  <c r="BI294" i="23"/>
  <c r="BJ294" i="23"/>
  <c r="BK294" i="23"/>
  <c r="BL294" i="23"/>
  <c r="BM294" i="23"/>
  <c r="BN294" i="23"/>
  <c r="BO294" i="23"/>
  <c r="BP294" i="23"/>
  <c r="BQ294" i="23"/>
  <c r="BR294" i="23"/>
  <c r="BS294" i="23"/>
  <c r="BT294" i="23"/>
  <c r="BU294" i="23"/>
  <c r="BV294" i="23"/>
  <c r="BW294" i="23"/>
  <c r="BX294" i="23"/>
  <c r="BY294" i="23"/>
  <c r="BZ294" i="23"/>
  <c r="CA294" i="23"/>
  <c r="CB294" i="23"/>
  <c r="CC294" i="23"/>
  <c r="CD294" i="23"/>
  <c r="CE294" i="23"/>
  <c r="CF294" i="23"/>
  <c r="BI295" i="23"/>
  <c r="BJ295" i="23"/>
  <c r="BK295" i="23"/>
  <c r="BL295" i="23"/>
  <c r="BM295" i="23"/>
  <c r="BN295" i="23"/>
  <c r="BO295" i="23"/>
  <c r="BP295" i="23"/>
  <c r="BQ295" i="23"/>
  <c r="BR295" i="23"/>
  <c r="BS295" i="23"/>
  <c r="BT295" i="23"/>
  <c r="BU295" i="23"/>
  <c r="BV295" i="23"/>
  <c r="BW295" i="23"/>
  <c r="BX295" i="23"/>
  <c r="BY295" i="23"/>
  <c r="BZ295" i="23"/>
  <c r="CA295" i="23"/>
  <c r="CB295" i="23"/>
  <c r="CC295" i="23"/>
  <c r="CD295" i="23"/>
  <c r="CE295" i="23"/>
  <c r="CF295" i="23"/>
  <c r="BI296" i="23"/>
  <c r="BJ296" i="23"/>
  <c r="BK296" i="23"/>
  <c r="BL296" i="23"/>
  <c r="BM296" i="23"/>
  <c r="BN296" i="23"/>
  <c r="BO296" i="23"/>
  <c r="BP296" i="23"/>
  <c r="BQ296" i="23"/>
  <c r="BR296" i="23"/>
  <c r="BS296" i="23"/>
  <c r="BT296" i="23"/>
  <c r="BU296" i="23"/>
  <c r="BV296" i="23"/>
  <c r="BW296" i="23"/>
  <c r="BX296" i="23"/>
  <c r="BY296" i="23"/>
  <c r="BZ296" i="23"/>
  <c r="CA296" i="23"/>
  <c r="CB296" i="23"/>
  <c r="CC296" i="23"/>
  <c r="CD296" i="23"/>
  <c r="CE296" i="23"/>
  <c r="CF296" i="23"/>
  <c r="BI297" i="23"/>
  <c r="BJ297" i="23"/>
  <c r="BK297" i="23"/>
  <c r="BL297" i="23"/>
  <c r="BM297" i="23"/>
  <c r="BN297" i="23"/>
  <c r="BO297" i="23"/>
  <c r="BP297" i="23"/>
  <c r="BQ297" i="23"/>
  <c r="BR297" i="23"/>
  <c r="BS297" i="23"/>
  <c r="BT297" i="23"/>
  <c r="BU297" i="23"/>
  <c r="BV297" i="23"/>
  <c r="BW297" i="23"/>
  <c r="BX297" i="23"/>
  <c r="BY297" i="23"/>
  <c r="BZ297" i="23"/>
  <c r="CA297" i="23"/>
  <c r="CB297" i="23"/>
  <c r="CC297" i="23"/>
  <c r="CD297" i="23"/>
  <c r="CE297" i="23"/>
  <c r="CF297" i="23"/>
  <c r="BI298" i="23"/>
  <c r="BJ298" i="23"/>
  <c r="BK298" i="23"/>
  <c r="BL298" i="23"/>
  <c r="BM298" i="23"/>
  <c r="BN298" i="23"/>
  <c r="BO298" i="23"/>
  <c r="BP298" i="23"/>
  <c r="BQ298" i="23"/>
  <c r="BR298" i="23"/>
  <c r="BS298" i="23"/>
  <c r="BT298" i="23"/>
  <c r="BU298" i="23"/>
  <c r="BV298" i="23"/>
  <c r="BW298" i="23"/>
  <c r="BX298" i="23"/>
  <c r="BY298" i="23"/>
  <c r="BZ298" i="23"/>
  <c r="CA298" i="23"/>
  <c r="CB298" i="23"/>
  <c r="CC298" i="23"/>
  <c r="CD298" i="23"/>
  <c r="CE298" i="23"/>
  <c r="CF298" i="23"/>
  <c r="BI299" i="23"/>
  <c r="BJ299" i="23"/>
  <c r="BK299" i="23"/>
  <c r="BL299" i="23"/>
  <c r="BM299" i="23"/>
  <c r="BN299" i="23"/>
  <c r="BO299" i="23"/>
  <c r="BP299" i="23"/>
  <c r="BQ299" i="23"/>
  <c r="BR299" i="23"/>
  <c r="BS299" i="23"/>
  <c r="BT299" i="23"/>
  <c r="BU299" i="23"/>
  <c r="BV299" i="23"/>
  <c r="BW299" i="23"/>
  <c r="BX299" i="23"/>
  <c r="BY299" i="23"/>
  <c r="BZ299" i="23"/>
  <c r="CA299" i="23"/>
  <c r="CB299" i="23"/>
  <c r="CC299" i="23"/>
  <c r="CD299" i="23"/>
  <c r="CE299" i="23"/>
  <c r="CF299" i="23"/>
  <c r="BI300" i="23"/>
  <c r="BJ300" i="23"/>
  <c r="BK300" i="23"/>
  <c r="BL300" i="23"/>
  <c r="BM300" i="23"/>
  <c r="BN300" i="23"/>
  <c r="BO300" i="23"/>
  <c r="BP300" i="23"/>
  <c r="BQ300" i="23"/>
  <c r="BR300" i="23"/>
  <c r="BS300" i="23"/>
  <c r="BT300" i="23"/>
  <c r="BU300" i="23"/>
  <c r="BV300" i="23"/>
  <c r="BW300" i="23"/>
  <c r="BX300" i="23"/>
  <c r="BY300" i="23"/>
  <c r="BZ300" i="23"/>
  <c r="CA300" i="23"/>
  <c r="CB300" i="23"/>
  <c r="CC300" i="23"/>
  <c r="CD300" i="23"/>
  <c r="CE300" i="23"/>
  <c r="CF300" i="23"/>
  <c r="BI301" i="23"/>
  <c r="BJ301" i="23"/>
  <c r="BK301" i="23"/>
  <c r="BL301" i="23"/>
  <c r="BM301" i="23"/>
  <c r="BN301" i="23"/>
  <c r="BO301" i="23"/>
  <c r="BP301" i="23"/>
  <c r="BQ301" i="23"/>
  <c r="BR301" i="23"/>
  <c r="BS301" i="23"/>
  <c r="BT301" i="23"/>
  <c r="BU301" i="23"/>
  <c r="BV301" i="23"/>
  <c r="BW301" i="23"/>
  <c r="BX301" i="23"/>
  <c r="BY301" i="23"/>
  <c r="BZ301" i="23"/>
  <c r="CA301" i="23"/>
  <c r="CB301" i="23"/>
  <c r="CC301" i="23"/>
  <c r="CD301" i="23"/>
  <c r="CE301" i="23"/>
  <c r="CF301" i="23"/>
  <c r="BI302" i="23"/>
  <c r="BJ302" i="23"/>
  <c r="BK302" i="23"/>
  <c r="BL302" i="23"/>
  <c r="BM302" i="23"/>
  <c r="BN302" i="23"/>
  <c r="BO302" i="23"/>
  <c r="BP302" i="23"/>
  <c r="BQ302" i="23"/>
  <c r="BR302" i="23"/>
  <c r="BS302" i="23"/>
  <c r="BT302" i="23"/>
  <c r="BU302" i="23"/>
  <c r="BV302" i="23"/>
  <c r="BW302" i="23"/>
  <c r="BX302" i="23"/>
  <c r="BY302" i="23"/>
  <c r="BZ302" i="23"/>
  <c r="CA302" i="23"/>
  <c r="CB302" i="23"/>
  <c r="CC302" i="23"/>
  <c r="CD302" i="23"/>
  <c r="CE302" i="23"/>
  <c r="CF302" i="23"/>
  <c r="BI303" i="23"/>
  <c r="BJ303" i="23"/>
  <c r="BK303" i="23"/>
  <c r="BL303" i="23"/>
  <c r="BM303" i="23"/>
  <c r="BN303" i="23"/>
  <c r="BO303" i="23"/>
  <c r="BP303" i="23"/>
  <c r="BQ303" i="23"/>
  <c r="BR303" i="23"/>
  <c r="BS303" i="23"/>
  <c r="BT303" i="23"/>
  <c r="BU303" i="23"/>
  <c r="BV303" i="23"/>
  <c r="BW303" i="23"/>
  <c r="BX303" i="23"/>
  <c r="BY303" i="23"/>
  <c r="BZ303" i="23"/>
  <c r="CA303" i="23"/>
  <c r="CB303" i="23"/>
  <c r="CC303" i="23"/>
  <c r="CD303" i="23"/>
  <c r="CE303" i="23"/>
  <c r="CF303" i="23"/>
  <c r="BF274" i="23"/>
  <c r="BG274" i="23" s="1"/>
  <c r="BI274" i="23"/>
  <c r="BJ274" i="23"/>
  <c r="BK274" i="23"/>
  <c r="BL274" i="23"/>
  <c r="BM274" i="23"/>
  <c r="BN274" i="23"/>
  <c r="BO274" i="23"/>
  <c r="BP274" i="23"/>
  <c r="BQ274" i="23"/>
  <c r="BR274" i="23"/>
  <c r="BS274" i="23"/>
  <c r="BT274" i="23"/>
  <c r="BU274" i="23"/>
  <c r="BV274" i="23"/>
  <c r="BW274" i="23"/>
  <c r="BX274" i="23"/>
  <c r="BY274" i="23"/>
  <c r="BZ274" i="23"/>
  <c r="CA274" i="23"/>
  <c r="CB274" i="23"/>
  <c r="CC274" i="23"/>
  <c r="CD274" i="23"/>
  <c r="CE274" i="23"/>
  <c r="CF274" i="23"/>
  <c r="BF275" i="23"/>
  <c r="BG275" i="23" s="1"/>
  <c r="BI275" i="23"/>
  <c r="BJ275" i="23"/>
  <c r="BK275" i="23"/>
  <c r="BL275" i="23"/>
  <c r="BM275" i="23"/>
  <c r="BN275" i="23"/>
  <c r="BO275" i="23"/>
  <c r="BP275" i="23"/>
  <c r="BQ275" i="23"/>
  <c r="BR275" i="23"/>
  <c r="BS275" i="23"/>
  <c r="BT275" i="23"/>
  <c r="BU275" i="23"/>
  <c r="BV275" i="23"/>
  <c r="BW275" i="23"/>
  <c r="BX275" i="23"/>
  <c r="BY275" i="23"/>
  <c r="BZ275" i="23"/>
  <c r="CA275" i="23"/>
  <c r="CB275" i="23"/>
  <c r="CC275" i="23"/>
  <c r="CD275" i="23"/>
  <c r="CE275" i="23"/>
  <c r="CF275" i="23"/>
  <c r="BE274" i="23"/>
  <c r="BE275" i="23"/>
  <c r="G275" i="23"/>
  <c r="G272" i="23"/>
  <c r="G273" i="23"/>
  <c r="G277" i="23"/>
  <c r="CF283" i="23"/>
  <c r="CE283" i="23"/>
  <c r="CD283" i="23"/>
  <c r="CC283" i="23"/>
  <c r="CB283" i="23"/>
  <c r="CA283" i="23"/>
  <c r="BZ283" i="23"/>
  <c r="BY283" i="23"/>
  <c r="BX283" i="23"/>
  <c r="BW283" i="23"/>
  <c r="BV283" i="23"/>
  <c r="BU283" i="23"/>
  <c r="BT283" i="23"/>
  <c r="BS283" i="23"/>
  <c r="BR283" i="23"/>
  <c r="BQ283" i="23"/>
  <c r="BP283" i="23"/>
  <c r="BO283" i="23"/>
  <c r="BN283" i="23"/>
  <c r="BM283" i="23"/>
  <c r="BL283" i="23"/>
  <c r="BK283" i="23"/>
  <c r="BJ283" i="23"/>
  <c r="BI283" i="23"/>
  <c r="BC283" i="23"/>
  <c r="BA283" i="23"/>
  <c r="AY283" i="23"/>
  <c r="AW283" i="23"/>
  <c r="AU283" i="23"/>
  <c r="AS283" i="23"/>
  <c r="AQ283" i="23"/>
  <c r="AO283" i="23"/>
  <c r="AM283" i="23"/>
  <c r="AK283" i="23"/>
  <c r="AG283" i="23"/>
  <c r="AE283" i="23"/>
  <c r="AC283" i="23"/>
  <c r="AA283" i="23"/>
  <c r="Y283" i="23"/>
  <c r="W283" i="23"/>
  <c r="U283" i="23"/>
  <c r="S283" i="23"/>
  <c r="Q283" i="23"/>
  <c r="O283" i="23"/>
  <c r="M283" i="23"/>
  <c r="K283" i="23"/>
  <c r="I283" i="23"/>
  <c r="G283" i="23"/>
  <c r="CF282" i="23"/>
  <c r="CE282" i="23"/>
  <c r="CD282" i="23"/>
  <c r="CC282" i="23"/>
  <c r="CB282" i="23"/>
  <c r="CA282" i="23"/>
  <c r="BZ282" i="23"/>
  <c r="BY282" i="23"/>
  <c r="BX282" i="23"/>
  <c r="BW282" i="23"/>
  <c r="BV282" i="23"/>
  <c r="BU282" i="23"/>
  <c r="BT282" i="23"/>
  <c r="BS282" i="23"/>
  <c r="BR282" i="23"/>
  <c r="BQ282" i="23"/>
  <c r="BP282" i="23"/>
  <c r="BO282" i="23"/>
  <c r="BN282" i="23"/>
  <c r="BM282" i="23"/>
  <c r="BL282" i="23"/>
  <c r="BK282" i="23"/>
  <c r="BJ282" i="23"/>
  <c r="BI282" i="23"/>
  <c r="BC282" i="23"/>
  <c r="BA282" i="23"/>
  <c r="AY282" i="23"/>
  <c r="AW282" i="23"/>
  <c r="AU282" i="23"/>
  <c r="AS282" i="23"/>
  <c r="AQ282" i="23"/>
  <c r="AO282" i="23"/>
  <c r="AM282" i="23"/>
  <c r="AK282" i="23"/>
  <c r="AG282" i="23"/>
  <c r="AE282" i="23"/>
  <c r="AC282" i="23"/>
  <c r="AA282" i="23"/>
  <c r="Y282" i="23"/>
  <c r="W282" i="23"/>
  <c r="U282" i="23"/>
  <c r="S282" i="23"/>
  <c r="Q282" i="23"/>
  <c r="O282" i="23"/>
  <c r="M282" i="23"/>
  <c r="K282" i="23"/>
  <c r="I282" i="23"/>
  <c r="G282" i="23"/>
  <c r="CF281" i="23"/>
  <c r="CE281" i="23"/>
  <c r="CD281" i="23"/>
  <c r="CC281" i="23"/>
  <c r="CB281" i="23"/>
  <c r="CA281" i="23"/>
  <c r="BZ281" i="23"/>
  <c r="BY281" i="23"/>
  <c r="BX281" i="23"/>
  <c r="BW281" i="23"/>
  <c r="BV281" i="23"/>
  <c r="BU281" i="23"/>
  <c r="BT281" i="23"/>
  <c r="BS281" i="23"/>
  <c r="BR281" i="23"/>
  <c r="BQ281" i="23"/>
  <c r="BP281" i="23"/>
  <c r="BO281" i="23"/>
  <c r="BN281" i="23"/>
  <c r="BM281" i="23"/>
  <c r="BL281" i="23"/>
  <c r="BK281" i="23"/>
  <c r="BJ281" i="23"/>
  <c r="BI281" i="23"/>
  <c r="BC281" i="23"/>
  <c r="BA281" i="23"/>
  <c r="AY281" i="23"/>
  <c r="AW281" i="23"/>
  <c r="AU281" i="23"/>
  <c r="AS281" i="23"/>
  <c r="AQ281" i="23"/>
  <c r="AO281" i="23"/>
  <c r="AM281" i="23"/>
  <c r="AK281" i="23"/>
  <c r="AG281" i="23"/>
  <c r="AE281" i="23"/>
  <c r="AC281" i="23"/>
  <c r="AA281" i="23"/>
  <c r="Y281" i="23"/>
  <c r="W281" i="23"/>
  <c r="U281" i="23"/>
  <c r="S281" i="23"/>
  <c r="Q281" i="23"/>
  <c r="O281" i="23"/>
  <c r="M281" i="23"/>
  <c r="K281" i="23"/>
  <c r="I281" i="23"/>
  <c r="G281" i="23"/>
  <c r="CF280" i="23"/>
  <c r="CE280" i="23"/>
  <c r="CD280" i="23"/>
  <c r="CC280" i="23"/>
  <c r="CB280" i="23"/>
  <c r="CA280" i="23"/>
  <c r="BZ280" i="23"/>
  <c r="BY280" i="23"/>
  <c r="BX280" i="23"/>
  <c r="BW280" i="23"/>
  <c r="BV280" i="23"/>
  <c r="BU280" i="23"/>
  <c r="BT280" i="23"/>
  <c r="BS280" i="23"/>
  <c r="BR280" i="23"/>
  <c r="BQ280" i="23"/>
  <c r="BP280" i="23"/>
  <c r="BO280" i="23"/>
  <c r="BN280" i="23"/>
  <c r="BM280" i="23"/>
  <c r="BL280" i="23"/>
  <c r="BK280" i="23"/>
  <c r="BJ280" i="23"/>
  <c r="BI280" i="23"/>
  <c r="BC280" i="23"/>
  <c r="BA280" i="23"/>
  <c r="AY280" i="23"/>
  <c r="AW280" i="23"/>
  <c r="AU280" i="23"/>
  <c r="AS280" i="23"/>
  <c r="AQ280" i="23"/>
  <c r="AO280" i="23"/>
  <c r="AM280" i="23"/>
  <c r="AK280" i="23"/>
  <c r="AG280" i="23"/>
  <c r="AE280" i="23"/>
  <c r="AC280" i="23"/>
  <c r="AA280" i="23"/>
  <c r="Y280" i="23"/>
  <c r="W280" i="23"/>
  <c r="U280" i="23"/>
  <c r="S280" i="23"/>
  <c r="Q280" i="23"/>
  <c r="O280" i="23"/>
  <c r="M280" i="23"/>
  <c r="K280" i="23"/>
  <c r="I280" i="23"/>
  <c r="G280" i="23"/>
  <c r="CF279" i="23"/>
  <c r="CE279" i="23"/>
  <c r="CD279" i="23"/>
  <c r="CC279" i="23"/>
  <c r="CB279" i="23"/>
  <c r="CA279" i="23"/>
  <c r="BZ279" i="23"/>
  <c r="BY279" i="23"/>
  <c r="BX279" i="23"/>
  <c r="BW279" i="23"/>
  <c r="BV279" i="23"/>
  <c r="BU279" i="23"/>
  <c r="BT279" i="23"/>
  <c r="BS279" i="23"/>
  <c r="BR279" i="23"/>
  <c r="BQ279" i="23"/>
  <c r="BP279" i="23"/>
  <c r="BO279" i="23"/>
  <c r="BN279" i="23"/>
  <c r="BM279" i="23"/>
  <c r="BL279" i="23"/>
  <c r="BK279" i="23"/>
  <c r="BJ279" i="23"/>
  <c r="BI279" i="23"/>
  <c r="BC279" i="23"/>
  <c r="BA279" i="23"/>
  <c r="AY279" i="23"/>
  <c r="AW279" i="23"/>
  <c r="AU279" i="23"/>
  <c r="AS279" i="23"/>
  <c r="AQ279" i="23"/>
  <c r="AO279" i="23"/>
  <c r="AM279" i="23"/>
  <c r="AK279" i="23"/>
  <c r="AG279" i="23"/>
  <c r="AE279" i="23"/>
  <c r="AC279" i="23"/>
  <c r="AA279" i="23"/>
  <c r="Y279" i="23"/>
  <c r="W279" i="23"/>
  <c r="U279" i="23"/>
  <c r="S279" i="23"/>
  <c r="Q279" i="23"/>
  <c r="O279" i="23"/>
  <c r="M279" i="23"/>
  <c r="K279" i="23"/>
  <c r="I279" i="23"/>
  <c r="G279" i="23"/>
  <c r="CF278" i="23"/>
  <c r="CE278" i="23"/>
  <c r="CD278" i="23"/>
  <c r="CC278" i="23"/>
  <c r="CB278" i="23"/>
  <c r="CA278" i="23"/>
  <c r="BZ278" i="23"/>
  <c r="BY278" i="23"/>
  <c r="BX278" i="23"/>
  <c r="BW278" i="23"/>
  <c r="BV278" i="23"/>
  <c r="BU278" i="23"/>
  <c r="BT278" i="23"/>
  <c r="BS278" i="23"/>
  <c r="BR278" i="23"/>
  <c r="BQ278" i="23"/>
  <c r="BP278" i="23"/>
  <c r="BO278" i="23"/>
  <c r="BN278" i="23"/>
  <c r="BM278" i="23"/>
  <c r="BL278" i="23"/>
  <c r="BK278" i="23"/>
  <c r="BJ278" i="23"/>
  <c r="BI278" i="23"/>
  <c r="BC278" i="23"/>
  <c r="BA278" i="23"/>
  <c r="AY278" i="23"/>
  <c r="AW278" i="23"/>
  <c r="AU278" i="23"/>
  <c r="AS278" i="23"/>
  <c r="AQ278" i="23"/>
  <c r="AO278" i="23"/>
  <c r="AM278" i="23"/>
  <c r="AK278" i="23"/>
  <c r="AG278" i="23"/>
  <c r="AE278" i="23"/>
  <c r="AC278" i="23"/>
  <c r="AA278" i="23"/>
  <c r="Y278" i="23"/>
  <c r="W278" i="23"/>
  <c r="U278" i="23"/>
  <c r="S278" i="23"/>
  <c r="Q278" i="23"/>
  <c r="O278" i="23"/>
  <c r="M278" i="23"/>
  <c r="K278" i="23"/>
  <c r="I278" i="23"/>
  <c r="G278" i="23"/>
  <c r="CF277" i="23"/>
  <c r="CE277" i="23"/>
  <c r="CD277" i="23"/>
  <c r="CC277" i="23"/>
  <c r="CB277" i="23"/>
  <c r="CA277" i="23"/>
  <c r="BZ277" i="23"/>
  <c r="BY277" i="23"/>
  <c r="BX277" i="23"/>
  <c r="BW277" i="23"/>
  <c r="BV277" i="23"/>
  <c r="BU277" i="23"/>
  <c r="BT277" i="23"/>
  <c r="BS277" i="23"/>
  <c r="BR277" i="23"/>
  <c r="BQ277" i="23"/>
  <c r="BP277" i="23"/>
  <c r="BO277" i="23"/>
  <c r="BN277" i="23"/>
  <c r="BM277" i="23"/>
  <c r="BL277" i="23"/>
  <c r="BK277" i="23"/>
  <c r="BJ277" i="23"/>
  <c r="BI277" i="23"/>
  <c r="BC277" i="23"/>
  <c r="BA277" i="23"/>
  <c r="AY277" i="23"/>
  <c r="AW277" i="23"/>
  <c r="AU277" i="23"/>
  <c r="AS277" i="23"/>
  <c r="AQ277" i="23"/>
  <c r="AO277" i="23"/>
  <c r="AM277" i="23"/>
  <c r="AK277" i="23"/>
  <c r="AG277" i="23"/>
  <c r="AE277" i="23"/>
  <c r="AC277" i="23"/>
  <c r="AA277" i="23"/>
  <c r="Y277" i="23"/>
  <c r="W277" i="23"/>
  <c r="U277" i="23"/>
  <c r="S277" i="23"/>
  <c r="Q277" i="23"/>
  <c r="O277" i="23"/>
  <c r="M277" i="23"/>
  <c r="K277" i="23"/>
  <c r="I277" i="23"/>
  <c r="CF276" i="23"/>
  <c r="CE276" i="23"/>
  <c r="CD276" i="23"/>
  <c r="CC276" i="23"/>
  <c r="CB276" i="23"/>
  <c r="CA276" i="23"/>
  <c r="BZ276" i="23"/>
  <c r="BY276" i="23"/>
  <c r="BX276" i="23"/>
  <c r="BW276" i="23"/>
  <c r="BV276" i="23"/>
  <c r="BU276" i="23"/>
  <c r="BT276" i="23"/>
  <c r="BS276" i="23"/>
  <c r="BR276" i="23"/>
  <c r="BQ276" i="23"/>
  <c r="BP276" i="23"/>
  <c r="BO276" i="23"/>
  <c r="BN276" i="23"/>
  <c r="BM276" i="23"/>
  <c r="BL276" i="23"/>
  <c r="BK276" i="23"/>
  <c r="BJ276" i="23"/>
  <c r="BI276" i="23"/>
  <c r="BC276" i="23"/>
  <c r="BA276" i="23"/>
  <c r="AY276" i="23"/>
  <c r="AW276" i="23"/>
  <c r="AU276" i="23"/>
  <c r="AS276" i="23"/>
  <c r="AQ276" i="23"/>
  <c r="AO276" i="23"/>
  <c r="AM276" i="23"/>
  <c r="AK276" i="23"/>
  <c r="AG276" i="23"/>
  <c r="AE276" i="23"/>
  <c r="AC276" i="23"/>
  <c r="AA276" i="23"/>
  <c r="Y276" i="23"/>
  <c r="W276" i="23"/>
  <c r="U276" i="23"/>
  <c r="S276" i="23"/>
  <c r="Q276" i="23"/>
  <c r="O276" i="23"/>
  <c r="M276" i="23"/>
  <c r="K276" i="23"/>
  <c r="I276" i="23"/>
  <c r="CF273" i="23"/>
  <c r="CE273" i="23"/>
  <c r="CD273" i="23"/>
  <c r="CC273" i="23"/>
  <c r="CB273" i="23"/>
  <c r="CA273" i="23"/>
  <c r="BZ273" i="23"/>
  <c r="BY273" i="23"/>
  <c r="BX273" i="23"/>
  <c r="BW273" i="23"/>
  <c r="BV273" i="23"/>
  <c r="BU273" i="23"/>
  <c r="BT273" i="23"/>
  <c r="BS273" i="23"/>
  <c r="BR273" i="23"/>
  <c r="BQ273" i="23"/>
  <c r="BP273" i="23"/>
  <c r="BO273" i="23"/>
  <c r="BN273" i="23"/>
  <c r="BM273" i="23"/>
  <c r="BL273" i="23"/>
  <c r="BK273" i="23"/>
  <c r="BJ273" i="23"/>
  <c r="BI273" i="23"/>
  <c r="BC273" i="23"/>
  <c r="BA273" i="23"/>
  <c r="AY273" i="23"/>
  <c r="AW273" i="23"/>
  <c r="AU273" i="23"/>
  <c r="AS273" i="23"/>
  <c r="AQ273" i="23"/>
  <c r="AO273" i="23"/>
  <c r="AM273" i="23"/>
  <c r="AK273" i="23"/>
  <c r="AG273" i="23"/>
  <c r="AE273" i="23"/>
  <c r="AC273" i="23"/>
  <c r="AA273" i="23"/>
  <c r="Y273" i="23"/>
  <c r="W273" i="23"/>
  <c r="U273" i="23"/>
  <c r="S273" i="23"/>
  <c r="Q273" i="23"/>
  <c r="O273" i="23"/>
  <c r="M273" i="23"/>
  <c r="K273" i="23"/>
  <c r="I273" i="23"/>
  <c r="CF272" i="23"/>
  <c r="CE272" i="23"/>
  <c r="CD272" i="23"/>
  <c r="CC272" i="23"/>
  <c r="CB272" i="23"/>
  <c r="CA272" i="23"/>
  <c r="BZ272" i="23"/>
  <c r="BY272" i="23"/>
  <c r="BX272" i="23"/>
  <c r="BW272" i="23"/>
  <c r="BV272" i="23"/>
  <c r="BU272" i="23"/>
  <c r="BT272" i="23"/>
  <c r="BS272" i="23"/>
  <c r="BR272" i="23"/>
  <c r="BQ272" i="23"/>
  <c r="BP272" i="23"/>
  <c r="BO272" i="23"/>
  <c r="BN272" i="23"/>
  <c r="BM272" i="23"/>
  <c r="BL272" i="23"/>
  <c r="BK272" i="23"/>
  <c r="BJ272" i="23"/>
  <c r="BI272" i="23"/>
  <c r="BC272" i="23"/>
  <c r="BA272" i="23"/>
  <c r="AY272" i="23"/>
  <c r="AW272" i="23"/>
  <c r="AU272" i="23"/>
  <c r="AS272" i="23"/>
  <c r="AQ272" i="23"/>
  <c r="AO272" i="23"/>
  <c r="AM272" i="23"/>
  <c r="AK272" i="23"/>
  <c r="AI272" i="23"/>
  <c r="AG272" i="23"/>
  <c r="AE272" i="23"/>
  <c r="AC272" i="23"/>
  <c r="AA272" i="23"/>
  <c r="Y272" i="23"/>
  <c r="W272" i="23"/>
  <c r="U272" i="23"/>
  <c r="S272" i="23"/>
  <c r="Q272" i="23"/>
  <c r="O272" i="23"/>
  <c r="M272" i="23"/>
  <c r="K272" i="23"/>
  <c r="I272" i="23"/>
  <c r="O271" i="23" l="1"/>
  <c r="S271" i="23"/>
  <c r="Q271" i="23"/>
  <c r="M271" i="23"/>
  <c r="U271" i="23"/>
  <c r="W271" i="23"/>
  <c r="Y271" i="23"/>
  <c r="AA271" i="23"/>
  <c r="AC271" i="23"/>
  <c r="AE271" i="23"/>
  <c r="I271" i="23"/>
  <c r="K271" i="23"/>
  <c r="AG271" i="23"/>
  <c r="BD278" i="23"/>
  <c r="BF278" i="23" s="1"/>
  <c r="BG278" i="23" s="1"/>
  <c r="BD279" i="23"/>
  <c r="BE279" i="23" s="1"/>
  <c r="BD280" i="23"/>
  <c r="BF280" i="23" s="1"/>
  <c r="BG280" i="23" s="1"/>
  <c r="BD281" i="23"/>
  <c r="BF281" i="23" s="1"/>
  <c r="BG281" i="23" s="1"/>
  <c r="BD282" i="23"/>
  <c r="BF282" i="23" s="1"/>
  <c r="BG282" i="23" s="1"/>
  <c r="BD283" i="23"/>
  <c r="BE283" i="23" s="1"/>
  <c r="BD272" i="23"/>
  <c r="BF272" i="23" s="1"/>
  <c r="BG272" i="23" s="1"/>
  <c r="BD273" i="23"/>
  <c r="BF273" i="23" s="1"/>
  <c r="BG273" i="23" s="1"/>
  <c r="BD277" i="23"/>
  <c r="BE277" i="23" s="1"/>
  <c r="G271" i="23"/>
  <c r="BC271" i="23"/>
  <c r="AY271" i="23"/>
  <c r="AQ271" i="23"/>
  <c r="AO271" i="23"/>
  <c r="AS271" i="23"/>
  <c r="AU271" i="23"/>
  <c r="AW271" i="23"/>
  <c r="BA271" i="23"/>
  <c r="AK271" i="23"/>
  <c r="AI271" i="23"/>
  <c r="AM271" i="23"/>
  <c r="BG276" i="23"/>
  <c r="BE276" i="23"/>
  <c r="BE272" i="23" l="1"/>
  <c r="BE278" i="23"/>
  <c r="BE280" i="23"/>
  <c r="BF283" i="23"/>
  <c r="BG283" i="23" s="1"/>
  <c r="BF279" i="23"/>
  <c r="BG279" i="23" s="1"/>
  <c r="BE273" i="23"/>
  <c r="BE282" i="23"/>
  <c r="BE281" i="23"/>
  <c r="BF277" i="23"/>
  <c r="BG277" i="23" s="1"/>
  <c r="BG271" i="23" l="1"/>
  <c r="BE271" i="23"/>
  <c r="BC303" i="23" l="1"/>
  <c r="BA303" i="23"/>
  <c r="AY303" i="23"/>
  <c r="AW303" i="23"/>
  <c r="AU303" i="23"/>
  <c r="AS303" i="23"/>
  <c r="AQ303" i="23"/>
  <c r="AO303" i="23"/>
  <c r="AM303" i="23"/>
  <c r="AK303" i="23"/>
  <c r="AI303" i="23"/>
  <c r="AG303" i="23"/>
  <c r="AE303" i="23"/>
  <c r="AC303" i="23"/>
  <c r="AA303" i="23"/>
  <c r="Y303" i="23"/>
  <c r="W303" i="23"/>
  <c r="U303" i="23"/>
  <c r="S303" i="23"/>
  <c r="Q303" i="23"/>
  <c r="O303" i="23"/>
  <c r="M303" i="23"/>
  <c r="K303" i="23"/>
  <c r="I303" i="23"/>
  <c r="G303" i="23"/>
  <c r="BC302" i="23"/>
  <c r="BA302" i="23"/>
  <c r="AY302" i="23"/>
  <c r="AW302" i="23"/>
  <c r="AU302" i="23"/>
  <c r="AS302" i="23"/>
  <c r="AQ302" i="23"/>
  <c r="AO302" i="23"/>
  <c r="AM302" i="23"/>
  <c r="AK302" i="23"/>
  <c r="AI302" i="23"/>
  <c r="AG302" i="23"/>
  <c r="AE302" i="23"/>
  <c r="AC302" i="23"/>
  <c r="AA302" i="23"/>
  <c r="Y302" i="23"/>
  <c r="W302" i="23"/>
  <c r="U302" i="23"/>
  <c r="S302" i="23"/>
  <c r="Q302" i="23"/>
  <c r="O302" i="23"/>
  <c r="M302" i="23"/>
  <c r="K302" i="23"/>
  <c r="I302" i="23"/>
  <c r="G302" i="23"/>
  <c r="BC301" i="23"/>
  <c r="BA301" i="23"/>
  <c r="AY301" i="23"/>
  <c r="AW301" i="23"/>
  <c r="AU301" i="23"/>
  <c r="AS301" i="23"/>
  <c r="AQ301" i="23"/>
  <c r="AO301" i="23"/>
  <c r="AM301" i="23"/>
  <c r="AK301" i="23"/>
  <c r="AI301" i="23"/>
  <c r="AG301" i="23"/>
  <c r="AE301" i="23"/>
  <c r="AC301" i="23"/>
  <c r="AA301" i="23"/>
  <c r="Y301" i="23"/>
  <c r="W301" i="23"/>
  <c r="U301" i="23"/>
  <c r="S301" i="23"/>
  <c r="Q301" i="23"/>
  <c r="O301" i="23"/>
  <c r="M301" i="23"/>
  <c r="K301" i="23"/>
  <c r="I301" i="23"/>
  <c r="BC300" i="23"/>
  <c r="BA300" i="23"/>
  <c r="AY300" i="23"/>
  <c r="AW300" i="23"/>
  <c r="AU300" i="23"/>
  <c r="AS300" i="23"/>
  <c r="AQ300" i="23"/>
  <c r="AO300" i="23"/>
  <c r="AM300" i="23"/>
  <c r="AK300" i="23"/>
  <c r="AI300" i="23"/>
  <c r="AG300" i="23"/>
  <c r="AE300" i="23"/>
  <c r="AC300" i="23"/>
  <c r="AA300" i="23"/>
  <c r="Y300" i="23"/>
  <c r="W300" i="23"/>
  <c r="U300" i="23"/>
  <c r="S300" i="23"/>
  <c r="Q300" i="23"/>
  <c r="O300" i="23"/>
  <c r="M300" i="23"/>
  <c r="K300" i="23"/>
  <c r="I300" i="23"/>
  <c r="G300" i="23"/>
  <c r="BC299" i="23"/>
  <c r="BA299" i="23"/>
  <c r="AY299" i="23"/>
  <c r="AW299" i="23"/>
  <c r="AU299" i="23"/>
  <c r="AS299" i="23"/>
  <c r="AQ299" i="23"/>
  <c r="AO299" i="23"/>
  <c r="AM299" i="23"/>
  <c r="AK299" i="23"/>
  <c r="AI299" i="23"/>
  <c r="AG299" i="23"/>
  <c r="AE299" i="23"/>
  <c r="AC299" i="23"/>
  <c r="AA299" i="23"/>
  <c r="Y299" i="23"/>
  <c r="W299" i="23"/>
  <c r="U299" i="23"/>
  <c r="S299" i="23"/>
  <c r="Q299" i="23"/>
  <c r="O299" i="23"/>
  <c r="M299" i="23"/>
  <c r="K299" i="23"/>
  <c r="I299" i="23"/>
  <c r="G299" i="23"/>
  <c r="BC298" i="23"/>
  <c r="BA298" i="23"/>
  <c r="AY298" i="23"/>
  <c r="AW298" i="23"/>
  <c r="AU298" i="23"/>
  <c r="AS298" i="23"/>
  <c r="AQ298" i="23"/>
  <c r="AO298" i="23"/>
  <c r="AM298" i="23"/>
  <c r="AK298" i="23"/>
  <c r="AI298" i="23"/>
  <c r="AG298" i="23"/>
  <c r="AE298" i="23"/>
  <c r="AC298" i="23"/>
  <c r="AA298" i="23"/>
  <c r="Y298" i="23"/>
  <c r="W298" i="23"/>
  <c r="U298" i="23"/>
  <c r="S298" i="23"/>
  <c r="Q298" i="23"/>
  <c r="O298" i="23"/>
  <c r="M298" i="23"/>
  <c r="K298" i="23"/>
  <c r="I298" i="23"/>
  <c r="G298" i="23"/>
  <c r="BC297" i="23"/>
  <c r="BA297" i="23"/>
  <c r="AY297" i="23"/>
  <c r="AW297" i="23"/>
  <c r="AU297" i="23"/>
  <c r="AS297" i="23"/>
  <c r="AQ297" i="23"/>
  <c r="AO297" i="23"/>
  <c r="AM297" i="23"/>
  <c r="AK297" i="23"/>
  <c r="AI297" i="23"/>
  <c r="AG297" i="23"/>
  <c r="AE297" i="23"/>
  <c r="AC297" i="23"/>
  <c r="AA297" i="23"/>
  <c r="Y297" i="23"/>
  <c r="W297" i="23"/>
  <c r="U297" i="23"/>
  <c r="S297" i="23"/>
  <c r="Q297" i="23"/>
  <c r="O297" i="23"/>
  <c r="M297" i="23"/>
  <c r="K297" i="23"/>
  <c r="I297" i="23"/>
  <c r="G297" i="23"/>
  <c r="BC296" i="23"/>
  <c r="BA296" i="23"/>
  <c r="AY296" i="23"/>
  <c r="AW296" i="23"/>
  <c r="AU296" i="23"/>
  <c r="AS296" i="23"/>
  <c r="AQ296" i="23"/>
  <c r="AO296" i="23"/>
  <c r="AM296" i="23"/>
  <c r="AK296" i="23"/>
  <c r="AI296" i="23"/>
  <c r="AG296" i="23"/>
  <c r="AE296" i="23"/>
  <c r="AC296" i="23"/>
  <c r="AA296" i="23"/>
  <c r="Y296" i="23"/>
  <c r="W296" i="23"/>
  <c r="U296" i="23"/>
  <c r="S296" i="23"/>
  <c r="Q296" i="23"/>
  <c r="O296" i="23"/>
  <c r="M296" i="23"/>
  <c r="K296" i="23"/>
  <c r="I296" i="23"/>
  <c r="G296" i="23"/>
  <c r="BC295" i="23"/>
  <c r="BA295" i="23"/>
  <c r="AY295" i="23"/>
  <c r="AW295" i="23"/>
  <c r="AU295" i="23"/>
  <c r="AS295" i="23"/>
  <c r="AQ295" i="23"/>
  <c r="AO295" i="23"/>
  <c r="AM295" i="23"/>
  <c r="AK295" i="23"/>
  <c r="AI295" i="23"/>
  <c r="AG295" i="23"/>
  <c r="AE295" i="23"/>
  <c r="AC295" i="23"/>
  <c r="AA295" i="23"/>
  <c r="Y295" i="23"/>
  <c r="W295" i="23"/>
  <c r="U295" i="23"/>
  <c r="S295" i="23"/>
  <c r="Q295" i="23"/>
  <c r="O295" i="23"/>
  <c r="M295" i="23"/>
  <c r="K295" i="23"/>
  <c r="I295" i="23"/>
  <c r="BC294" i="23"/>
  <c r="BA294" i="23"/>
  <c r="AY294" i="23"/>
  <c r="AW294" i="23"/>
  <c r="AU294" i="23"/>
  <c r="AS294" i="23"/>
  <c r="AQ294" i="23"/>
  <c r="AO294" i="23"/>
  <c r="AM294" i="23"/>
  <c r="AK294" i="23"/>
  <c r="AI294" i="23"/>
  <c r="AG294" i="23"/>
  <c r="AE294" i="23"/>
  <c r="AC294" i="23"/>
  <c r="AA294" i="23"/>
  <c r="Y294" i="23"/>
  <c r="W294" i="23"/>
  <c r="U294" i="23"/>
  <c r="S294" i="23"/>
  <c r="Q294" i="23"/>
  <c r="O294" i="23"/>
  <c r="M294" i="23"/>
  <c r="K294" i="23"/>
  <c r="I294" i="23"/>
  <c r="G294" i="23"/>
  <c r="BC293" i="23"/>
  <c r="BA293" i="23"/>
  <c r="AY293" i="23"/>
  <c r="AW293" i="23"/>
  <c r="AU293" i="23"/>
  <c r="AS293" i="23"/>
  <c r="AQ293" i="23"/>
  <c r="AO293" i="23"/>
  <c r="AM293" i="23"/>
  <c r="AK293" i="23"/>
  <c r="AI293" i="23"/>
  <c r="AG293" i="23"/>
  <c r="AE293" i="23"/>
  <c r="AC293" i="23"/>
  <c r="AA293" i="23"/>
  <c r="Y293" i="23"/>
  <c r="W293" i="23"/>
  <c r="U293" i="23"/>
  <c r="S293" i="23"/>
  <c r="Q293" i="23"/>
  <c r="O293" i="23"/>
  <c r="M293" i="23"/>
  <c r="K293" i="23"/>
  <c r="I293" i="23"/>
  <c r="G293" i="23"/>
  <c r="BC292" i="23"/>
  <c r="BA292" i="23"/>
  <c r="AY292" i="23"/>
  <c r="AW292" i="23"/>
  <c r="AU292" i="23"/>
  <c r="AS292" i="23"/>
  <c r="AQ292" i="23"/>
  <c r="AO292" i="23"/>
  <c r="AM292" i="23"/>
  <c r="AK292" i="23"/>
  <c r="AI292" i="23"/>
  <c r="AG292" i="23"/>
  <c r="AE292" i="23"/>
  <c r="AC292" i="23"/>
  <c r="AA292" i="23"/>
  <c r="Y292" i="23"/>
  <c r="W292" i="23"/>
  <c r="U292" i="23"/>
  <c r="S292" i="23"/>
  <c r="Q292" i="23"/>
  <c r="O292" i="23"/>
  <c r="M292" i="23"/>
  <c r="K292" i="23"/>
  <c r="I292" i="23"/>
  <c r="G292" i="23"/>
  <c r="BC291" i="23"/>
  <c r="BA291" i="23"/>
  <c r="AY291" i="23"/>
  <c r="AW291" i="23"/>
  <c r="AU291" i="23"/>
  <c r="AS291" i="23"/>
  <c r="AQ291" i="23"/>
  <c r="AO291" i="23"/>
  <c r="AM291" i="23"/>
  <c r="AK291" i="23"/>
  <c r="AI291" i="23"/>
  <c r="AG291" i="23"/>
  <c r="AE291" i="23"/>
  <c r="AC291" i="23"/>
  <c r="AA291" i="23"/>
  <c r="Y291" i="23"/>
  <c r="W291" i="23"/>
  <c r="U291" i="23"/>
  <c r="S291" i="23"/>
  <c r="Q291" i="23"/>
  <c r="O291" i="23"/>
  <c r="M291" i="23"/>
  <c r="K291" i="23"/>
  <c r="I291" i="23"/>
  <c r="G291" i="23"/>
  <c r="BC290" i="23"/>
  <c r="BA290" i="23"/>
  <c r="AY290" i="23"/>
  <c r="AW290" i="23"/>
  <c r="AU290" i="23"/>
  <c r="AS290" i="23"/>
  <c r="AQ290" i="23"/>
  <c r="AO290" i="23"/>
  <c r="AM290" i="23"/>
  <c r="AK290" i="23"/>
  <c r="AI290" i="23"/>
  <c r="AG290" i="23"/>
  <c r="AE290" i="23"/>
  <c r="AC290" i="23"/>
  <c r="AA290" i="23"/>
  <c r="Y290" i="23"/>
  <c r="W290" i="23"/>
  <c r="U290" i="23"/>
  <c r="S290" i="23"/>
  <c r="Q290" i="23"/>
  <c r="O290" i="23"/>
  <c r="M290" i="23"/>
  <c r="K290" i="23"/>
  <c r="I290" i="23"/>
  <c r="G290" i="23"/>
  <c r="BC289" i="23"/>
  <c r="BA289" i="23"/>
  <c r="AY289" i="23"/>
  <c r="AW289" i="23"/>
  <c r="AU289" i="23"/>
  <c r="AS289" i="23"/>
  <c r="AQ289" i="23"/>
  <c r="AO289" i="23"/>
  <c r="AM289" i="23"/>
  <c r="AK289" i="23"/>
  <c r="AI289" i="23"/>
  <c r="AG289" i="23"/>
  <c r="AE289" i="23"/>
  <c r="AC289" i="23"/>
  <c r="AA289" i="23"/>
  <c r="Y289" i="23"/>
  <c r="W289" i="23"/>
  <c r="U289" i="23"/>
  <c r="S289" i="23"/>
  <c r="Q289" i="23"/>
  <c r="O289" i="23"/>
  <c r="M289" i="23"/>
  <c r="K289" i="23"/>
  <c r="I289" i="23"/>
  <c r="G289" i="23"/>
  <c r="BC288" i="23"/>
  <c r="BA288" i="23"/>
  <c r="AY288" i="23"/>
  <c r="AW288" i="23"/>
  <c r="AU288" i="23"/>
  <c r="AS288" i="23"/>
  <c r="AQ288" i="23"/>
  <c r="AO288" i="23"/>
  <c r="AM288" i="23"/>
  <c r="AK288" i="23"/>
  <c r="AI288" i="23"/>
  <c r="AG288" i="23"/>
  <c r="AE288" i="23"/>
  <c r="AC288" i="23"/>
  <c r="AA288" i="23"/>
  <c r="Y288" i="23"/>
  <c r="W288" i="23"/>
  <c r="U288" i="23"/>
  <c r="S288" i="23"/>
  <c r="Q288" i="23"/>
  <c r="O288" i="23"/>
  <c r="M288" i="23"/>
  <c r="K288" i="23"/>
  <c r="I288" i="23"/>
  <c r="G288" i="23"/>
  <c r="BC287" i="23"/>
  <c r="BA287" i="23"/>
  <c r="AY287" i="23"/>
  <c r="AW287" i="23"/>
  <c r="AU287" i="23"/>
  <c r="AS287" i="23"/>
  <c r="AQ287" i="23"/>
  <c r="AO287" i="23"/>
  <c r="AM287" i="23"/>
  <c r="AK287" i="23"/>
  <c r="AI287" i="23"/>
  <c r="AG287" i="23"/>
  <c r="AE287" i="23"/>
  <c r="AC287" i="23"/>
  <c r="AA287" i="23"/>
  <c r="Y287" i="23"/>
  <c r="W287" i="23"/>
  <c r="U287" i="23"/>
  <c r="S287" i="23"/>
  <c r="Q287" i="23"/>
  <c r="O287" i="23"/>
  <c r="M287" i="23"/>
  <c r="K287" i="23"/>
  <c r="I287" i="23"/>
  <c r="G287" i="23"/>
  <c r="BC286" i="23"/>
  <c r="BA286" i="23"/>
  <c r="AY286" i="23"/>
  <c r="AW286" i="23"/>
  <c r="AU286" i="23"/>
  <c r="AS286" i="23"/>
  <c r="AQ286" i="23"/>
  <c r="AO286" i="23"/>
  <c r="AM286" i="23"/>
  <c r="AK286" i="23"/>
  <c r="AI286" i="23"/>
  <c r="AG286" i="23"/>
  <c r="AE286" i="23"/>
  <c r="AC286" i="23"/>
  <c r="AA286" i="23"/>
  <c r="Y286" i="23"/>
  <c r="W286" i="23"/>
  <c r="U286" i="23"/>
  <c r="S286" i="23"/>
  <c r="Q286" i="23"/>
  <c r="O286" i="23"/>
  <c r="M286" i="23"/>
  <c r="K286" i="23"/>
  <c r="I286" i="23"/>
  <c r="CF285" i="23"/>
  <c r="CE285" i="23"/>
  <c r="CD285" i="23"/>
  <c r="CC285" i="23"/>
  <c r="CB285" i="23"/>
  <c r="CA285" i="23"/>
  <c r="BZ285" i="23"/>
  <c r="BY285" i="23"/>
  <c r="BX285" i="23"/>
  <c r="BW285" i="23"/>
  <c r="BV285" i="23"/>
  <c r="BU285" i="23"/>
  <c r="BT285" i="23"/>
  <c r="BS285" i="23"/>
  <c r="BR285" i="23"/>
  <c r="BQ285" i="23"/>
  <c r="BP285" i="23"/>
  <c r="BO285" i="23"/>
  <c r="BN285" i="23"/>
  <c r="BM285" i="23"/>
  <c r="BL285" i="23"/>
  <c r="BK285" i="23"/>
  <c r="BJ285" i="23"/>
  <c r="BI285" i="23"/>
  <c r="BC285" i="23"/>
  <c r="BA285" i="23"/>
  <c r="AY285" i="23"/>
  <c r="AW285" i="23"/>
  <c r="AU285" i="23"/>
  <c r="AS285" i="23"/>
  <c r="AQ285" i="23"/>
  <c r="AO285" i="23"/>
  <c r="AM285" i="23"/>
  <c r="AK285" i="23"/>
  <c r="AI285" i="23"/>
  <c r="AG285" i="23"/>
  <c r="AE285" i="23"/>
  <c r="AC285" i="23"/>
  <c r="AA285" i="23"/>
  <c r="Y285" i="23"/>
  <c r="W285" i="23"/>
  <c r="U285" i="23"/>
  <c r="S285" i="23"/>
  <c r="Q285" i="23"/>
  <c r="O285" i="23"/>
  <c r="M285" i="23"/>
  <c r="K285" i="23"/>
  <c r="I285" i="23"/>
  <c r="BC326" i="23"/>
  <c r="BA326" i="23"/>
  <c r="AY326" i="23"/>
  <c r="AW326" i="23"/>
  <c r="AU326" i="23"/>
  <c r="AS326" i="23"/>
  <c r="AQ326" i="23"/>
  <c r="AO326" i="23"/>
  <c r="AM326" i="23"/>
  <c r="AK326" i="23"/>
  <c r="AI326" i="23"/>
  <c r="AG326" i="23"/>
  <c r="AE326" i="23"/>
  <c r="AC326" i="23"/>
  <c r="AA326" i="23"/>
  <c r="Y326" i="23"/>
  <c r="W326" i="23"/>
  <c r="U326" i="23"/>
  <c r="S326" i="23"/>
  <c r="Q326" i="23"/>
  <c r="O326" i="23"/>
  <c r="M326" i="23"/>
  <c r="K326" i="23"/>
  <c r="I326" i="23"/>
  <c r="G326" i="23"/>
  <c r="BC325" i="23"/>
  <c r="BA325" i="23"/>
  <c r="AY325" i="23"/>
  <c r="AW325" i="23"/>
  <c r="AU325" i="23"/>
  <c r="AS325" i="23"/>
  <c r="AQ325" i="23"/>
  <c r="AO325" i="23"/>
  <c r="AM325" i="23"/>
  <c r="AK325" i="23"/>
  <c r="AI325" i="23"/>
  <c r="AG325" i="23"/>
  <c r="AE325" i="23"/>
  <c r="AC325" i="23"/>
  <c r="AA325" i="23"/>
  <c r="Y325" i="23"/>
  <c r="W325" i="23"/>
  <c r="U325" i="23"/>
  <c r="S325" i="23"/>
  <c r="Q325" i="23"/>
  <c r="O325" i="23"/>
  <c r="M325" i="23"/>
  <c r="K325" i="23"/>
  <c r="I325" i="23"/>
  <c r="BC324" i="23"/>
  <c r="BA324" i="23"/>
  <c r="AY324" i="23"/>
  <c r="AW324" i="23"/>
  <c r="AU324" i="23"/>
  <c r="AS324" i="23"/>
  <c r="AQ324" i="23"/>
  <c r="AO324" i="23"/>
  <c r="AM324" i="23"/>
  <c r="AK324" i="23"/>
  <c r="AI324" i="23"/>
  <c r="AG324" i="23"/>
  <c r="AE324" i="23"/>
  <c r="AC324" i="23"/>
  <c r="AA324" i="23"/>
  <c r="Y324" i="23"/>
  <c r="W324" i="23"/>
  <c r="U324" i="23"/>
  <c r="S324" i="23"/>
  <c r="Q324" i="23"/>
  <c r="O324" i="23"/>
  <c r="M324" i="23"/>
  <c r="K324" i="23"/>
  <c r="I324" i="23"/>
  <c r="G324" i="23"/>
  <c r="BC323" i="23"/>
  <c r="BA323" i="23"/>
  <c r="AY323" i="23"/>
  <c r="AW323" i="23"/>
  <c r="AU323" i="23"/>
  <c r="AS323" i="23"/>
  <c r="AQ323" i="23"/>
  <c r="AO323" i="23"/>
  <c r="AM323" i="23"/>
  <c r="AK323" i="23"/>
  <c r="AI323" i="23"/>
  <c r="AG323" i="23"/>
  <c r="AE323" i="23"/>
  <c r="AC323" i="23"/>
  <c r="AA323" i="23"/>
  <c r="Y323" i="23"/>
  <c r="W323" i="23"/>
  <c r="U323" i="23"/>
  <c r="S323" i="23"/>
  <c r="Q323" i="23"/>
  <c r="O323" i="23"/>
  <c r="M323" i="23"/>
  <c r="K323" i="23"/>
  <c r="I323" i="23"/>
  <c r="BC322" i="23"/>
  <c r="BA322" i="23"/>
  <c r="AY322" i="23"/>
  <c r="AW322" i="23"/>
  <c r="AU322" i="23"/>
  <c r="AS322" i="23"/>
  <c r="AQ322" i="23"/>
  <c r="AO322" i="23"/>
  <c r="AM322" i="23"/>
  <c r="AK322" i="23"/>
  <c r="AI322" i="23"/>
  <c r="AG322" i="23"/>
  <c r="AE322" i="23"/>
  <c r="AC322" i="23"/>
  <c r="AA322" i="23"/>
  <c r="Y322" i="23"/>
  <c r="W322" i="23"/>
  <c r="U322" i="23"/>
  <c r="S322" i="23"/>
  <c r="Q322" i="23"/>
  <c r="O322" i="23"/>
  <c r="M322" i="23"/>
  <c r="K322" i="23"/>
  <c r="I322" i="23"/>
  <c r="G322" i="23"/>
  <c r="BC321" i="23"/>
  <c r="BA321" i="23"/>
  <c r="AY321" i="23"/>
  <c r="AW321" i="23"/>
  <c r="AU321" i="23"/>
  <c r="AS321" i="23"/>
  <c r="AQ321" i="23"/>
  <c r="AO321" i="23"/>
  <c r="AM321" i="23"/>
  <c r="AK321" i="23"/>
  <c r="AI321" i="23"/>
  <c r="AG321" i="23"/>
  <c r="AE321" i="23"/>
  <c r="AC321" i="23"/>
  <c r="AA321" i="23"/>
  <c r="Y321" i="23"/>
  <c r="W321" i="23"/>
  <c r="U321" i="23"/>
  <c r="S321" i="23"/>
  <c r="Q321" i="23"/>
  <c r="O321" i="23"/>
  <c r="M321" i="23"/>
  <c r="K321" i="23"/>
  <c r="I321" i="23"/>
  <c r="BC320" i="23"/>
  <c r="BA320" i="23"/>
  <c r="AY320" i="23"/>
  <c r="AW320" i="23"/>
  <c r="AU320" i="23"/>
  <c r="AS320" i="23"/>
  <c r="AQ320" i="23"/>
  <c r="AO320" i="23"/>
  <c r="AM320" i="23"/>
  <c r="AK320" i="23"/>
  <c r="AI320" i="23"/>
  <c r="AG320" i="23"/>
  <c r="AE320" i="23"/>
  <c r="AC320" i="23"/>
  <c r="AA320" i="23"/>
  <c r="Y320" i="23"/>
  <c r="W320" i="23"/>
  <c r="U320" i="23"/>
  <c r="S320" i="23"/>
  <c r="Q320" i="23"/>
  <c r="O320" i="23"/>
  <c r="M320" i="23"/>
  <c r="K320" i="23"/>
  <c r="I320" i="23"/>
  <c r="G320" i="23"/>
  <c r="BC319" i="23"/>
  <c r="BA319" i="23"/>
  <c r="AY319" i="23"/>
  <c r="AW319" i="23"/>
  <c r="AU319" i="23"/>
  <c r="AS319" i="23"/>
  <c r="AQ319" i="23"/>
  <c r="AO319" i="23"/>
  <c r="AM319" i="23"/>
  <c r="AK319" i="23"/>
  <c r="AI319" i="23"/>
  <c r="AG319" i="23"/>
  <c r="AE319" i="23"/>
  <c r="AC319" i="23"/>
  <c r="AA319" i="23"/>
  <c r="Y319" i="23"/>
  <c r="W319" i="23"/>
  <c r="U319" i="23"/>
  <c r="S319" i="23"/>
  <c r="Q319" i="23"/>
  <c r="O319" i="23"/>
  <c r="M319" i="23"/>
  <c r="K319" i="23"/>
  <c r="I319" i="23"/>
  <c r="BC318" i="23"/>
  <c r="BA318" i="23"/>
  <c r="AY318" i="23"/>
  <c r="AW318" i="23"/>
  <c r="AU318" i="23"/>
  <c r="AS318" i="23"/>
  <c r="AQ318" i="23"/>
  <c r="AO318" i="23"/>
  <c r="AM318" i="23"/>
  <c r="AK318" i="23"/>
  <c r="AI318" i="23"/>
  <c r="AG318" i="23"/>
  <c r="AE318" i="23"/>
  <c r="AC318" i="23"/>
  <c r="AA318" i="23"/>
  <c r="Y318" i="23"/>
  <c r="W318" i="23"/>
  <c r="U318" i="23"/>
  <c r="S318" i="23"/>
  <c r="Q318" i="23"/>
  <c r="O318" i="23"/>
  <c r="M318" i="23"/>
  <c r="K318" i="23"/>
  <c r="I318" i="23"/>
  <c r="G318" i="23"/>
  <c r="BC317" i="23"/>
  <c r="BA317" i="23"/>
  <c r="AY317" i="23"/>
  <c r="AW317" i="23"/>
  <c r="AU317" i="23"/>
  <c r="AS317" i="23"/>
  <c r="AQ317" i="23"/>
  <c r="AO317" i="23"/>
  <c r="AM317" i="23"/>
  <c r="AK317" i="23"/>
  <c r="AI317" i="23"/>
  <c r="AG317" i="23"/>
  <c r="AE317" i="23"/>
  <c r="AC317" i="23"/>
  <c r="AA317" i="23"/>
  <c r="Y317" i="23"/>
  <c r="W317" i="23"/>
  <c r="U317" i="23"/>
  <c r="S317" i="23"/>
  <c r="Q317" i="23"/>
  <c r="O317" i="23"/>
  <c r="M317" i="23"/>
  <c r="K317" i="23"/>
  <c r="I317" i="23"/>
  <c r="BC316" i="23"/>
  <c r="BA316" i="23"/>
  <c r="AY316" i="23"/>
  <c r="AW316" i="23"/>
  <c r="AU316" i="23"/>
  <c r="AS316" i="23"/>
  <c r="AQ316" i="23"/>
  <c r="AO316" i="23"/>
  <c r="AM316" i="23"/>
  <c r="AK316" i="23"/>
  <c r="AI316" i="23"/>
  <c r="AG316" i="23"/>
  <c r="AE316" i="23"/>
  <c r="AC316" i="23"/>
  <c r="AA316" i="23"/>
  <c r="Y316" i="23"/>
  <c r="W316" i="23"/>
  <c r="U316" i="23"/>
  <c r="S316" i="23"/>
  <c r="Q316" i="23"/>
  <c r="O316" i="23"/>
  <c r="M316" i="23"/>
  <c r="K316" i="23"/>
  <c r="I316" i="23"/>
  <c r="G316" i="23"/>
  <c r="BC315" i="23"/>
  <c r="BA315" i="23"/>
  <c r="AY315" i="23"/>
  <c r="AW315" i="23"/>
  <c r="AU315" i="23"/>
  <c r="AS315" i="23"/>
  <c r="AQ315" i="23"/>
  <c r="AO315" i="23"/>
  <c r="AM315" i="23"/>
  <c r="AK315" i="23"/>
  <c r="AI315" i="23"/>
  <c r="AG315" i="23"/>
  <c r="AE315" i="23"/>
  <c r="AC315" i="23"/>
  <c r="AA315" i="23"/>
  <c r="Y315" i="23"/>
  <c r="W315" i="23"/>
  <c r="U315" i="23"/>
  <c r="S315" i="23"/>
  <c r="Q315" i="23"/>
  <c r="O315" i="23"/>
  <c r="M315" i="23"/>
  <c r="K315" i="23"/>
  <c r="I315" i="23"/>
  <c r="BC314" i="23"/>
  <c r="BA314" i="23"/>
  <c r="AY314" i="23"/>
  <c r="AW314" i="23"/>
  <c r="AU314" i="23"/>
  <c r="AS314" i="23"/>
  <c r="AQ314" i="23"/>
  <c r="AO314" i="23"/>
  <c r="AM314" i="23"/>
  <c r="AK314" i="23"/>
  <c r="AI314" i="23"/>
  <c r="AG314" i="23"/>
  <c r="AE314" i="23"/>
  <c r="AC314" i="23"/>
  <c r="AA314" i="23"/>
  <c r="Y314" i="23"/>
  <c r="W314" i="23"/>
  <c r="U314" i="23"/>
  <c r="S314" i="23"/>
  <c r="Q314" i="23"/>
  <c r="O314" i="23"/>
  <c r="M314" i="23"/>
  <c r="K314" i="23"/>
  <c r="I314" i="23"/>
  <c r="BC313" i="23"/>
  <c r="BA313" i="23"/>
  <c r="AY313" i="23"/>
  <c r="AW313" i="23"/>
  <c r="AU313" i="23"/>
  <c r="AS313" i="23"/>
  <c r="AQ313" i="23"/>
  <c r="AO313" i="23"/>
  <c r="AM313" i="23"/>
  <c r="AK313" i="23"/>
  <c r="AI313" i="23"/>
  <c r="AG313" i="23"/>
  <c r="AE313" i="23"/>
  <c r="AC313" i="23"/>
  <c r="AA313" i="23"/>
  <c r="Y313" i="23"/>
  <c r="W313" i="23"/>
  <c r="U313" i="23"/>
  <c r="S313" i="23"/>
  <c r="Q313" i="23"/>
  <c r="O313" i="23"/>
  <c r="M313" i="23"/>
  <c r="K313" i="23"/>
  <c r="I313" i="23"/>
  <c r="BC312" i="23"/>
  <c r="BA312" i="23"/>
  <c r="AY312" i="23"/>
  <c r="AW312" i="23"/>
  <c r="AU312" i="23"/>
  <c r="AS312" i="23"/>
  <c r="AQ312" i="23"/>
  <c r="AO312" i="23"/>
  <c r="AM312" i="23"/>
  <c r="AK312" i="23"/>
  <c r="AI312" i="23"/>
  <c r="AG312" i="23"/>
  <c r="AE312" i="23"/>
  <c r="AC312" i="23"/>
  <c r="AA312" i="23"/>
  <c r="Y312" i="23"/>
  <c r="W312" i="23"/>
  <c r="U312" i="23"/>
  <c r="S312" i="23"/>
  <c r="Q312" i="23"/>
  <c r="O312" i="23"/>
  <c r="M312" i="23"/>
  <c r="K312" i="23"/>
  <c r="I312" i="23"/>
  <c r="G312" i="23"/>
  <c r="BC311" i="23"/>
  <c r="BA311" i="23"/>
  <c r="AY311" i="23"/>
  <c r="AW311" i="23"/>
  <c r="AU311" i="23"/>
  <c r="AS311" i="23"/>
  <c r="AQ311" i="23"/>
  <c r="AO311" i="23"/>
  <c r="AM311" i="23"/>
  <c r="AK311" i="23"/>
  <c r="AI311" i="23"/>
  <c r="AG311" i="23"/>
  <c r="AE311" i="23"/>
  <c r="AC311" i="23"/>
  <c r="AA311" i="23"/>
  <c r="Y311" i="23"/>
  <c r="W311" i="23"/>
  <c r="U311" i="23"/>
  <c r="S311" i="23"/>
  <c r="Q311" i="23"/>
  <c r="O311" i="23"/>
  <c r="M311" i="23"/>
  <c r="K311" i="23"/>
  <c r="I311" i="23"/>
  <c r="G311" i="23"/>
  <c r="BC310" i="23"/>
  <c r="BA310" i="23"/>
  <c r="AY310" i="23"/>
  <c r="AW310" i="23"/>
  <c r="AU310" i="23"/>
  <c r="AS310" i="23"/>
  <c r="AQ310" i="23"/>
  <c r="AO310" i="23"/>
  <c r="AM310" i="23"/>
  <c r="AK310" i="23"/>
  <c r="AI310" i="23"/>
  <c r="AG310" i="23"/>
  <c r="AE310" i="23"/>
  <c r="AC310" i="23"/>
  <c r="AA310" i="23"/>
  <c r="Y310" i="23"/>
  <c r="W310" i="23"/>
  <c r="U310" i="23"/>
  <c r="S310" i="23"/>
  <c r="Q310" i="23"/>
  <c r="O310" i="23"/>
  <c r="M310" i="23"/>
  <c r="K310" i="23"/>
  <c r="I310" i="23"/>
  <c r="G310" i="23"/>
  <c r="BC309" i="23"/>
  <c r="BA309" i="23"/>
  <c r="AY309" i="23"/>
  <c r="AW309" i="23"/>
  <c r="AU309" i="23"/>
  <c r="AS309" i="23"/>
  <c r="AQ309" i="23"/>
  <c r="AO309" i="23"/>
  <c r="AM309" i="23"/>
  <c r="AK309" i="23"/>
  <c r="AI309" i="23"/>
  <c r="AG309" i="23"/>
  <c r="AE309" i="23"/>
  <c r="AC309" i="23"/>
  <c r="AA309" i="23"/>
  <c r="Y309" i="23"/>
  <c r="W309" i="23"/>
  <c r="U309" i="23"/>
  <c r="S309" i="23"/>
  <c r="Q309" i="23"/>
  <c r="O309" i="23"/>
  <c r="M309" i="23"/>
  <c r="K309" i="23"/>
  <c r="I309" i="23"/>
  <c r="G309" i="23"/>
  <c r="BC308" i="23"/>
  <c r="BA308" i="23"/>
  <c r="AY308" i="23"/>
  <c r="AW308" i="23"/>
  <c r="AU308" i="23"/>
  <c r="AS308" i="23"/>
  <c r="AQ308" i="23"/>
  <c r="AO308" i="23"/>
  <c r="AM308" i="23"/>
  <c r="AK308" i="23"/>
  <c r="AI308" i="23"/>
  <c r="AG308" i="23"/>
  <c r="AE308" i="23"/>
  <c r="AC308" i="23"/>
  <c r="AA308" i="23"/>
  <c r="Y308" i="23"/>
  <c r="W308" i="23"/>
  <c r="U308" i="23"/>
  <c r="S308" i="23"/>
  <c r="Q308" i="23"/>
  <c r="O308" i="23"/>
  <c r="M308" i="23"/>
  <c r="K308" i="23"/>
  <c r="I308" i="23"/>
  <c r="G308" i="23"/>
  <c r="BC307" i="23"/>
  <c r="BA307" i="23"/>
  <c r="AY307" i="23"/>
  <c r="AW307" i="23"/>
  <c r="AU307" i="23"/>
  <c r="AS307" i="23"/>
  <c r="AQ307" i="23"/>
  <c r="AO307" i="23"/>
  <c r="AM307" i="23"/>
  <c r="AK307" i="23"/>
  <c r="AI307" i="23"/>
  <c r="AG307" i="23"/>
  <c r="AE307" i="23"/>
  <c r="AC307" i="23"/>
  <c r="AA307" i="23"/>
  <c r="Y307" i="23"/>
  <c r="W307" i="23"/>
  <c r="U307" i="23"/>
  <c r="S307" i="23"/>
  <c r="Q307" i="23"/>
  <c r="O307" i="23"/>
  <c r="M307" i="23"/>
  <c r="K307" i="23"/>
  <c r="I307" i="23"/>
  <c r="BC306" i="23"/>
  <c r="BA306" i="23"/>
  <c r="AY306" i="23"/>
  <c r="AW306" i="23"/>
  <c r="AU306" i="23"/>
  <c r="AS306" i="23"/>
  <c r="AQ306" i="23"/>
  <c r="AO306" i="23"/>
  <c r="AM306" i="23"/>
  <c r="AK306" i="23"/>
  <c r="AI306" i="23"/>
  <c r="AG306" i="23"/>
  <c r="AE306" i="23"/>
  <c r="AC306" i="23"/>
  <c r="AA306" i="23"/>
  <c r="Y306" i="23"/>
  <c r="W306" i="23"/>
  <c r="U306" i="23"/>
  <c r="S306" i="23"/>
  <c r="Q306" i="23"/>
  <c r="O306" i="23"/>
  <c r="M306" i="23"/>
  <c r="K306" i="23"/>
  <c r="I306" i="23"/>
  <c r="G306" i="23"/>
  <c r="CF305" i="23"/>
  <c r="CE305" i="23"/>
  <c r="CD305" i="23"/>
  <c r="CC305" i="23"/>
  <c r="CB305" i="23"/>
  <c r="CA305" i="23"/>
  <c r="BZ305" i="23"/>
  <c r="BY305" i="23"/>
  <c r="BX305" i="23"/>
  <c r="BW305" i="23"/>
  <c r="BV305" i="23"/>
  <c r="BU305" i="23"/>
  <c r="BT305" i="23"/>
  <c r="BS305" i="23"/>
  <c r="BR305" i="23"/>
  <c r="BQ305" i="23"/>
  <c r="BP305" i="23"/>
  <c r="BO305" i="23"/>
  <c r="BN305" i="23"/>
  <c r="BM305" i="23"/>
  <c r="BL305" i="23"/>
  <c r="BK305" i="23"/>
  <c r="BJ305" i="23"/>
  <c r="BI305" i="23"/>
  <c r="BC305" i="23"/>
  <c r="BA305" i="23"/>
  <c r="AY305" i="23"/>
  <c r="AW305" i="23"/>
  <c r="AU305" i="23"/>
  <c r="AS305" i="23"/>
  <c r="AQ305" i="23"/>
  <c r="AO305" i="23"/>
  <c r="AM305" i="23"/>
  <c r="AK305" i="23"/>
  <c r="AI305" i="23"/>
  <c r="AG305" i="23"/>
  <c r="AE305" i="23"/>
  <c r="AC305" i="23"/>
  <c r="AA305" i="23"/>
  <c r="Y305" i="23"/>
  <c r="W305" i="23"/>
  <c r="U305" i="23"/>
  <c r="S305" i="23"/>
  <c r="Q305" i="23"/>
  <c r="O305" i="23"/>
  <c r="M305" i="23"/>
  <c r="K305" i="23"/>
  <c r="I305" i="23"/>
  <c r="AG270" i="23"/>
  <c r="AG269" i="23" s="1"/>
  <c r="AG268" i="23"/>
  <c r="AG267" i="23"/>
  <c r="AG265" i="23"/>
  <c r="AG264" i="23"/>
  <c r="AG263" i="23"/>
  <c r="AG262" i="23"/>
  <c r="AG261" i="23"/>
  <c r="AG260" i="23"/>
  <c r="AG259" i="23"/>
  <c r="AG258" i="23"/>
  <c r="AG257" i="23"/>
  <c r="AG256" i="23"/>
  <c r="AG255" i="23"/>
  <c r="AG254" i="23"/>
  <c r="AG253" i="23"/>
  <c r="AG252" i="23"/>
  <c r="AG251" i="23"/>
  <c r="AG250" i="23"/>
  <c r="AG249" i="23"/>
  <c r="AG248" i="23"/>
  <c r="AG247" i="23"/>
  <c r="AG246" i="23"/>
  <c r="AG245" i="23"/>
  <c r="AG244" i="23"/>
  <c r="AG243" i="23"/>
  <c r="AG242" i="23"/>
  <c r="AG241" i="23"/>
  <c r="AG240" i="23"/>
  <c r="AG239" i="23"/>
  <c r="AG238" i="23"/>
  <c r="AG237" i="23"/>
  <c r="AG236" i="23"/>
  <c r="AG235" i="23"/>
  <c r="AG234" i="23"/>
  <c r="AG233" i="23"/>
  <c r="AG232" i="23"/>
  <c r="AG231" i="23"/>
  <c r="AG230" i="23"/>
  <c r="AG229" i="23"/>
  <c r="AG228" i="23"/>
  <c r="AG227" i="23"/>
  <c r="AG226" i="23"/>
  <c r="AG225" i="23"/>
  <c r="AG224" i="23"/>
  <c r="AG223" i="23"/>
  <c r="AG222" i="23"/>
  <c r="AG221" i="23"/>
  <c r="AG220" i="23"/>
  <c r="AG219" i="23"/>
  <c r="AG218" i="23"/>
  <c r="AG217" i="23"/>
  <c r="AG216" i="23"/>
  <c r="AG215" i="23"/>
  <c r="AG214" i="23"/>
  <c r="AG213" i="23"/>
  <c r="AG212" i="23"/>
  <c r="AG211" i="23"/>
  <c r="AG210" i="23"/>
  <c r="AG209" i="23"/>
  <c r="AG208" i="23"/>
  <c r="AG206" i="23"/>
  <c r="AG205" i="23"/>
  <c r="AG204" i="23"/>
  <c r="AG203" i="23"/>
  <c r="AG201" i="23"/>
  <c r="AG200" i="23"/>
  <c r="AG199" i="23"/>
  <c r="AG198" i="23"/>
  <c r="AG196" i="23"/>
  <c r="AG195" i="23"/>
  <c r="AG194" i="23"/>
  <c r="AG193" i="23"/>
  <c r="AG191" i="23"/>
  <c r="AG190" i="23"/>
  <c r="AG188" i="23"/>
  <c r="AG187" i="23"/>
  <c r="AG186" i="23"/>
  <c r="AG184" i="23"/>
  <c r="AG183" i="23"/>
  <c r="AG182" i="23"/>
  <c r="AG180" i="23"/>
  <c r="AG179" i="23"/>
  <c r="AG178" i="23"/>
  <c r="AG177" i="23"/>
  <c r="AG176" i="23"/>
  <c r="AG175" i="23"/>
  <c r="AG174" i="23"/>
  <c r="AG173" i="23"/>
  <c r="AG172" i="23"/>
  <c r="AG171" i="23"/>
  <c r="AG170" i="23"/>
  <c r="AG169" i="23"/>
  <c r="AG168" i="23"/>
  <c r="AG167" i="23"/>
  <c r="AG166" i="23"/>
  <c r="AG165" i="23"/>
  <c r="AG164" i="23"/>
  <c r="AG163" i="23"/>
  <c r="AG162" i="23"/>
  <c r="AG161" i="23"/>
  <c r="AG160" i="23"/>
  <c r="AG159" i="23"/>
  <c r="AG158" i="23"/>
  <c r="AG157" i="23"/>
  <c r="AG156" i="23"/>
  <c r="AG155" i="23"/>
  <c r="AG154" i="23"/>
  <c r="AG153" i="23"/>
  <c r="AG152" i="23"/>
  <c r="AG151" i="23"/>
  <c r="AG150" i="23"/>
  <c r="AG149" i="23"/>
  <c r="AG148" i="23"/>
  <c r="AG147" i="23"/>
  <c r="AG146" i="23"/>
  <c r="AG145" i="23"/>
  <c r="AG143" i="23"/>
  <c r="AG142" i="23"/>
  <c r="AG141" i="23"/>
  <c r="AG140" i="23"/>
  <c r="AG139" i="23"/>
  <c r="AG138" i="23"/>
  <c r="AG137" i="23"/>
  <c r="AG136" i="23"/>
  <c r="AG135" i="23"/>
  <c r="AG134" i="23"/>
  <c r="AG133" i="23"/>
  <c r="AG132" i="23"/>
  <c r="AG131" i="23"/>
  <c r="AG130" i="23"/>
  <c r="AG129" i="23"/>
  <c r="AG128" i="23"/>
  <c r="AG127" i="23"/>
  <c r="AG126" i="23"/>
  <c r="AG125" i="23"/>
  <c r="AG124" i="23"/>
  <c r="AG123" i="23"/>
  <c r="AG122" i="23"/>
  <c r="AG121" i="23"/>
  <c r="AG120" i="23"/>
  <c r="AG119" i="23"/>
  <c r="AG118" i="23"/>
  <c r="AG117" i="23"/>
  <c r="AG116" i="23"/>
  <c r="AG115" i="23"/>
  <c r="AG114" i="23"/>
  <c r="AG113" i="23"/>
  <c r="AG112" i="23"/>
  <c r="AG111" i="23"/>
  <c r="AG109" i="23"/>
  <c r="AG108" i="23"/>
  <c r="AG106" i="23"/>
  <c r="AG105" i="23" s="1"/>
  <c r="AG104" i="23"/>
  <c r="AG103" i="23"/>
  <c r="AG102" i="23"/>
  <c r="AG101" i="23"/>
  <c r="AG100" i="23"/>
  <c r="AG99" i="23"/>
  <c r="AG97" i="23"/>
  <c r="AG96" i="23"/>
  <c r="AG94" i="23"/>
  <c r="AG93" i="23"/>
  <c r="AG92" i="23"/>
  <c r="AG91" i="23"/>
  <c r="AG90" i="23"/>
  <c r="AG88" i="23"/>
  <c r="AG87" i="23"/>
  <c r="AG85" i="23"/>
  <c r="AG84" i="23"/>
  <c r="AG83" i="23"/>
  <c r="AG82" i="23"/>
  <c r="AG80" i="23"/>
  <c r="AG79" i="23"/>
  <c r="AG77" i="23"/>
  <c r="AG76" i="23"/>
  <c r="AG75" i="23"/>
  <c r="AG73" i="23"/>
  <c r="AG72" i="23"/>
  <c r="AG71" i="23"/>
  <c r="AG70" i="23"/>
  <c r="AG67" i="23"/>
  <c r="AG66" i="23"/>
  <c r="AG64" i="23"/>
  <c r="AG63" i="23" s="1"/>
  <c r="AG62" i="23"/>
  <c r="AG61" i="23" s="1"/>
  <c r="AG60" i="23"/>
  <c r="AG59" i="23" s="1"/>
  <c r="AG58" i="23"/>
  <c r="AG57" i="23" s="1"/>
  <c r="AG56" i="23"/>
  <c r="AG55" i="23"/>
  <c r="AG53" i="23"/>
  <c r="AG52" i="23"/>
  <c r="AG50" i="23"/>
  <c r="AG49" i="23"/>
  <c r="AG48" i="23"/>
  <c r="AG47" i="23"/>
  <c r="AG46" i="23"/>
  <c r="AG45" i="23"/>
  <c r="AG44" i="23"/>
  <c r="AG43" i="23"/>
  <c r="AG42" i="23"/>
  <c r="AG40" i="23"/>
  <c r="AG39" i="23"/>
  <c r="AG38" i="23"/>
  <c r="AG37" i="23"/>
  <c r="AG36" i="23"/>
  <c r="AG35" i="23"/>
  <c r="AG34" i="23"/>
  <c r="AG31" i="23"/>
  <c r="AG30" i="23"/>
  <c r="AG29" i="23"/>
  <c r="AG28" i="23"/>
  <c r="AG27" i="23"/>
  <c r="AG24" i="23"/>
  <c r="AG23" i="23"/>
  <c r="AG21" i="23"/>
  <c r="AG20" i="23"/>
  <c r="AG19" i="23"/>
  <c r="AG18" i="23"/>
  <c r="AG17" i="23"/>
  <c r="AG16" i="23"/>
  <c r="AG15" i="23"/>
  <c r="AG14" i="23"/>
  <c r="AG13" i="23"/>
  <c r="AG11" i="23"/>
  <c r="AG10" i="23"/>
  <c r="AG8" i="23"/>
  <c r="AG7" i="23" s="1"/>
  <c r="BC270" i="23"/>
  <c r="BC269" i="23" s="1"/>
  <c r="BC268" i="23"/>
  <c r="BC267" i="23"/>
  <c r="BC265" i="23"/>
  <c r="BC264" i="23"/>
  <c r="BC263" i="23"/>
  <c r="BC262" i="23"/>
  <c r="BC261" i="23"/>
  <c r="BC260" i="23"/>
  <c r="BC259" i="23"/>
  <c r="BC258" i="23"/>
  <c r="BC257" i="23"/>
  <c r="BC256" i="23"/>
  <c r="BC255" i="23"/>
  <c r="BC254" i="23"/>
  <c r="BC253" i="23"/>
  <c r="BC252" i="23"/>
  <c r="BC251" i="23"/>
  <c r="BC250" i="23"/>
  <c r="BC249" i="23"/>
  <c r="BC248" i="23"/>
  <c r="BC247" i="23"/>
  <c r="BC246" i="23"/>
  <c r="BC245" i="23"/>
  <c r="BC244" i="23"/>
  <c r="BC243" i="23"/>
  <c r="BC242" i="23"/>
  <c r="BC241" i="23"/>
  <c r="BC240" i="23"/>
  <c r="BC239" i="23"/>
  <c r="BC238" i="23"/>
  <c r="BC237" i="23"/>
  <c r="BC236" i="23"/>
  <c r="BC235" i="23"/>
  <c r="BC234" i="23"/>
  <c r="BC233" i="23"/>
  <c r="BC232" i="23"/>
  <c r="BC231" i="23"/>
  <c r="BC230" i="23"/>
  <c r="BC229" i="23"/>
  <c r="BC228" i="23"/>
  <c r="BC227" i="23"/>
  <c r="BC226" i="23"/>
  <c r="BC225" i="23"/>
  <c r="BC224" i="23"/>
  <c r="BC223" i="23"/>
  <c r="BC222" i="23"/>
  <c r="BC221" i="23"/>
  <c r="BC220" i="23"/>
  <c r="BC219" i="23"/>
  <c r="BC218" i="23"/>
  <c r="BC217" i="23"/>
  <c r="BC216" i="23"/>
  <c r="BC215" i="23"/>
  <c r="BC214" i="23"/>
  <c r="BC213" i="23"/>
  <c r="BC212" i="23"/>
  <c r="BC211" i="23"/>
  <c r="BC210" i="23"/>
  <c r="BC209" i="23"/>
  <c r="BC208" i="23"/>
  <c r="BC206" i="23"/>
  <c r="BC205" i="23"/>
  <c r="BC204" i="23"/>
  <c r="BC203" i="23"/>
  <c r="BC201" i="23"/>
  <c r="BC200" i="23"/>
  <c r="BC199" i="23"/>
  <c r="BC198" i="23"/>
  <c r="BC196" i="23"/>
  <c r="BC195" i="23"/>
  <c r="BC194" i="23"/>
  <c r="BC193" i="23"/>
  <c r="BC191" i="23"/>
  <c r="BC190" i="23"/>
  <c r="BC188" i="23"/>
  <c r="BC187" i="23"/>
  <c r="BC186" i="23"/>
  <c r="BC184" i="23"/>
  <c r="BC183" i="23"/>
  <c r="BC182" i="23"/>
  <c r="BC180" i="23"/>
  <c r="BC179" i="23"/>
  <c r="BC178" i="23"/>
  <c r="BC177" i="23"/>
  <c r="BC176" i="23"/>
  <c r="BC175" i="23"/>
  <c r="BC174" i="23"/>
  <c r="BC173" i="23"/>
  <c r="BC172" i="23"/>
  <c r="BC171" i="23"/>
  <c r="BC170" i="23"/>
  <c r="BC169" i="23"/>
  <c r="BC168" i="23"/>
  <c r="BC167" i="23"/>
  <c r="BC166" i="23"/>
  <c r="BC165" i="23"/>
  <c r="BC164" i="23"/>
  <c r="BC163" i="23"/>
  <c r="BC162" i="23"/>
  <c r="BC161" i="23"/>
  <c r="BC160" i="23"/>
  <c r="BC159" i="23"/>
  <c r="BC158" i="23"/>
  <c r="BC157" i="23"/>
  <c r="BC156" i="23"/>
  <c r="BC155" i="23"/>
  <c r="BC154" i="23"/>
  <c r="BC153" i="23"/>
  <c r="BC152" i="23"/>
  <c r="BC151" i="23"/>
  <c r="BC150" i="23"/>
  <c r="BC149" i="23"/>
  <c r="BC148" i="23"/>
  <c r="BC147" i="23"/>
  <c r="BC146" i="23"/>
  <c r="BC145" i="23"/>
  <c r="BC143" i="23"/>
  <c r="BC142" i="23"/>
  <c r="BC141" i="23"/>
  <c r="BC140" i="23"/>
  <c r="BC139" i="23"/>
  <c r="BC138" i="23"/>
  <c r="BC137" i="23"/>
  <c r="BC136" i="23"/>
  <c r="BC135" i="23"/>
  <c r="BC134" i="23"/>
  <c r="BC133" i="23"/>
  <c r="BC132" i="23"/>
  <c r="BC131" i="23"/>
  <c r="BC130" i="23"/>
  <c r="BC129" i="23"/>
  <c r="BC128" i="23"/>
  <c r="BC127" i="23"/>
  <c r="BC126" i="23"/>
  <c r="BC125" i="23"/>
  <c r="BC124" i="23"/>
  <c r="BC123" i="23"/>
  <c r="BC122" i="23"/>
  <c r="BC121" i="23"/>
  <c r="BC120" i="23"/>
  <c r="BC119" i="23"/>
  <c r="BC118" i="23"/>
  <c r="BC117" i="23"/>
  <c r="BC116" i="23"/>
  <c r="BC115" i="23"/>
  <c r="BC114" i="23"/>
  <c r="BC113" i="23"/>
  <c r="BC112" i="23"/>
  <c r="BC111" i="23"/>
  <c r="BC109" i="23"/>
  <c r="BC108" i="23"/>
  <c r="BC106" i="23"/>
  <c r="BC105" i="23" s="1"/>
  <c r="BC104" i="23"/>
  <c r="BC103" i="23"/>
  <c r="BC102" i="23"/>
  <c r="BC101" i="23"/>
  <c r="BC100" i="23"/>
  <c r="BC99" i="23"/>
  <c r="BC97" i="23"/>
  <c r="BC96" i="23"/>
  <c r="BC94" i="23"/>
  <c r="BC93" i="23"/>
  <c r="BC92" i="23"/>
  <c r="BC91" i="23"/>
  <c r="BC90" i="23"/>
  <c r="BC88" i="23"/>
  <c r="BC87" i="23"/>
  <c r="BC85" i="23"/>
  <c r="BC84" i="23"/>
  <c r="BC83" i="23"/>
  <c r="BC82" i="23"/>
  <c r="BC80" i="23"/>
  <c r="BC79" i="23"/>
  <c r="BC77" i="23"/>
  <c r="BC76" i="23"/>
  <c r="BC75" i="23"/>
  <c r="BC73" i="23"/>
  <c r="BC72" i="23"/>
  <c r="BC71" i="23"/>
  <c r="BC70" i="23"/>
  <c r="BC67" i="23"/>
  <c r="BC66" i="23"/>
  <c r="BC64" i="23"/>
  <c r="BC63" i="23" s="1"/>
  <c r="BC62" i="23"/>
  <c r="BC61" i="23" s="1"/>
  <c r="BC60" i="23"/>
  <c r="BC59" i="23" s="1"/>
  <c r="BC58" i="23"/>
  <c r="BC57" i="23" s="1"/>
  <c r="BC56" i="23"/>
  <c r="BC55" i="23"/>
  <c r="BC53" i="23"/>
  <c r="BC52" i="23"/>
  <c r="BC50" i="23"/>
  <c r="BC49" i="23"/>
  <c r="BC48" i="23"/>
  <c r="BC47" i="23"/>
  <c r="BC46" i="23"/>
  <c r="BC45" i="23"/>
  <c r="BC44" i="23"/>
  <c r="BC43" i="23"/>
  <c r="BC42" i="23"/>
  <c r="BC40" i="23"/>
  <c r="BC39" i="23"/>
  <c r="BC38" i="23"/>
  <c r="BC37" i="23"/>
  <c r="BC36" i="23"/>
  <c r="BC35" i="23"/>
  <c r="BC34" i="23"/>
  <c r="BC31" i="23"/>
  <c r="BC30" i="23"/>
  <c r="BC29" i="23"/>
  <c r="BC28" i="23"/>
  <c r="BC27" i="23"/>
  <c r="BC24" i="23"/>
  <c r="BC23" i="23"/>
  <c r="BC21" i="23"/>
  <c r="BC20" i="23"/>
  <c r="BC19" i="23"/>
  <c r="BC18" i="23"/>
  <c r="BC17" i="23"/>
  <c r="BC16" i="23"/>
  <c r="BC15" i="23"/>
  <c r="BC14" i="23"/>
  <c r="BC13" i="23"/>
  <c r="BC11" i="23"/>
  <c r="BC10" i="23"/>
  <c r="BC8" i="23"/>
  <c r="BC7" i="23" s="1"/>
  <c r="BA270" i="23"/>
  <c r="BA269" i="23" s="1"/>
  <c r="BA268" i="23"/>
  <c r="BA267" i="23"/>
  <c r="BA265" i="23"/>
  <c r="BA264" i="23"/>
  <c r="BA263" i="23"/>
  <c r="BA262" i="23"/>
  <c r="BA261" i="23"/>
  <c r="BA260" i="23"/>
  <c r="BA259" i="23"/>
  <c r="BA258" i="23"/>
  <c r="BA257" i="23"/>
  <c r="BA256" i="23"/>
  <c r="BA255" i="23"/>
  <c r="BA254" i="23"/>
  <c r="BA253" i="23"/>
  <c r="BA252" i="23"/>
  <c r="BA251" i="23"/>
  <c r="BA250" i="23"/>
  <c r="BA249" i="23"/>
  <c r="BA248" i="23"/>
  <c r="BA247" i="23"/>
  <c r="BA246" i="23"/>
  <c r="BA245" i="23"/>
  <c r="BA244" i="23"/>
  <c r="BA243" i="23"/>
  <c r="BA242" i="23"/>
  <c r="BA241" i="23"/>
  <c r="BA240" i="23"/>
  <c r="BA239" i="23"/>
  <c r="BA238" i="23"/>
  <c r="BA237" i="23"/>
  <c r="BA236" i="23"/>
  <c r="BA235" i="23"/>
  <c r="BA234" i="23"/>
  <c r="BA233" i="23"/>
  <c r="BA232" i="23"/>
  <c r="BA231" i="23"/>
  <c r="BA230" i="23"/>
  <c r="BA229" i="23"/>
  <c r="BA228" i="23"/>
  <c r="BA227" i="23"/>
  <c r="BA226" i="23"/>
  <c r="BA225" i="23"/>
  <c r="BA224" i="23"/>
  <c r="BA223" i="23"/>
  <c r="BA222" i="23"/>
  <c r="BA221" i="23"/>
  <c r="BA220" i="23"/>
  <c r="BA219" i="23"/>
  <c r="BA218" i="23"/>
  <c r="BA217" i="23"/>
  <c r="BA216" i="23"/>
  <c r="BA215" i="23"/>
  <c r="BA214" i="23"/>
  <c r="BA213" i="23"/>
  <c r="BA212" i="23"/>
  <c r="BA211" i="23"/>
  <c r="BA210" i="23"/>
  <c r="BA209" i="23"/>
  <c r="BA208" i="23"/>
  <c r="BA206" i="23"/>
  <c r="BA205" i="23"/>
  <c r="BA204" i="23"/>
  <c r="BA203" i="23"/>
  <c r="BA201" i="23"/>
  <c r="BA200" i="23"/>
  <c r="BA199" i="23"/>
  <c r="BA198" i="23"/>
  <c r="BA196" i="23"/>
  <c r="BA195" i="23"/>
  <c r="BA194" i="23"/>
  <c r="BA193" i="23"/>
  <c r="BA191" i="23"/>
  <c r="BA190" i="23"/>
  <c r="BA188" i="23"/>
  <c r="BA187" i="23"/>
  <c r="BA186" i="23"/>
  <c r="BA184" i="23"/>
  <c r="BA183" i="23"/>
  <c r="BA182" i="23"/>
  <c r="BA180" i="23"/>
  <c r="BA179" i="23"/>
  <c r="BA178" i="23"/>
  <c r="BA177" i="23"/>
  <c r="BA176" i="23"/>
  <c r="BA175" i="23"/>
  <c r="BA174" i="23"/>
  <c r="BA173" i="23"/>
  <c r="BA172" i="23"/>
  <c r="BA171" i="23"/>
  <c r="BA170" i="23"/>
  <c r="BA169" i="23"/>
  <c r="BA168" i="23"/>
  <c r="BA167" i="23"/>
  <c r="BA166" i="23"/>
  <c r="BA165" i="23"/>
  <c r="BA164" i="23"/>
  <c r="BA163" i="23"/>
  <c r="BA162" i="23"/>
  <c r="BA161" i="23"/>
  <c r="BA160" i="23"/>
  <c r="BA159" i="23"/>
  <c r="BA158" i="23"/>
  <c r="BA157" i="23"/>
  <c r="BA156" i="23"/>
  <c r="BA155" i="23"/>
  <c r="BA154" i="23"/>
  <c r="BA153" i="23"/>
  <c r="BA152" i="23"/>
  <c r="BA151" i="23"/>
  <c r="BA150" i="23"/>
  <c r="BA149" i="23"/>
  <c r="BA148" i="23"/>
  <c r="BA147" i="23"/>
  <c r="BA146" i="23"/>
  <c r="BA145" i="23"/>
  <c r="BA143" i="23"/>
  <c r="BA142" i="23"/>
  <c r="BA141" i="23"/>
  <c r="BA140" i="23"/>
  <c r="BA139" i="23"/>
  <c r="BA138" i="23"/>
  <c r="BA137" i="23"/>
  <c r="BA136" i="23"/>
  <c r="BA135" i="23"/>
  <c r="BA134" i="23"/>
  <c r="BA133" i="23"/>
  <c r="BA132" i="23"/>
  <c r="BA131" i="23"/>
  <c r="BA130" i="23"/>
  <c r="BA129" i="23"/>
  <c r="BA128" i="23"/>
  <c r="BA127" i="23"/>
  <c r="BA126" i="23"/>
  <c r="BA125" i="23"/>
  <c r="BA124" i="23"/>
  <c r="BA123" i="23"/>
  <c r="BA122" i="23"/>
  <c r="BA121" i="23"/>
  <c r="BA120" i="23"/>
  <c r="BA119" i="23"/>
  <c r="BA118" i="23"/>
  <c r="BA117" i="23"/>
  <c r="BA116" i="23"/>
  <c r="BA115" i="23"/>
  <c r="BA114" i="23"/>
  <c r="BA113" i="23"/>
  <c r="BA112" i="23"/>
  <c r="BA111" i="23"/>
  <c r="BA109" i="23"/>
  <c r="BA108" i="23"/>
  <c r="BA106" i="23"/>
  <c r="BA105" i="23" s="1"/>
  <c r="BA104" i="23"/>
  <c r="BA103" i="23"/>
  <c r="BA102" i="23"/>
  <c r="BA101" i="23"/>
  <c r="BA100" i="23"/>
  <c r="BA99" i="23"/>
  <c r="BA97" i="23"/>
  <c r="BA96" i="23"/>
  <c r="BA94" i="23"/>
  <c r="BA93" i="23"/>
  <c r="BA92" i="23"/>
  <c r="BA91" i="23"/>
  <c r="BA90" i="23"/>
  <c r="BA88" i="23"/>
  <c r="BA87" i="23"/>
  <c r="BA85" i="23"/>
  <c r="BA84" i="23"/>
  <c r="BA83" i="23"/>
  <c r="BA82" i="23"/>
  <c r="BA80" i="23"/>
  <c r="BA79" i="23"/>
  <c r="BA77" i="23"/>
  <c r="BA76" i="23"/>
  <c r="BA75" i="23"/>
  <c r="BA73" i="23"/>
  <c r="BA72" i="23"/>
  <c r="BA71" i="23"/>
  <c r="BA70" i="23"/>
  <c r="BA67" i="23"/>
  <c r="BA66" i="23"/>
  <c r="BA64" i="23"/>
  <c r="BA63" i="23" s="1"/>
  <c r="BA62" i="23"/>
  <c r="BA61" i="23" s="1"/>
  <c r="BA60" i="23"/>
  <c r="BA59" i="23" s="1"/>
  <c r="BA58" i="23"/>
  <c r="BA57" i="23" s="1"/>
  <c r="BA56" i="23"/>
  <c r="BA55" i="23"/>
  <c r="BA53" i="23"/>
  <c r="BA52" i="23"/>
  <c r="BA50" i="23"/>
  <c r="BA49" i="23"/>
  <c r="BA48" i="23"/>
  <c r="BA47" i="23"/>
  <c r="BA46" i="23"/>
  <c r="BA45" i="23"/>
  <c r="BA44" i="23"/>
  <c r="BA43" i="23"/>
  <c r="BA42" i="23"/>
  <c r="BA40" i="23"/>
  <c r="BA39" i="23"/>
  <c r="BA38" i="23"/>
  <c r="BA37" i="23"/>
  <c r="BA36" i="23"/>
  <c r="BA35" i="23"/>
  <c r="BA34" i="23"/>
  <c r="BA31" i="23"/>
  <c r="BA30" i="23"/>
  <c r="BA29" i="23"/>
  <c r="BA28" i="23"/>
  <c r="BA27" i="23"/>
  <c r="BA24" i="23"/>
  <c r="BA23" i="23"/>
  <c r="BA21" i="23"/>
  <c r="BA20" i="23"/>
  <c r="BA19" i="23"/>
  <c r="BA18" i="23"/>
  <c r="BA17" i="23"/>
  <c r="BA16" i="23"/>
  <c r="BA15" i="23"/>
  <c r="BA14" i="23"/>
  <c r="BA13" i="23"/>
  <c r="BA11" i="23"/>
  <c r="BA10" i="23"/>
  <c r="BA8" i="23"/>
  <c r="BA7" i="23" s="1"/>
  <c r="AY270" i="23"/>
  <c r="AY269" i="23" s="1"/>
  <c r="AY268" i="23"/>
  <c r="AY267" i="23"/>
  <c r="AY265" i="23"/>
  <c r="AY264" i="23"/>
  <c r="AY263" i="23"/>
  <c r="AY262" i="23"/>
  <c r="AY261" i="23"/>
  <c r="AY260" i="23"/>
  <c r="AY259" i="23"/>
  <c r="AY258" i="23"/>
  <c r="AY257" i="23"/>
  <c r="AY256" i="23"/>
  <c r="AY255" i="23"/>
  <c r="AY254" i="23"/>
  <c r="AY253" i="23"/>
  <c r="AY252" i="23"/>
  <c r="AY251" i="23"/>
  <c r="AY250" i="23"/>
  <c r="AY249" i="23"/>
  <c r="AY248" i="23"/>
  <c r="AY247" i="23"/>
  <c r="AY246" i="23"/>
  <c r="AY245" i="23"/>
  <c r="AY244" i="23"/>
  <c r="AY243" i="23"/>
  <c r="AY242" i="23"/>
  <c r="AY241" i="23"/>
  <c r="AY240" i="23"/>
  <c r="AY239" i="23"/>
  <c r="AY238" i="23"/>
  <c r="AY237" i="23"/>
  <c r="AY236" i="23"/>
  <c r="AY235" i="23"/>
  <c r="AY234" i="23"/>
  <c r="AY233" i="23"/>
  <c r="AY232" i="23"/>
  <c r="AY231" i="23"/>
  <c r="AY230" i="23"/>
  <c r="AY229" i="23"/>
  <c r="AY228" i="23"/>
  <c r="AY227" i="23"/>
  <c r="AY226" i="23"/>
  <c r="AY225" i="23"/>
  <c r="AY224" i="23"/>
  <c r="AY223" i="23"/>
  <c r="AY222" i="23"/>
  <c r="AY221" i="23"/>
  <c r="AY220" i="23"/>
  <c r="AY219" i="23"/>
  <c r="AY218" i="23"/>
  <c r="AY217" i="23"/>
  <c r="AY216" i="23"/>
  <c r="AY215" i="23"/>
  <c r="AY214" i="23"/>
  <c r="AY213" i="23"/>
  <c r="AY212" i="23"/>
  <c r="AY211" i="23"/>
  <c r="AY210" i="23"/>
  <c r="AY209" i="23"/>
  <c r="AY208" i="23"/>
  <c r="AY206" i="23"/>
  <c r="AY205" i="23"/>
  <c r="AY204" i="23"/>
  <c r="AY203" i="23"/>
  <c r="AY201" i="23"/>
  <c r="AY200" i="23"/>
  <c r="AY199" i="23"/>
  <c r="AY198" i="23"/>
  <c r="AY196" i="23"/>
  <c r="AY195" i="23"/>
  <c r="AY194" i="23"/>
  <c r="AY193" i="23"/>
  <c r="AY191" i="23"/>
  <c r="AY190" i="23"/>
  <c r="AY188" i="23"/>
  <c r="AY187" i="23"/>
  <c r="AY186" i="23"/>
  <c r="AY184" i="23"/>
  <c r="AY183" i="23"/>
  <c r="AY182" i="23"/>
  <c r="AY180" i="23"/>
  <c r="AY179" i="23"/>
  <c r="AY178" i="23"/>
  <c r="AY177" i="23"/>
  <c r="AY176" i="23"/>
  <c r="AY175" i="23"/>
  <c r="AY174" i="23"/>
  <c r="AY173" i="23"/>
  <c r="AY172" i="23"/>
  <c r="AY171" i="23"/>
  <c r="AY170" i="23"/>
  <c r="AY169" i="23"/>
  <c r="AY168" i="23"/>
  <c r="AY167" i="23"/>
  <c r="AY166" i="23"/>
  <c r="AY165" i="23"/>
  <c r="AY164" i="23"/>
  <c r="AY163" i="23"/>
  <c r="AY162" i="23"/>
  <c r="AY161" i="23"/>
  <c r="AY160" i="23"/>
  <c r="AY159" i="23"/>
  <c r="AY158" i="23"/>
  <c r="AY157" i="23"/>
  <c r="AY156" i="23"/>
  <c r="AY155" i="23"/>
  <c r="AY154" i="23"/>
  <c r="AY153" i="23"/>
  <c r="AY152" i="23"/>
  <c r="AY151" i="23"/>
  <c r="AY150" i="23"/>
  <c r="AY149" i="23"/>
  <c r="AY148" i="23"/>
  <c r="AY147" i="23"/>
  <c r="AY146" i="23"/>
  <c r="AY145" i="23"/>
  <c r="AY143" i="23"/>
  <c r="AY142" i="23"/>
  <c r="AY141" i="23"/>
  <c r="AY140" i="23"/>
  <c r="AY139" i="23"/>
  <c r="AY138" i="23"/>
  <c r="AY137" i="23"/>
  <c r="AY136" i="23"/>
  <c r="AY135" i="23"/>
  <c r="AY134" i="23"/>
  <c r="AY133" i="23"/>
  <c r="AY132" i="23"/>
  <c r="AY131" i="23"/>
  <c r="AY130" i="23"/>
  <c r="AY129" i="23"/>
  <c r="AY128" i="23"/>
  <c r="AY127" i="23"/>
  <c r="AY126" i="23"/>
  <c r="AY125" i="23"/>
  <c r="AY124" i="23"/>
  <c r="AY123" i="23"/>
  <c r="AY122" i="23"/>
  <c r="AY121" i="23"/>
  <c r="AY120" i="23"/>
  <c r="AY119" i="23"/>
  <c r="AY118" i="23"/>
  <c r="AY117" i="23"/>
  <c r="AY116" i="23"/>
  <c r="AY115" i="23"/>
  <c r="AY114" i="23"/>
  <c r="AY113" i="23"/>
  <c r="AY112" i="23"/>
  <c r="AY111" i="23"/>
  <c r="AY109" i="23"/>
  <c r="AY108" i="23"/>
  <c r="AY106" i="23"/>
  <c r="AY105" i="23" s="1"/>
  <c r="AY104" i="23"/>
  <c r="AY103" i="23"/>
  <c r="AY102" i="23"/>
  <c r="AY101" i="23"/>
  <c r="AY100" i="23"/>
  <c r="AY99" i="23"/>
  <c r="AY97" i="23"/>
  <c r="AY96" i="23"/>
  <c r="AY94" i="23"/>
  <c r="AY93" i="23"/>
  <c r="AY92" i="23"/>
  <c r="AY91" i="23"/>
  <c r="AY90" i="23"/>
  <c r="AY88" i="23"/>
  <c r="AY87" i="23"/>
  <c r="AY85" i="23"/>
  <c r="AY84" i="23"/>
  <c r="AY83" i="23"/>
  <c r="AY82" i="23"/>
  <c r="AY80" i="23"/>
  <c r="AY79" i="23"/>
  <c r="AY77" i="23"/>
  <c r="AY76" i="23"/>
  <c r="AY75" i="23"/>
  <c r="AY73" i="23"/>
  <c r="AY72" i="23"/>
  <c r="AY71" i="23"/>
  <c r="AY70" i="23"/>
  <c r="AY67" i="23"/>
  <c r="AY66" i="23"/>
  <c r="AY64" i="23"/>
  <c r="AY63" i="23" s="1"/>
  <c r="AY62" i="23"/>
  <c r="AY61" i="23" s="1"/>
  <c r="AY60" i="23"/>
  <c r="AY59" i="23" s="1"/>
  <c r="AY58" i="23"/>
  <c r="AY57" i="23" s="1"/>
  <c r="AY56" i="23"/>
  <c r="AY55" i="23"/>
  <c r="AY53" i="23"/>
  <c r="AY52" i="23"/>
  <c r="AY50" i="23"/>
  <c r="AY49" i="23"/>
  <c r="AY48" i="23"/>
  <c r="AY47" i="23"/>
  <c r="AY46" i="23"/>
  <c r="AY45" i="23"/>
  <c r="AY44" i="23"/>
  <c r="AY43" i="23"/>
  <c r="AY42" i="23"/>
  <c r="AY40" i="23"/>
  <c r="AY39" i="23"/>
  <c r="AY38" i="23"/>
  <c r="AY37" i="23"/>
  <c r="AY36" i="23"/>
  <c r="AY35" i="23"/>
  <c r="AY34" i="23"/>
  <c r="AY31" i="23"/>
  <c r="AY30" i="23"/>
  <c r="AY29" i="23"/>
  <c r="AY28" i="23"/>
  <c r="AY27" i="23"/>
  <c r="AY24" i="23"/>
  <c r="AY23" i="23"/>
  <c r="AY21" i="23"/>
  <c r="AY20" i="23"/>
  <c r="AY19" i="23"/>
  <c r="AY18" i="23"/>
  <c r="AY17" i="23"/>
  <c r="AY16" i="23"/>
  <c r="AY15" i="23"/>
  <c r="AY14" i="23"/>
  <c r="AY13" i="23"/>
  <c r="AY11" i="23"/>
  <c r="AY10" i="23"/>
  <c r="AY8" i="23"/>
  <c r="AY7" i="23" s="1"/>
  <c r="AW270" i="23"/>
  <c r="AW269" i="23" s="1"/>
  <c r="AW268" i="23"/>
  <c r="AW267" i="23"/>
  <c r="AW265" i="23"/>
  <c r="AW264" i="23"/>
  <c r="AW263" i="23"/>
  <c r="AW262" i="23"/>
  <c r="AW261" i="23"/>
  <c r="AW260" i="23"/>
  <c r="AW259" i="23"/>
  <c r="AW258" i="23"/>
  <c r="AW257" i="23"/>
  <c r="AW256" i="23"/>
  <c r="AW255" i="23"/>
  <c r="AW254" i="23"/>
  <c r="AW253" i="23"/>
  <c r="AW252" i="23"/>
  <c r="AW251" i="23"/>
  <c r="AW250" i="23"/>
  <c r="AW249" i="23"/>
  <c r="AW248" i="23"/>
  <c r="AW247" i="23"/>
  <c r="AW246" i="23"/>
  <c r="AW245" i="23"/>
  <c r="AW244" i="23"/>
  <c r="AW243" i="23"/>
  <c r="AW242" i="23"/>
  <c r="AW241" i="23"/>
  <c r="AW240" i="23"/>
  <c r="AW239" i="23"/>
  <c r="AW238" i="23"/>
  <c r="AW237" i="23"/>
  <c r="AW236" i="23"/>
  <c r="AW235" i="23"/>
  <c r="AW234" i="23"/>
  <c r="AW233" i="23"/>
  <c r="AW232" i="23"/>
  <c r="AW231" i="23"/>
  <c r="AW230" i="23"/>
  <c r="AW229" i="23"/>
  <c r="AW228" i="23"/>
  <c r="AW227" i="23"/>
  <c r="AW226" i="23"/>
  <c r="AW225" i="23"/>
  <c r="AW224" i="23"/>
  <c r="AW223" i="23"/>
  <c r="AW222" i="23"/>
  <c r="AW221" i="23"/>
  <c r="AW220" i="23"/>
  <c r="AW219" i="23"/>
  <c r="AW218" i="23"/>
  <c r="AW217" i="23"/>
  <c r="AW216" i="23"/>
  <c r="AW215" i="23"/>
  <c r="AW214" i="23"/>
  <c r="AW213" i="23"/>
  <c r="AW212" i="23"/>
  <c r="AW211" i="23"/>
  <c r="AW210" i="23"/>
  <c r="AW209" i="23"/>
  <c r="AW208" i="23"/>
  <c r="AW206" i="23"/>
  <c r="AW205" i="23"/>
  <c r="AW204" i="23"/>
  <c r="AW203" i="23"/>
  <c r="AW201" i="23"/>
  <c r="AW200" i="23"/>
  <c r="AW199" i="23"/>
  <c r="AW198" i="23"/>
  <c r="AW196" i="23"/>
  <c r="AW195" i="23"/>
  <c r="AW194" i="23"/>
  <c r="AW193" i="23"/>
  <c r="AW191" i="23"/>
  <c r="AW190" i="23"/>
  <c r="AW188" i="23"/>
  <c r="AW187" i="23"/>
  <c r="AW186" i="23"/>
  <c r="AW184" i="23"/>
  <c r="AW183" i="23"/>
  <c r="AW182" i="23"/>
  <c r="AW180" i="23"/>
  <c r="AW179" i="23"/>
  <c r="AW178" i="23"/>
  <c r="AW177" i="23"/>
  <c r="AW176" i="23"/>
  <c r="AW175" i="23"/>
  <c r="AW174" i="23"/>
  <c r="AW173" i="23"/>
  <c r="AW172" i="23"/>
  <c r="AW171" i="23"/>
  <c r="AW170" i="23"/>
  <c r="AW169" i="23"/>
  <c r="AW168" i="23"/>
  <c r="AW167" i="23"/>
  <c r="AW166" i="23"/>
  <c r="AW165" i="23"/>
  <c r="AW164" i="23"/>
  <c r="AW163" i="23"/>
  <c r="AW162" i="23"/>
  <c r="AW161" i="23"/>
  <c r="AW160" i="23"/>
  <c r="AW159" i="23"/>
  <c r="AW158" i="23"/>
  <c r="AW157" i="23"/>
  <c r="AW156" i="23"/>
  <c r="AW155" i="23"/>
  <c r="AW154" i="23"/>
  <c r="AW153" i="23"/>
  <c r="AW152" i="23"/>
  <c r="AW151" i="23"/>
  <c r="AW150" i="23"/>
  <c r="AW149" i="23"/>
  <c r="AW148" i="23"/>
  <c r="AW147" i="23"/>
  <c r="AW146" i="23"/>
  <c r="AW145" i="23"/>
  <c r="AW143" i="23"/>
  <c r="AW142" i="23"/>
  <c r="AW141" i="23"/>
  <c r="AW140" i="23"/>
  <c r="AW139" i="23"/>
  <c r="AW138" i="23"/>
  <c r="AW137" i="23"/>
  <c r="AW136" i="23"/>
  <c r="AW135" i="23"/>
  <c r="AW134" i="23"/>
  <c r="AW133" i="23"/>
  <c r="AW132" i="23"/>
  <c r="AW131" i="23"/>
  <c r="AW130" i="23"/>
  <c r="AW129" i="23"/>
  <c r="AW128" i="23"/>
  <c r="AW127" i="23"/>
  <c r="AW126" i="23"/>
  <c r="AW125" i="23"/>
  <c r="AW124" i="23"/>
  <c r="AW123" i="23"/>
  <c r="AW122" i="23"/>
  <c r="AW121" i="23"/>
  <c r="AW120" i="23"/>
  <c r="AW119" i="23"/>
  <c r="AW118" i="23"/>
  <c r="AW117" i="23"/>
  <c r="AW116" i="23"/>
  <c r="AW115" i="23"/>
  <c r="AW114" i="23"/>
  <c r="AW113" i="23"/>
  <c r="AW112" i="23"/>
  <c r="AW111" i="23"/>
  <c r="AW109" i="23"/>
  <c r="AW108" i="23"/>
  <c r="AW106" i="23"/>
  <c r="AW105" i="23" s="1"/>
  <c r="AW104" i="23"/>
  <c r="AW103" i="23"/>
  <c r="AW102" i="23"/>
  <c r="AW101" i="23"/>
  <c r="AW100" i="23"/>
  <c r="AW99" i="23"/>
  <c r="AW97" i="23"/>
  <c r="AW96" i="23"/>
  <c r="AW94" i="23"/>
  <c r="AW93" i="23"/>
  <c r="AW92" i="23"/>
  <c r="AW91" i="23"/>
  <c r="AW90" i="23"/>
  <c r="AW88" i="23"/>
  <c r="AW87" i="23"/>
  <c r="AW85" i="23"/>
  <c r="AW84" i="23"/>
  <c r="AW83" i="23"/>
  <c r="AW82" i="23"/>
  <c r="AW80" i="23"/>
  <c r="AW79" i="23"/>
  <c r="AW77" i="23"/>
  <c r="AW76" i="23"/>
  <c r="AW75" i="23"/>
  <c r="AW73" i="23"/>
  <c r="AW72" i="23"/>
  <c r="AW71" i="23"/>
  <c r="AW70" i="23"/>
  <c r="AW67" i="23"/>
  <c r="AW66" i="23"/>
  <c r="AW64" i="23"/>
  <c r="AW63" i="23" s="1"/>
  <c r="AW62" i="23"/>
  <c r="AW61" i="23" s="1"/>
  <c r="AW60" i="23"/>
  <c r="AW59" i="23" s="1"/>
  <c r="AW58" i="23"/>
  <c r="AW57" i="23" s="1"/>
  <c r="AW56" i="23"/>
  <c r="AW55" i="23"/>
  <c r="AW53" i="23"/>
  <c r="AW52" i="23"/>
  <c r="AW50" i="23"/>
  <c r="AW49" i="23"/>
  <c r="AW48" i="23"/>
  <c r="AW47" i="23"/>
  <c r="AW46" i="23"/>
  <c r="AW45" i="23"/>
  <c r="AW44" i="23"/>
  <c r="AW43" i="23"/>
  <c r="AW42" i="23"/>
  <c r="AW40" i="23"/>
  <c r="AW39" i="23"/>
  <c r="AW38" i="23"/>
  <c r="AW37" i="23"/>
  <c r="AW36" i="23"/>
  <c r="AW35" i="23"/>
  <c r="AW34" i="23"/>
  <c r="AW31" i="23"/>
  <c r="AW30" i="23"/>
  <c r="AW29" i="23"/>
  <c r="AW28" i="23"/>
  <c r="AW27" i="23"/>
  <c r="AW24" i="23"/>
  <c r="AW23" i="23"/>
  <c r="AW21" i="23"/>
  <c r="AW20" i="23"/>
  <c r="AW19" i="23"/>
  <c r="AW18" i="23"/>
  <c r="AW17" i="23"/>
  <c r="AW16" i="23"/>
  <c r="AW15" i="23"/>
  <c r="AW14" i="23"/>
  <c r="AW13" i="23"/>
  <c r="AW11" i="23"/>
  <c r="AW10" i="23"/>
  <c r="AW8" i="23"/>
  <c r="AW7" i="23" s="1"/>
  <c r="AU270" i="23"/>
  <c r="AU269" i="23" s="1"/>
  <c r="AU268" i="23"/>
  <c r="AU267" i="23"/>
  <c r="AU265" i="23"/>
  <c r="AU264" i="23"/>
  <c r="AU263" i="23"/>
  <c r="AU262" i="23"/>
  <c r="AU261" i="23"/>
  <c r="AU260" i="23"/>
  <c r="AU259" i="23"/>
  <c r="AU258" i="23"/>
  <c r="AU257" i="23"/>
  <c r="AU256" i="23"/>
  <c r="AU255" i="23"/>
  <c r="AU254" i="23"/>
  <c r="AU253" i="23"/>
  <c r="AU252" i="23"/>
  <c r="AU251" i="23"/>
  <c r="AU250" i="23"/>
  <c r="AU249" i="23"/>
  <c r="AU248" i="23"/>
  <c r="AU247" i="23"/>
  <c r="AU246" i="23"/>
  <c r="AU245" i="23"/>
  <c r="AU244" i="23"/>
  <c r="AU243" i="23"/>
  <c r="AU242" i="23"/>
  <c r="AU241" i="23"/>
  <c r="AU240" i="23"/>
  <c r="AU239" i="23"/>
  <c r="AU238" i="23"/>
  <c r="AU237" i="23"/>
  <c r="AU236" i="23"/>
  <c r="AU235" i="23"/>
  <c r="AU234" i="23"/>
  <c r="AU233" i="23"/>
  <c r="AU232" i="23"/>
  <c r="AU231" i="23"/>
  <c r="AU230" i="23"/>
  <c r="AU229" i="23"/>
  <c r="AU228" i="23"/>
  <c r="AU227" i="23"/>
  <c r="AU226" i="23"/>
  <c r="AU225" i="23"/>
  <c r="AU224" i="23"/>
  <c r="AU223" i="23"/>
  <c r="AU222" i="23"/>
  <c r="AU221" i="23"/>
  <c r="AU220" i="23"/>
  <c r="AU219" i="23"/>
  <c r="AU218" i="23"/>
  <c r="AU217" i="23"/>
  <c r="AU216" i="23"/>
  <c r="AU215" i="23"/>
  <c r="AU214" i="23"/>
  <c r="AU213" i="23"/>
  <c r="AU212" i="23"/>
  <c r="AU211" i="23"/>
  <c r="AU210" i="23"/>
  <c r="AU209" i="23"/>
  <c r="AU208" i="23"/>
  <c r="AU206" i="23"/>
  <c r="AU205" i="23"/>
  <c r="AU204" i="23"/>
  <c r="AU203" i="23"/>
  <c r="AU201" i="23"/>
  <c r="AU200" i="23"/>
  <c r="AU199" i="23"/>
  <c r="AU198" i="23"/>
  <c r="AU196" i="23"/>
  <c r="AU195" i="23"/>
  <c r="AU194" i="23"/>
  <c r="AU193" i="23"/>
  <c r="AU191" i="23"/>
  <c r="AU190" i="23"/>
  <c r="AU188" i="23"/>
  <c r="AU187" i="23"/>
  <c r="AU186" i="23"/>
  <c r="AU184" i="23"/>
  <c r="AU183" i="23"/>
  <c r="AU182" i="23"/>
  <c r="AU180" i="23"/>
  <c r="AU179" i="23"/>
  <c r="AU178" i="23"/>
  <c r="AU177" i="23"/>
  <c r="AU176" i="23"/>
  <c r="AU175" i="23"/>
  <c r="AU174" i="23"/>
  <c r="AU173" i="23"/>
  <c r="AU172" i="23"/>
  <c r="AU171" i="23"/>
  <c r="AU170" i="23"/>
  <c r="AU169" i="23"/>
  <c r="AU168" i="23"/>
  <c r="AU167" i="23"/>
  <c r="AU166" i="23"/>
  <c r="AU165" i="23"/>
  <c r="AU164" i="23"/>
  <c r="AU163" i="23"/>
  <c r="AU162" i="23"/>
  <c r="AU161" i="23"/>
  <c r="AU160" i="23"/>
  <c r="AU159" i="23"/>
  <c r="AU158" i="23"/>
  <c r="AU157" i="23"/>
  <c r="AU156" i="23"/>
  <c r="AU155" i="23"/>
  <c r="AU154" i="23"/>
  <c r="AU153" i="23"/>
  <c r="AU152" i="23"/>
  <c r="AU151" i="23"/>
  <c r="AU150" i="23"/>
  <c r="AU149" i="23"/>
  <c r="AU148" i="23"/>
  <c r="AU147" i="23"/>
  <c r="AU146" i="23"/>
  <c r="AU145" i="23"/>
  <c r="AU143" i="23"/>
  <c r="AU142" i="23"/>
  <c r="AU141" i="23"/>
  <c r="AU140" i="23"/>
  <c r="AU139" i="23"/>
  <c r="AU138" i="23"/>
  <c r="AU137" i="23"/>
  <c r="AU136" i="23"/>
  <c r="AU135" i="23"/>
  <c r="AU134" i="23"/>
  <c r="AU133" i="23"/>
  <c r="AU132" i="23"/>
  <c r="AU131" i="23"/>
  <c r="AU130" i="23"/>
  <c r="AU129" i="23"/>
  <c r="AU128" i="23"/>
  <c r="AU127" i="23"/>
  <c r="AU126" i="23"/>
  <c r="AU125" i="23"/>
  <c r="AU124" i="23"/>
  <c r="AU123" i="23"/>
  <c r="AU122" i="23"/>
  <c r="AU121" i="23"/>
  <c r="AU120" i="23"/>
  <c r="AU119" i="23"/>
  <c r="AU118" i="23"/>
  <c r="AU117" i="23"/>
  <c r="AU116" i="23"/>
  <c r="AU115" i="23"/>
  <c r="AU114" i="23"/>
  <c r="AU113" i="23"/>
  <c r="AU112" i="23"/>
  <c r="AU111" i="23"/>
  <c r="AU109" i="23"/>
  <c r="AU108" i="23"/>
  <c r="AU106" i="23"/>
  <c r="AU105" i="23" s="1"/>
  <c r="AU104" i="23"/>
  <c r="AU103" i="23"/>
  <c r="AU102" i="23"/>
  <c r="AU101" i="23"/>
  <c r="AU100" i="23"/>
  <c r="AU99" i="23"/>
  <c r="AU97" i="23"/>
  <c r="AU96" i="23"/>
  <c r="AU94" i="23"/>
  <c r="AU93" i="23"/>
  <c r="AU92" i="23"/>
  <c r="AU91" i="23"/>
  <c r="AU90" i="23"/>
  <c r="AU88" i="23"/>
  <c r="AU87" i="23"/>
  <c r="AU85" i="23"/>
  <c r="AU84" i="23"/>
  <c r="AU83" i="23"/>
  <c r="AU82" i="23"/>
  <c r="AU80" i="23"/>
  <c r="AU79" i="23"/>
  <c r="AU77" i="23"/>
  <c r="AU76" i="23"/>
  <c r="AU75" i="23"/>
  <c r="AU73" i="23"/>
  <c r="AU72" i="23"/>
  <c r="AU71" i="23"/>
  <c r="AU70" i="23"/>
  <c r="AU67" i="23"/>
  <c r="AU66" i="23"/>
  <c r="AU64" i="23"/>
  <c r="AU63" i="23" s="1"/>
  <c r="AU62" i="23"/>
  <c r="AU61" i="23" s="1"/>
  <c r="AU60" i="23"/>
  <c r="AU59" i="23" s="1"/>
  <c r="AU58" i="23"/>
  <c r="AU57" i="23" s="1"/>
  <c r="AU56" i="23"/>
  <c r="AU55" i="23"/>
  <c r="AU53" i="23"/>
  <c r="AU52" i="23"/>
  <c r="AU50" i="23"/>
  <c r="AU49" i="23"/>
  <c r="AU48" i="23"/>
  <c r="AU47" i="23"/>
  <c r="AU46" i="23"/>
  <c r="AU45" i="23"/>
  <c r="AU44" i="23"/>
  <c r="AU43" i="23"/>
  <c r="AU42" i="23"/>
  <c r="AU40" i="23"/>
  <c r="AU39" i="23"/>
  <c r="AU38" i="23"/>
  <c r="AU37" i="23"/>
  <c r="AU36" i="23"/>
  <c r="AU35" i="23"/>
  <c r="AU34" i="23"/>
  <c r="AU31" i="23"/>
  <c r="AU30" i="23"/>
  <c r="AU29" i="23"/>
  <c r="AU28" i="23"/>
  <c r="AU27" i="23"/>
  <c r="AU24" i="23"/>
  <c r="AU23" i="23"/>
  <c r="AU21" i="23"/>
  <c r="AU20" i="23"/>
  <c r="AU19" i="23"/>
  <c r="AU18" i="23"/>
  <c r="AU17" i="23"/>
  <c r="AU16" i="23"/>
  <c r="AU15" i="23"/>
  <c r="AU14" i="23"/>
  <c r="AU13" i="23"/>
  <c r="AU11" i="23"/>
  <c r="AU10" i="23"/>
  <c r="AU8" i="23"/>
  <c r="AU7" i="23" s="1"/>
  <c r="AS270" i="23"/>
  <c r="AS269" i="23" s="1"/>
  <c r="AS268" i="23"/>
  <c r="AS267" i="23"/>
  <c r="AS265" i="23"/>
  <c r="AS264" i="23"/>
  <c r="AS263" i="23"/>
  <c r="AS262" i="23"/>
  <c r="AS261" i="23"/>
  <c r="AS260" i="23"/>
  <c r="AS259" i="23"/>
  <c r="AS258" i="23"/>
  <c r="AS257" i="23"/>
  <c r="AS256" i="23"/>
  <c r="AS255" i="23"/>
  <c r="AS254" i="23"/>
  <c r="AS253" i="23"/>
  <c r="AS252" i="23"/>
  <c r="AS251" i="23"/>
  <c r="AS250" i="23"/>
  <c r="AS249" i="23"/>
  <c r="AS248" i="23"/>
  <c r="AS247" i="23"/>
  <c r="AS246" i="23"/>
  <c r="AS245" i="23"/>
  <c r="AS244" i="23"/>
  <c r="AS243" i="23"/>
  <c r="AS242" i="23"/>
  <c r="AS241" i="23"/>
  <c r="AS240" i="23"/>
  <c r="AS239" i="23"/>
  <c r="AS238" i="23"/>
  <c r="AS237" i="23"/>
  <c r="AS236" i="23"/>
  <c r="AS235" i="23"/>
  <c r="AS234" i="23"/>
  <c r="AS233" i="23"/>
  <c r="AS232" i="23"/>
  <c r="AS231" i="23"/>
  <c r="AS230" i="23"/>
  <c r="AS229" i="23"/>
  <c r="AS228" i="23"/>
  <c r="AS227" i="23"/>
  <c r="AS226" i="23"/>
  <c r="AS225" i="23"/>
  <c r="AS224" i="23"/>
  <c r="AS223" i="23"/>
  <c r="AS222" i="23"/>
  <c r="AS221" i="23"/>
  <c r="AS220" i="23"/>
  <c r="AS219" i="23"/>
  <c r="AS218" i="23"/>
  <c r="AS217" i="23"/>
  <c r="AS216" i="23"/>
  <c r="AS215" i="23"/>
  <c r="AS214" i="23"/>
  <c r="AS213" i="23"/>
  <c r="AS212" i="23"/>
  <c r="AS211" i="23"/>
  <c r="AS210" i="23"/>
  <c r="AS209" i="23"/>
  <c r="AS208" i="23"/>
  <c r="AS206" i="23"/>
  <c r="AS205" i="23"/>
  <c r="AS204" i="23"/>
  <c r="AS203" i="23"/>
  <c r="AS201" i="23"/>
  <c r="AS200" i="23"/>
  <c r="AS199" i="23"/>
  <c r="AS198" i="23"/>
  <c r="AS196" i="23"/>
  <c r="AS195" i="23"/>
  <c r="AS194" i="23"/>
  <c r="AS193" i="23"/>
  <c r="AS191" i="23"/>
  <c r="AS190" i="23"/>
  <c r="AS188" i="23"/>
  <c r="AS187" i="23"/>
  <c r="AS186" i="23"/>
  <c r="AS184" i="23"/>
  <c r="AS183" i="23"/>
  <c r="AS182" i="23"/>
  <c r="AS180" i="23"/>
  <c r="AS179" i="23"/>
  <c r="AS178" i="23"/>
  <c r="AS177" i="23"/>
  <c r="AS176" i="23"/>
  <c r="AS175" i="23"/>
  <c r="AS174" i="23"/>
  <c r="AS173" i="23"/>
  <c r="AS172" i="23"/>
  <c r="AS171" i="23"/>
  <c r="AS170" i="23"/>
  <c r="AS169" i="23"/>
  <c r="AS168" i="23"/>
  <c r="AS167" i="23"/>
  <c r="AS166" i="23"/>
  <c r="AS165" i="23"/>
  <c r="AS164" i="23"/>
  <c r="AS163" i="23"/>
  <c r="AS162" i="23"/>
  <c r="AS161" i="23"/>
  <c r="AS160" i="23"/>
  <c r="AS159" i="23"/>
  <c r="AS158" i="23"/>
  <c r="AS157" i="23"/>
  <c r="AS156" i="23"/>
  <c r="AS155" i="23"/>
  <c r="AS154" i="23"/>
  <c r="AS153" i="23"/>
  <c r="AS152" i="23"/>
  <c r="AS151" i="23"/>
  <c r="AS150" i="23"/>
  <c r="AS149" i="23"/>
  <c r="AS148" i="23"/>
  <c r="AS147" i="23"/>
  <c r="AS146" i="23"/>
  <c r="AS145" i="23"/>
  <c r="AS143" i="23"/>
  <c r="AS142" i="23"/>
  <c r="AS141" i="23"/>
  <c r="AS140" i="23"/>
  <c r="AS139" i="23"/>
  <c r="AS138" i="23"/>
  <c r="AS137" i="23"/>
  <c r="AS136" i="23"/>
  <c r="AS135" i="23"/>
  <c r="AS134" i="23"/>
  <c r="AS133" i="23"/>
  <c r="AS132" i="23"/>
  <c r="AS131" i="23"/>
  <c r="AS130" i="23"/>
  <c r="AS129" i="23"/>
  <c r="AS128" i="23"/>
  <c r="AS127" i="23"/>
  <c r="AS126" i="23"/>
  <c r="AS125" i="23"/>
  <c r="AS124" i="23"/>
  <c r="AS123" i="23"/>
  <c r="AS122" i="23"/>
  <c r="AS121" i="23"/>
  <c r="AS120" i="23"/>
  <c r="AS119" i="23"/>
  <c r="AS118" i="23"/>
  <c r="AS117" i="23"/>
  <c r="AS116" i="23"/>
  <c r="AS115" i="23"/>
  <c r="AS114" i="23"/>
  <c r="AS113" i="23"/>
  <c r="AS112" i="23"/>
  <c r="AS111" i="23"/>
  <c r="AS109" i="23"/>
  <c r="AS108" i="23"/>
  <c r="AS106" i="23"/>
  <c r="AS105" i="23" s="1"/>
  <c r="AS104" i="23"/>
  <c r="AS103" i="23"/>
  <c r="AS102" i="23"/>
  <c r="AS101" i="23"/>
  <c r="AS100" i="23"/>
  <c r="AS99" i="23"/>
  <c r="AS97" i="23"/>
  <c r="AS96" i="23"/>
  <c r="AS94" i="23"/>
  <c r="AS93" i="23"/>
  <c r="AS92" i="23"/>
  <c r="AS91" i="23"/>
  <c r="AS90" i="23"/>
  <c r="AS88" i="23"/>
  <c r="AS87" i="23"/>
  <c r="AS85" i="23"/>
  <c r="AS84" i="23"/>
  <c r="AS83" i="23"/>
  <c r="AS82" i="23"/>
  <c r="AS80" i="23"/>
  <c r="AS79" i="23"/>
  <c r="AS77" i="23"/>
  <c r="AS76" i="23"/>
  <c r="AS75" i="23"/>
  <c r="AS73" i="23"/>
  <c r="AS72" i="23"/>
  <c r="AS71" i="23"/>
  <c r="AS70" i="23"/>
  <c r="AS67" i="23"/>
  <c r="AS66" i="23"/>
  <c r="AS64" i="23"/>
  <c r="AS63" i="23" s="1"/>
  <c r="AS62" i="23"/>
  <c r="AS61" i="23" s="1"/>
  <c r="AS60" i="23"/>
  <c r="AS59" i="23" s="1"/>
  <c r="AS58" i="23"/>
  <c r="AS57" i="23" s="1"/>
  <c r="AS56" i="23"/>
  <c r="AS55" i="23"/>
  <c r="AS53" i="23"/>
  <c r="AS52" i="23"/>
  <c r="AS50" i="23"/>
  <c r="AS49" i="23"/>
  <c r="AS48" i="23"/>
  <c r="AS47" i="23"/>
  <c r="AS46" i="23"/>
  <c r="AS45" i="23"/>
  <c r="AS44" i="23"/>
  <c r="AS43" i="23"/>
  <c r="AS42" i="23"/>
  <c r="AS40" i="23"/>
  <c r="AS39" i="23"/>
  <c r="AS38" i="23"/>
  <c r="AS37" i="23"/>
  <c r="AS36" i="23"/>
  <c r="AS35" i="23"/>
  <c r="AS34" i="23"/>
  <c r="AS31" i="23"/>
  <c r="AS30" i="23"/>
  <c r="AS29" i="23"/>
  <c r="AS28" i="23"/>
  <c r="AS27" i="23"/>
  <c r="AS24" i="23"/>
  <c r="AS23" i="23"/>
  <c r="AS21" i="23"/>
  <c r="AS20" i="23"/>
  <c r="AS19" i="23"/>
  <c r="AS18" i="23"/>
  <c r="AS17" i="23"/>
  <c r="AS16" i="23"/>
  <c r="AS15" i="23"/>
  <c r="AS14" i="23"/>
  <c r="AS13" i="23"/>
  <c r="AS11" i="23"/>
  <c r="AS10" i="23"/>
  <c r="AS8" i="23"/>
  <c r="AS7" i="23" s="1"/>
  <c r="AQ270" i="23"/>
  <c r="AQ269" i="23" s="1"/>
  <c r="AQ268" i="23"/>
  <c r="AQ267" i="23"/>
  <c r="AQ265" i="23"/>
  <c r="AQ264" i="23"/>
  <c r="AQ263" i="23"/>
  <c r="AQ262" i="23"/>
  <c r="AQ261" i="23"/>
  <c r="AQ260" i="23"/>
  <c r="AQ259" i="23"/>
  <c r="AQ258" i="23"/>
  <c r="AQ257" i="23"/>
  <c r="AQ256" i="23"/>
  <c r="AQ255" i="23"/>
  <c r="AQ254" i="23"/>
  <c r="AQ253" i="23"/>
  <c r="AQ252" i="23"/>
  <c r="AQ251" i="23"/>
  <c r="AQ250" i="23"/>
  <c r="AQ249" i="23"/>
  <c r="AQ248" i="23"/>
  <c r="AQ247" i="23"/>
  <c r="AQ246" i="23"/>
  <c r="AQ245" i="23"/>
  <c r="AQ244" i="23"/>
  <c r="AQ243" i="23"/>
  <c r="AQ242" i="23"/>
  <c r="AQ241" i="23"/>
  <c r="AQ240" i="23"/>
  <c r="AQ239" i="23"/>
  <c r="AQ238" i="23"/>
  <c r="AQ237" i="23"/>
  <c r="AQ236" i="23"/>
  <c r="AQ235" i="23"/>
  <c r="AQ234" i="23"/>
  <c r="AQ233" i="23"/>
  <c r="AQ232" i="23"/>
  <c r="AQ231" i="23"/>
  <c r="AQ230" i="23"/>
  <c r="AQ229" i="23"/>
  <c r="AQ228" i="23"/>
  <c r="AQ227" i="23"/>
  <c r="AQ226" i="23"/>
  <c r="AQ225" i="23"/>
  <c r="AQ224" i="23"/>
  <c r="AQ223" i="23"/>
  <c r="AQ222" i="23"/>
  <c r="AQ221" i="23"/>
  <c r="AQ220" i="23"/>
  <c r="AQ219" i="23"/>
  <c r="AQ218" i="23"/>
  <c r="AQ217" i="23"/>
  <c r="AQ216" i="23"/>
  <c r="AQ215" i="23"/>
  <c r="AQ214" i="23"/>
  <c r="AQ213" i="23"/>
  <c r="AQ212" i="23"/>
  <c r="AQ211" i="23"/>
  <c r="AQ210" i="23"/>
  <c r="AQ209" i="23"/>
  <c r="AQ208" i="23"/>
  <c r="AQ206" i="23"/>
  <c r="AQ205" i="23"/>
  <c r="AQ204" i="23"/>
  <c r="AQ203" i="23"/>
  <c r="AQ201" i="23"/>
  <c r="AQ200" i="23"/>
  <c r="AQ199" i="23"/>
  <c r="AQ198" i="23"/>
  <c r="AQ196" i="23"/>
  <c r="AQ195" i="23"/>
  <c r="AQ194" i="23"/>
  <c r="AQ193" i="23"/>
  <c r="AQ191" i="23"/>
  <c r="AQ190" i="23"/>
  <c r="AQ188" i="23"/>
  <c r="AQ187" i="23"/>
  <c r="AQ186" i="23"/>
  <c r="AQ184" i="23"/>
  <c r="AQ183" i="23"/>
  <c r="AQ182" i="23"/>
  <c r="AQ180" i="23"/>
  <c r="AQ179" i="23"/>
  <c r="AQ178" i="23"/>
  <c r="AQ177" i="23"/>
  <c r="AQ176" i="23"/>
  <c r="AQ175" i="23"/>
  <c r="AQ174" i="23"/>
  <c r="AQ173" i="23"/>
  <c r="AQ172" i="23"/>
  <c r="AQ171" i="23"/>
  <c r="AQ170" i="23"/>
  <c r="AQ169" i="23"/>
  <c r="AQ168" i="23"/>
  <c r="AQ167" i="23"/>
  <c r="AQ166" i="23"/>
  <c r="AQ165" i="23"/>
  <c r="AQ164" i="23"/>
  <c r="AQ163" i="23"/>
  <c r="AQ162" i="23"/>
  <c r="AQ161" i="23"/>
  <c r="AQ160" i="23"/>
  <c r="AQ159" i="23"/>
  <c r="AQ158" i="23"/>
  <c r="AQ157" i="23"/>
  <c r="AQ156" i="23"/>
  <c r="AQ155" i="23"/>
  <c r="AQ154" i="23"/>
  <c r="AQ153" i="23"/>
  <c r="AQ152" i="23"/>
  <c r="AQ151" i="23"/>
  <c r="AQ150" i="23"/>
  <c r="AQ149" i="23"/>
  <c r="AQ148" i="23"/>
  <c r="AQ147" i="23"/>
  <c r="AQ146" i="23"/>
  <c r="AQ145" i="23"/>
  <c r="AQ143" i="23"/>
  <c r="AQ142" i="23"/>
  <c r="AQ141" i="23"/>
  <c r="AQ140" i="23"/>
  <c r="AQ139" i="23"/>
  <c r="AQ138" i="23"/>
  <c r="AQ137" i="23"/>
  <c r="AQ136" i="23"/>
  <c r="AQ135" i="23"/>
  <c r="AQ134" i="23"/>
  <c r="AQ133" i="23"/>
  <c r="AQ132" i="23"/>
  <c r="AQ131" i="23"/>
  <c r="AQ130" i="23"/>
  <c r="AQ129" i="23"/>
  <c r="AQ128" i="23"/>
  <c r="AQ127" i="23"/>
  <c r="AQ126" i="23"/>
  <c r="AQ125" i="23"/>
  <c r="AQ124" i="23"/>
  <c r="AQ123" i="23"/>
  <c r="AQ122" i="23"/>
  <c r="AQ121" i="23"/>
  <c r="AQ120" i="23"/>
  <c r="AQ119" i="23"/>
  <c r="AQ118" i="23"/>
  <c r="AQ117" i="23"/>
  <c r="AQ116" i="23"/>
  <c r="AQ115" i="23"/>
  <c r="AQ114" i="23"/>
  <c r="AQ113" i="23"/>
  <c r="AQ112" i="23"/>
  <c r="AQ111" i="23"/>
  <c r="AQ109" i="23"/>
  <c r="AQ108" i="23"/>
  <c r="AQ106" i="23"/>
  <c r="AQ105" i="23" s="1"/>
  <c r="AQ104" i="23"/>
  <c r="AQ103" i="23"/>
  <c r="AQ102" i="23"/>
  <c r="AQ101" i="23"/>
  <c r="AQ100" i="23"/>
  <c r="AQ99" i="23"/>
  <c r="AQ97" i="23"/>
  <c r="AQ96" i="23"/>
  <c r="AQ94" i="23"/>
  <c r="AQ93" i="23"/>
  <c r="AQ92" i="23"/>
  <c r="AQ91" i="23"/>
  <c r="AQ90" i="23"/>
  <c r="AQ88" i="23"/>
  <c r="AQ87" i="23"/>
  <c r="AQ85" i="23"/>
  <c r="AQ84" i="23"/>
  <c r="AQ83" i="23"/>
  <c r="AQ82" i="23"/>
  <c r="AQ80" i="23"/>
  <c r="AQ79" i="23"/>
  <c r="AQ77" i="23"/>
  <c r="AQ76" i="23"/>
  <c r="AQ75" i="23"/>
  <c r="AQ73" i="23"/>
  <c r="AQ72" i="23"/>
  <c r="AQ71" i="23"/>
  <c r="AQ70" i="23"/>
  <c r="AQ67" i="23"/>
  <c r="AQ66" i="23"/>
  <c r="AQ64" i="23"/>
  <c r="AQ63" i="23" s="1"/>
  <c r="AQ62" i="23"/>
  <c r="AQ61" i="23" s="1"/>
  <c r="AQ60" i="23"/>
  <c r="AQ59" i="23" s="1"/>
  <c r="AQ58" i="23"/>
  <c r="AQ57" i="23" s="1"/>
  <c r="AQ56" i="23"/>
  <c r="AQ55" i="23"/>
  <c r="AQ53" i="23"/>
  <c r="AQ52" i="23"/>
  <c r="AQ50" i="23"/>
  <c r="AQ49" i="23"/>
  <c r="AQ48" i="23"/>
  <c r="AQ47" i="23"/>
  <c r="AQ46" i="23"/>
  <c r="AQ45" i="23"/>
  <c r="AQ44" i="23"/>
  <c r="AQ43" i="23"/>
  <c r="AQ42" i="23"/>
  <c r="AQ40" i="23"/>
  <c r="AQ39" i="23"/>
  <c r="AQ38" i="23"/>
  <c r="AQ37" i="23"/>
  <c r="AQ36" i="23"/>
  <c r="AQ35" i="23"/>
  <c r="AQ34" i="23"/>
  <c r="AQ31" i="23"/>
  <c r="AQ30" i="23"/>
  <c r="AQ29" i="23"/>
  <c r="AQ28" i="23"/>
  <c r="AQ27" i="23"/>
  <c r="AQ24" i="23"/>
  <c r="AQ23" i="23"/>
  <c r="AQ21" i="23"/>
  <c r="AQ20" i="23"/>
  <c r="AQ19" i="23"/>
  <c r="AQ18" i="23"/>
  <c r="AQ17" i="23"/>
  <c r="AQ16" i="23"/>
  <c r="AQ15" i="23"/>
  <c r="AQ14" i="23"/>
  <c r="AQ13" i="23"/>
  <c r="AQ11" i="23"/>
  <c r="AQ10" i="23"/>
  <c r="AQ8" i="23"/>
  <c r="AQ7" i="23" s="1"/>
  <c r="AO270" i="23"/>
  <c r="AO269" i="23" s="1"/>
  <c r="AO268" i="23"/>
  <c r="AO267" i="23"/>
  <c r="AO265" i="23"/>
  <c r="AO264" i="23"/>
  <c r="AO263" i="23"/>
  <c r="AO262" i="23"/>
  <c r="AO261" i="23"/>
  <c r="AO260" i="23"/>
  <c r="AO259" i="23"/>
  <c r="AO258" i="23"/>
  <c r="AO257" i="23"/>
  <c r="AO256" i="23"/>
  <c r="AO255" i="23"/>
  <c r="AO254" i="23"/>
  <c r="AO253" i="23"/>
  <c r="AO252" i="23"/>
  <c r="AO251" i="23"/>
  <c r="AO250" i="23"/>
  <c r="AO249" i="23"/>
  <c r="AO248" i="23"/>
  <c r="AO247" i="23"/>
  <c r="AO246" i="23"/>
  <c r="AO245" i="23"/>
  <c r="AO244" i="23"/>
  <c r="AO243" i="23"/>
  <c r="AO242" i="23"/>
  <c r="AO241" i="23"/>
  <c r="AO240" i="23"/>
  <c r="AO239" i="23"/>
  <c r="AO238" i="23"/>
  <c r="AO237" i="23"/>
  <c r="AO236" i="23"/>
  <c r="AO235" i="23"/>
  <c r="AO234" i="23"/>
  <c r="AO233" i="23"/>
  <c r="AO232" i="23"/>
  <c r="AO231" i="23"/>
  <c r="AO230" i="23"/>
  <c r="AO229" i="23"/>
  <c r="AO228" i="23"/>
  <c r="AO227" i="23"/>
  <c r="AO226" i="23"/>
  <c r="AO225" i="23"/>
  <c r="AO224" i="23"/>
  <c r="AO223" i="23"/>
  <c r="AO222" i="23"/>
  <c r="AO221" i="23"/>
  <c r="AO220" i="23"/>
  <c r="AO219" i="23"/>
  <c r="AO218" i="23"/>
  <c r="AO217" i="23"/>
  <c r="AO216" i="23"/>
  <c r="AO215" i="23"/>
  <c r="AO214" i="23"/>
  <c r="AO213" i="23"/>
  <c r="AO212" i="23"/>
  <c r="AO211" i="23"/>
  <c r="AO210" i="23"/>
  <c r="AO209" i="23"/>
  <c r="AO208" i="23"/>
  <c r="AO206" i="23"/>
  <c r="AO205" i="23"/>
  <c r="AO204" i="23"/>
  <c r="AO203" i="23"/>
  <c r="AO201" i="23"/>
  <c r="AO200" i="23"/>
  <c r="AO199" i="23"/>
  <c r="AO198" i="23"/>
  <c r="AO196" i="23"/>
  <c r="AO195" i="23"/>
  <c r="AO194" i="23"/>
  <c r="AO193" i="23"/>
  <c r="AO191" i="23"/>
  <c r="AO190" i="23"/>
  <c r="AO188" i="23"/>
  <c r="AO187" i="23"/>
  <c r="AO186" i="23"/>
  <c r="AO184" i="23"/>
  <c r="AO183" i="23"/>
  <c r="AO182" i="23"/>
  <c r="AO180" i="23"/>
  <c r="AO179" i="23"/>
  <c r="AO178" i="23"/>
  <c r="AO177" i="23"/>
  <c r="AO176" i="23"/>
  <c r="AO175" i="23"/>
  <c r="AO174" i="23"/>
  <c r="AO173" i="23"/>
  <c r="AO172" i="23"/>
  <c r="AO171" i="23"/>
  <c r="AO170" i="23"/>
  <c r="AO169" i="23"/>
  <c r="AO168" i="23"/>
  <c r="AO167" i="23"/>
  <c r="AO166" i="23"/>
  <c r="AO165" i="23"/>
  <c r="AO164" i="23"/>
  <c r="AO163" i="23"/>
  <c r="AO162" i="23"/>
  <c r="AO161" i="23"/>
  <c r="AO160" i="23"/>
  <c r="AO159" i="23"/>
  <c r="AO158" i="23"/>
  <c r="AO157" i="23"/>
  <c r="AO156" i="23"/>
  <c r="AO155" i="23"/>
  <c r="AO154" i="23"/>
  <c r="AO153" i="23"/>
  <c r="AO152" i="23"/>
  <c r="AO151" i="23"/>
  <c r="AO150" i="23"/>
  <c r="AO149" i="23"/>
  <c r="AO148" i="23"/>
  <c r="AO147" i="23"/>
  <c r="AO146" i="23"/>
  <c r="AO145" i="23"/>
  <c r="AO143" i="23"/>
  <c r="AO142" i="23"/>
  <c r="AO141" i="23"/>
  <c r="AO140" i="23"/>
  <c r="AO139" i="23"/>
  <c r="AO138" i="23"/>
  <c r="AO137" i="23"/>
  <c r="AO136" i="23"/>
  <c r="AO135" i="23"/>
  <c r="AO134" i="23"/>
  <c r="AO133" i="23"/>
  <c r="AO132" i="23"/>
  <c r="AO131" i="23"/>
  <c r="AO130" i="23"/>
  <c r="AO129" i="23"/>
  <c r="AO128" i="23"/>
  <c r="AO127" i="23"/>
  <c r="AO126" i="23"/>
  <c r="AO125" i="23"/>
  <c r="AO124" i="23"/>
  <c r="AO123" i="23"/>
  <c r="AO122" i="23"/>
  <c r="AO121" i="23"/>
  <c r="AO120" i="23"/>
  <c r="AO119" i="23"/>
  <c r="AO118" i="23"/>
  <c r="AO117" i="23"/>
  <c r="AO116" i="23"/>
  <c r="AO115" i="23"/>
  <c r="AO114" i="23"/>
  <c r="AO113" i="23"/>
  <c r="AO112" i="23"/>
  <c r="AO111" i="23"/>
  <c r="AO109" i="23"/>
  <c r="AO108" i="23"/>
  <c r="AO106" i="23"/>
  <c r="AO105" i="23" s="1"/>
  <c r="AO104" i="23"/>
  <c r="AO103" i="23"/>
  <c r="AO102" i="23"/>
  <c r="AO101" i="23"/>
  <c r="AO100" i="23"/>
  <c r="AO99" i="23"/>
  <c r="AO97" i="23"/>
  <c r="AO96" i="23"/>
  <c r="AO94" i="23"/>
  <c r="AO93" i="23"/>
  <c r="AO92" i="23"/>
  <c r="AO91" i="23"/>
  <c r="AO90" i="23"/>
  <c r="AO88" i="23"/>
  <c r="AO87" i="23"/>
  <c r="AO85" i="23"/>
  <c r="AO84" i="23"/>
  <c r="AO83" i="23"/>
  <c r="AO82" i="23"/>
  <c r="AO80" i="23"/>
  <c r="AO79" i="23"/>
  <c r="AO77" i="23"/>
  <c r="AO76" i="23"/>
  <c r="AO75" i="23"/>
  <c r="AO73" i="23"/>
  <c r="AO72" i="23"/>
  <c r="AO71" i="23"/>
  <c r="AO70" i="23"/>
  <c r="AO67" i="23"/>
  <c r="AO66" i="23"/>
  <c r="AO64" i="23"/>
  <c r="AO63" i="23" s="1"/>
  <c r="AO62" i="23"/>
  <c r="AO61" i="23" s="1"/>
  <c r="AO60" i="23"/>
  <c r="AO59" i="23" s="1"/>
  <c r="AO58" i="23"/>
  <c r="AO57" i="23" s="1"/>
  <c r="AO56" i="23"/>
  <c r="AO55" i="23"/>
  <c r="AO53" i="23"/>
  <c r="AO52" i="23"/>
  <c r="AO50" i="23"/>
  <c r="AO49" i="23"/>
  <c r="AO48" i="23"/>
  <c r="AO47" i="23"/>
  <c r="AO46" i="23"/>
  <c r="AO45" i="23"/>
  <c r="AO44" i="23"/>
  <c r="AO43" i="23"/>
  <c r="AO42" i="23"/>
  <c r="AO40" i="23"/>
  <c r="AO39" i="23"/>
  <c r="AO38" i="23"/>
  <c r="AO37" i="23"/>
  <c r="AO36" i="23"/>
  <c r="AO35" i="23"/>
  <c r="AO34" i="23"/>
  <c r="AO31" i="23"/>
  <c r="AO30" i="23"/>
  <c r="AO29" i="23"/>
  <c r="AO28" i="23"/>
  <c r="AO27" i="23"/>
  <c r="AO24" i="23"/>
  <c r="AO23" i="23"/>
  <c r="AO21" i="23"/>
  <c r="AO20" i="23"/>
  <c r="AO19" i="23"/>
  <c r="AO18" i="23"/>
  <c r="AO17" i="23"/>
  <c r="AO16" i="23"/>
  <c r="AO15" i="23"/>
  <c r="AO14" i="23"/>
  <c r="AO13" i="23"/>
  <c r="AO11" i="23"/>
  <c r="AO10" i="23"/>
  <c r="AO8" i="23"/>
  <c r="AO7" i="23" s="1"/>
  <c r="AM270" i="23"/>
  <c r="AM269" i="23" s="1"/>
  <c r="AM268" i="23"/>
  <c r="AM267" i="23"/>
  <c r="AM265" i="23"/>
  <c r="AM264" i="23"/>
  <c r="AM263" i="23"/>
  <c r="AM262" i="23"/>
  <c r="AM261" i="23"/>
  <c r="AM260" i="23"/>
  <c r="AM259" i="23"/>
  <c r="AM258"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4" i="23"/>
  <c r="AM223" i="23"/>
  <c r="AM222" i="23"/>
  <c r="AM221" i="23"/>
  <c r="AM220" i="23"/>
  <c r="AM219" i="23"/>
  <c r="AM218" i="23"/>
  <c r="AM217" i="23"/>
  <c r="AM216" i="23"/>
  <c r="AM215" i="23"/>
  <c r="AM214" i="23"/>
  <c r="AM213" i="23"/>
  <c r="AM212" i="23"/>
  <c r="AM211" i="23"/>
  <c r="AM210" i="23"/>
  <c r="AM209" i="23"/>
  <c r="AM208" i="23"/>
  <c r="AM206" i="23"/>
  <c r="AM205" i="23"/>
  <c r="AM204" i="23"/>
  <c r="AM203" i="23"/>
  <c r="AM201" i="23"/>
  <c r="AM200" i="23"/>
  <c r="AM199" i="23"/>
  <c r="AM198" i="23"/>
  <c r="AM196" i="23"/>
  <c r="AM195" i="23"/>
  <c r="AM194" i="23"/>
  <c r="AM193" i="23"/>
  <c r="AM191" i="23"/>
  <c r="AM190" i="23"/>
  <c r="AM188" i="23"/>
  <c r="AM187" i="23"/>
  <c r="AM186" i="23"/>
  <c r="AM184" i="23"/>
  <c r="AM183" i="23"/>
  <c r="AM182"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4" i="23"/>
  <c r="AM153" i="23"/>
  <c r="AM152" i="23"/>
  <c r="AM151" i="23"/>
  <c r="AM150" i="23"/>
  <c r="AM149" i="23"/>
  <c r="AM148" i="23"/>
  <c r="AM147" i="23"/>
  <c r="AM146" i="23"/>
  <c r="AM145"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9" i="23"/>
  <c r="AM118" i="23"/>
  <c r="AM117" i="23"/>
  <c r="AM116" i="23"/>
  <c r="AM115" i="23"/>
  <c r="AM114" i="23"/>
  <c r="AM113" i="23"/>
  <c r="AM112" i="23"/>
  <c r="AM111" i="23"/>
  <c r="AM109" i="23"/>
  <c r="AM108" i="23"/>
  <c r="AM106" i="23"/>
  <c r="AM105" i="23" s="1"/>
  <c r="AM104" i="23"/>
  <c r="AM103" i="23"/>
  <c r="AM102" i="23"/>
  <c r="AM101" i="23"/>
  <c r="AM100" i="23"/>
  <c r="AM99" i="23"/>
  <c r="AM97" i="23"/>
  <c r="AM96" i="23"/>
  <c r="AM94" i="23"/>
  <c r="AM93" i="23"/>
  <c r="AM92" i="23"/>
  <c r="AM91" i="23"/>
  <c r="AM90" i="23"/>
  <c r="AM88" i="23"/>
  <c r="AM87" i="23"/>
  <c r="AM85" i="23"/>
  <c r="AM84" i="23"/>
  <c r="AM83" i="23"/>
  <c r="AM82" i="23"/>
  <c r="AM80" i="23"/>
  <c r="AM79" i="23"/>
  <c r="AM77" i="23"/>
  <c r="AM76" i="23"/>
  <c r="AM75" i="23"/>
  <c r="AM73" i="23"/>
  <c r="AM72" i="23"/>
  <c r="AM71" i="23"/>
  <c r="AM70" i="23"/>
  <c r="AM67" i="23"/>
  <c r="AM66" i="23"/>
  <c r="AM64" i="23"/>
  <c r="AM63" i="23" s="1"/>
  <c r="AM62" i="23"/>
  <c r="AM61" i="23" s="1"/>
  <c r="AM60" i="23"/>
  <c r="AM59" i="23" s="1"/>
  <c r="AM58" i="23"/>
  <c r="AM57" i="23" s="1"/>
  <c r="AM56" i="23"/>
  <c r="AM55" i="23"/>
  <c r="AM53" i="23"/>
  <c r="AM52" i="23"/>
  <c r="AM50" i="23"/>
  <c r="AM49" i="23"/>
  <c r="AM48" i="23"/>
  <c r="AM47" i="23"/>
  <c r="AM46" i="23"/>
  <c r="AM45" i="23"/>
  <c r="AM44" i="23"/>
  <c r="AM43" i="23"/>
  <c r="AM42" i="23"/>
  <c r="AM40" i="23"/>
  <c r="AM39" i="23"/>
  <c r="AM38" i="23"/>
  <c r="AM37" i="23"/>
  <c r="AM36" i="23"/>
  <c r="AM35" i="23"/>
  <c r="AM34" i="23"/>
  <c r="AM31" i="23"/>
  <c r="AM30" i="23"/>
  <c r="AM29" i="23"/>
  <c r="AM28" i="23"/>
  <c r="AM27" i="23"/>
  <c r="AM24" i="23"/>
  <c r="AM23" i="23"/>
  <c r="AM21" i="23"/>
  <c r="AM20" i="23"/>
  <c r="AM19" i="23"/>
  <c r="AM18" i="23"/>
  <c r="AM17" i="23"/>
  <c r="AM16" i="23"/>
  <c r="AM15" i="23"/>
  <c r="AM14" i="23"/>
  <c r="AM13" i="23"/>
  <c r="AM11" i="23"/>
  <c r="AM10" i="23"/>
  <c r="AM8" i="23"/>
  <c r="AM7" i="23" s="1"/>
  <c r="AK270" i="23"/>
  <c r="AK269" i="23" s="1"/>
  <c r="AK268" i="23"/>
  <c r="AK267" i="23"/>
  <c r="AK265" i="23"/>
  <c r="AK264" i="23"/>
  <c r="AK263" i="23"/>
  <c r="AK262" i="23"/>
  <c r="AK261" i="23"/>
  <c r="AK260" i="23"/>
  <c r="AK259" i="23"/>
  <c r="AK258" i="23"/>
  <c r="AK257" i="23"/>
  <c r="AK256" i="23"/>
  <c r="AK255" i="23"/>
  <c r="AK254" i="23"/>
  <c r="AK253" i="23"/>
  <c r="AK252" i="23"/>
  <c r="AK251" i="23"/>
  <c r="AK250" i="23"/>
  <c r="AK249" i="23"/>
  <c r="AK248" i="23"/>
  <c r="AK247" i="23"/>
  <c r="AK246" i="23"/>
  <c r="AK245" i="23"/>
  <c r="AK244" i="23"/>
  <c r="AK243" i="23"/>
  <c r="AK242" i="23"/>
  <c r="AK241" i="23"/>
  <c r="AK240" i="23"/>
  <c r="AK239" i="23"/>
  <c r="AK238" i="23"/>
  <c r="AK237" i="23"/>
  <c r="AK236" i="23"/>
  <c r="AK235" i="23"/>
  <c r="AK234" i="23"/>
  <c r="AK233" i="23"/>
  <c r="AK232" i="23"/>
  <c r="AK231" i="23"/>
  <c r="AK230" i="23"/>
  <c r="AK229" i="23"/>
  <c r="AK228" i="23"/>
  <c r="AK227" i="23"/>
  <c r="AK226" i="23"/>
  <c r="AK225" i="23"/>
  <c r="AK224" i="23"/>
  <c r="AK223" i="23"/>
  <c r="AK222" i="23"/>
  <c r="AK221" i="23"/>
  <c r="AK220" i="23"/>
  <c r="AK219" i="23"/>
  <c r="AK218" i="23"/>
  <c r="AK217" i="23"/>
  <c r="AK216" i="23"/>
  <c r="AK215" i="23"/>
  <c r="AK214" i="23"/>
  <c r="AK213" i="23"/>
  <c r="AK212" i="23"/>
  <c r="AK211" i="23"/>
  <c r="AK210" i="23"/>
  <c r="AK209" i="23"/>
  <c r="AK208" i="23"/>
  <c r="AK206" i="23"/>
  <c r="AK205" i="23"/>
  <c r="AK204" i="23"/>
  <c r="AK203" i="23"/>
  <c r="AK201" i="23"/>
  <c r="AK200" i="23"/>
  <c r="AK199" i="23"/>
  <c r="AK198" i="23"/>
  <c r="AK196" i="23"/>
  <c r="AK195" i="23"/>
  <c r="AK194" i="23"/>
  <c r="AK193" i="23"/>
  <c r="AK191" i="23"/>
  <c r="AK190" i="23"/>
  <c r="AK188" i="23"/>
  <c r="AK187" i="23"/>
  <c r="AK186" i="23"/>
  <c r="AK184" i="23"/>
  <c r="AK183" i="23"/>
  <c r="AK182" i="23"/>
  <c r="AK180" i="23"/>
  <c r="AK179" i="23"/>
  <c r="AK178" i="23"/>
  <c r="AK177" i="23"/>
  <c r="AK176" i="23"/>
  <c r="AK175" i="23"/>
  <c r="AK174" i="23"/>
  <c r="AK173" i="23"/>
  <c r="AK172" i="23"/>
  <c r="AK171" i="23"/>
  <c r="AK170" i="23"/>
  <c r="AK169" i="23"/>
  <c r="AK168" i="23"/>
  <c r="AK167" i="23"/>
  <c r="AK166" i="23"/>
  <c r="AK165" i="23"/>
  <c r="AK164" i="23"/>
  <c r="AK163" i="23"/>
  <c r="AK162" i="23"/>
  <c r="AK161" i="23"/>
  <c r="AK160" i="23"/>
  <c r="AK159" i="23"/>
  <c r="AK158" i="23"/>
  <c r="AK157" i="23"/>
  <c r="AK156" i="23"/>
  <c r="AK155" i="23"/>
  <c r="AK154" i="23"/>
  <c r="AK153" i="23"/>
  <c r="AK152" i="23"/>
  <c r="AK151" i="23"/>
  <c r="AK150" i="23"/>
  <c r="AK149" i="23"/>
  <c r="AK148" i="23"/>
  <c r="AK147" i="23"/>
  <c r="AK146" i="23"/>
  <c r="AK145" i="23"/>
  <c r="AK143" i="23"/>
  <c r="AK142" i="23"/>
  <c r="AK141" i="23"/>
  <c r="AK140" i="23"/>
  <c r="AK139" i="23"/>
  <c r="AK138" i="23"/>
  <c r="AK137" i="23"/>
  <c r="AK136" i="23"/>
  <c r="AK135" i="23"/>
  <c r="AK134" i="23"/>
  <c r="AK133" i="23"/>
  <c r="AK132" i="23"/>
  <c r="AK131" i="23"/>
  <c r="AK130" i="23"/>
  <c r="AK129" i="23"/>
  <c r="AK128" i="23"/>
  <c r="AK127" i="23"/>
  <c r="AK126" i="23"/>
  <c r="AK125" i="23"/>
  <c r="AK124" i="23"/>
  <c r="AK123" i="23"/>
  <c r="AK122" i="23"/>
  <c r="AK121" i="23"/>
  <c r="AK120" i="23"/>
  <c r="AK119" i="23"/>
  <c r="AK118" i="23"/>
  <c r="AK117" i="23"/>
  <c r="AK116" i="23"/>
  <c r="AK115" i="23"/>
  <c r="AK114" i="23"/>
  <c r="AK113" i="23"/>
  <c r="AK112" i="23"/>
  <c r="AK111" i="23"/>
  <c r="AK109" i="23"/>
  <c r="AK108" i="23"/>
  <c r="AK106" i="23"/>
  <c r="AK105" i="23" s="1"/>
  <c r="AK104" i="23"/>
  <c r="AK103" i="23"/>
  <c r="AK102" i="23"/>
  <c r="AK101" i="23"/>
  <c r="AK100" i="23"/>
  <c r="AK99" i="23"/>
  <c r="AK97" i="23"/>
  <c r="AK96" i="23"/>
  <c r="AK94" i="23"/>
  <c r="AK93" i="23"/>
  <c r="AK92" i="23"/>
  <c r="AK91" i="23"/>
  <c r="AK90" i="23"/>
  <c r="AK88" i="23"/>
  <c r="AK87" i="23"/>
  <c r="AK85" i="23"/>
  <c r="AK84" i="23"/>
  <c r="AK83" i="23"/>
  <c r="AK82" i="23"/>
  <c r="AK80" i="23"/>
  <c r="AK79" i="23"/>
  <c r="AK77" i="23"/>
  <c r="AK76" i="23"/>
  <c r="AK75" i="23"/>
  <c r="AK73" i="23"/>
  <c r="AK72" i="23"/>
  <c r="AK71" i="23"/>
  <c r="AK70" i="23"/>
  <c r="AK67" i="23"/>
  <c r="AK66" i="23"/>
  <c r="AK64" i="23"/>
  <c r="AK63" i="23" s="1"/>
  <c r="AK62" i="23"/>
  <c r="AK61" i="23" s="1"/>
  <c r="AK60" i="23"/>
  <c r="AK59" i="23" s="1"/>
  <c r="AK58" i="23"/>
  <c r="AK57" i="23" s="1"/>
  <c r="AK56" i="23"/>
  <c r="AK55" i="23"/>
  <c r="AK53" i="23"/>
  <c r="AK52" i="23"/>
  <c r="AK50" i="23"/>
  <c r="AK49" i="23"/>
  <c r="AK48" i="23"/>
  <c r="AK47" i="23"/>
  <c r="AK46" i="23"/>
  <c r="AK45" i="23"/>
  <c r="AK44" i="23"/>
  <c r="AK43" i="23"/>
  <c r="AK42" i="23"/>
  <c r="AK40" i="23"/>
  <c r="AK39" i="23"/>
  <c r="AK38" i="23"/>
  <c r="AK37" i="23"/>
  <c r="AK36" i="23"/>
  <c r="AK35" i="23"/>
  <c r="AK34" i="23"/>
  <c r="AK31" i="23"/>
  <c r="AK30" i="23"/>
  <c r="AK29" i="23"/>
  <c r="AK28" i="23"/>
  <c r="AK27" i="23"/>
  <c r="AK24" i="23"/>
  <c r="AK23" i="23"/>
  <c r="AK21" i="23"/>
  <c r="AK20" i="23"/>
  <c r="AK19" i="23"/>
  <c r="AK18" i="23"/>
  <c r="AK17" i="23"/>
  <c r="AK16" i="23"/>
  <c r="AK15" i="23"/>
  <c r="AK14" i="23"/>
  <c r="AK13" i="23"/>
  <c r="AK11" i="23"/>
  <c r="AK10" i="23"/>
  <c r="AK8" i="23"/>
  <c r="AK7" i="23" s="1"/>
  <c r="CF242" i="23"/>
  <c r="CE242" i="23"/>
  <c r="CD242" i="23"/>
  <c r="CC242" i="23"/>
  <c r="CB242" i="23"/>
  <c r="CA242" i="23"/>
  <c r="BZ242" i="23"/>
  <c r="BY242" i="23"/>
  <c r="BX242" i="23"/>
  <c r="BW242" i="23"/>
  <c r="BV242" i="23"/>
  <c r="BU242" i="23"/>
  <c r="BT242" i="23"/>
  <c r="BS242" i="23"/>
  <c r="BR242" i="23"/>
  <c r="BQ242" i="23"/>
  <c r="BP242" i="23"/>
  <c r="BO242" i="23"/>
  <c r="BN242" i="23"/>
  <c r="BM242" i="23"/>
  <c r="BL242" i="23"/>
  <c r="BK242" i="23"/>
  <c r="BJ242" i="23"/>
  <c r="BI242" i="23"/>
  <c r="AI242" i="23"/>
  <c r="AE242" i="23"/>
  <c r="AC242" i="23"/>
  <c r="AA242" i="23"/>
  <c r="Y242" i="23"/>
  <c r="W242" i="23"/>
  <c r="U242" i="23"/>
  <c r="S242" i="23"/>
  <c r="Q242" i="23"/>
  <c r="O242" i="23"/>
  <c r="M242" i="23"/>
  <c r="K242" i="23"/>
  <c r="I242" i="23"/>
  <c r="G242" i="23"/>
  <c r="CF241" i="23"/>
  <c r="CE241" i="23"/>
  <c r="CD241" i="23"/>
  <c r="CC241" i="23"/>
  <c r="CB241" i="23"/>
  <c r="CA241" i="23"/>
  <c r="BZ241" i="23"/>
  <c r="BY241" i="23"/>
  <c r="BX241" i="23"/>
  <c r="BW241" i="23"/>
  <c r="BV241" i="23"/>
  <c r="BU241" i="23"/>
  <c r="BT241" i="23"/>
  <c r="BS241" i="23"/>
  <c r="BR241" i="23"/>
  <c r="BQ241" i="23"/>
  <c r="BP241" i="23"/>
  <c r="BO241" i="23"/>
  <c r="BN241" i="23"/>
  <c r="BM241" i="23"/>
  <c r="BL241" i="23"/>
  <c r="BK241" i="23"/>
  <c r="BJ241" i="23"/>
  <c r="BI241" i="23"/>
  <c r="AI241" i="23"/>
  <c r="AE241" i="23"/>
  <c r="AC241" i="23"/>
  <c r="AA241" i="23"/>
  <c r="Y241" i="23"/>
  <c r="W241" i="23"/>
  <c r="U241" i="23"/>
  <c r="S241" i="23"/>
  <c r="Q241" i="23"/>
  <c r="O241" i="23"/>
  <c r="M241" i="23"/>
  <c r="K241" i="23"/>
  <c r="I241" i="23"/>
  <c r="G241" i="23"/>
  <c r="CF240" i="23"/>
  <c r="CE240" i="23"/>
  <c r="CD240" i="23"/>
  <c r="CC240" i="23"/>
  <c r="CB240" i="23"/>
  <c r="CA240" i="23"/>
  <c r="BZ240" i="23"/>
  <c r="BY240" i="23"/>
  <c r="BX240" i="23"/>
  <c r="BW240" i="23"/>
  <c r="BV240" i="23"/>
  <c r="BU240" i="23"/>
  <c r="BT240" i="23"/>
  <c r="BS240" i="23"/>
  <c r="BR240" i="23"/>
  <c r="BQ240" i="23"/>
  <c r="BP240" i="23"/>
  <c r="BO240" i="23"/>
  <c r="BN240" i="23"/>
  <c r="BM240" i="23"/>
  <c r="BL240" i="23"/>
  <c r="BK240" i="23"/>
  <c r="BJ240" i="23"/>
  <c r="BI240" i="23"/>
  <c r="AI240" i="23"/>
  <c r="AE240" i="23"/>
  <c r="AC240" i="23"/>
  <c r="AA240" i="23"/>
  <c r="Y240" i="23"/>
  <c r="W240" i="23"/>
  <c r="U240" i="23"/>
  <c r="S240" i="23"/>
  <c r="Q240" i="23"/>
  <c r="O240" i="23"/>
  <c r="M240" i="23"/>
  <c r="K240" i="23"/>
  <c r="I240" i="23"/>
  <c r="G240" i="23"/>
  <c r="CF239" i="23"/>
  <c r="CE239" i="23"/>
  <c r="CD239" i="23"/>
  <c r="CC239" i="23"/>
  <c r="CB239" i="23"/>
  <c r="CA239" i="23"/>
  <c r="BZ239" i="23"/>
  <c r="BY239" i="23"/>
  <c r="BX239" i="23"/>
  <c r="BW239" i="23"/>
  <c r="BV239" i="23"/>
  <c r="BU239" i="23"/>
  <c r="BT239" i="23"/>
  <c r="BS239" i="23"/>
  <c r="BR239" i="23"/>
  <c r="BQ239" i="23"/>
  <c r="BP239" i="23"/>
  <c r="BO239" i="23"/>
  <c r="BN239" i="23"/>
  <c r="BM239" i="23"/>
  <c r="BL239" i="23"/>
  <c r="BK239" i="23"/>
  <c r="BJ239" i="23"/>
  <c r="BI239" i="23"/>
  <c r="AI239" i="23"/>
  <c r="AE239" i="23"/>
  <c r="AC239" i="23"/>
  <c r="AA239" i="23"/>
  <c r="Y239" i="23"/>
  <c r="W239" i="23"/>
  <c r="U239" i="23"/>
  <c r="S239" i="23"/>
  <c r="Q239" i="23"/>
  <c r="O239" i="23"/>
  <c r="M239" i="23"/>
  <c r="K239" i="23"/>
  <c r="I239" i="23"/>
  <c r="G239" i="23"/>
  <c r="CF238" i="23"/>
  <c r="CE238" i="23"/>
  <c r="CD238" i="23"/>
  <c r="CC238" i="23"/>
  <c r="CB238" i="23"/>
  <c r="CA238" i="23"/>
  <c r="BZ238" i="23"/>
  <c r="BY238" i="23"/>
  <c r="BX238" i="23"/>
  <c r="BW238" i="23"/>
  <c r="BV238" i="23"/>
  <c r="BU238" i="23"/>
  <c r="BT238" i="23"/>
  <c r="BS238" i="23"/>
  <c r="BR238" i="23"/>
  <c r="BQ238" i="23"/>
  <c r="BP238" i="23"/>
  <c r="BO238" i="23"/>
  <c r="BN238" i="23"/>
  <c r="BM238" i="23"/>
  <c r="BL238" i="23"/>
  <c r="BK238" i="23"/>
  <c r="BJ238" i="23"/>
  <c r="BI238" i="23"/>
  <c r="AI238" i="23"/>
  <c r="AE238" i="23"/>
  <c r="AC238" i="23"/>
  <c r="AA238" i="23"/>
  <c r="Y238" i="23"/>
  <c r="W238" i="23"/>
  <c r="U238" i="23"/>
  <c r="S238" i="23"/>
  <c r="Q238" i="23"/>
  <c r="O238" i="23"/>
  <c r="M238" i="23"/>
  <c r="K238" i="23"/>
  <c r="I238" i="23"/>
  <c r="G238" i="23"/>
  <c r="CF237" i="23"/>
  <c r="CE237" i="23"/>
  <c r="CD237" i="23"/>
  <c r="CC237" i="23"/>
  <c r="CB237" i="23"/>
  <c r="CA237" i="23"/>
  <c r="BZ237" i="23"/>
  <c r="BY237" i="23"/>
  <c r="BX237" i="23"/>
  <c r="BW237" i="23"/>
  <c r="BV237" i="23"/>
  <c r="BU237" i="23"/>
  <c r="BT237" i="23"/>
  <c r="BS237" i="23"/>
  <c r="BR237" i="23"/>
  <c r="BQ237" i="23"/>
  <c r="BP237" i="23"/>
  <c r="BO237" i="23"/>
  <c r="BN237" i="23"/>
  <c r="BM237" i="23"/>
  <c r="BL237" i="23"/>
  <c r="BK237" i="23"/>
  <c r="BJ237" i="23"/>
  <c r="BI237" i="23"/>
  <c r="AI237" i="23"/>
  <c r="AE237" i="23"/>
  <c r="AC237" i="23"/>
  <c r="AA237" i="23"/>
  <c r="Y237" i="23"/>
  <c r="W237" i="23"/>
  <c r="U237" i="23"/>
  <c r="S237" i="23"/>
  <c r="Q237" i="23"/>
  <c r="O237" i="23"/>
  <c r="M237" i="23"/>
  <c r="K237" i="23"/>
  <c r="I237" i="23"/>
  <c r="G237" i="23"/>
  <c r="CF236" i="23"/>
  <c r="CE236" i="23"/>
  <c r="CD236" i="23"/>
  <c r="CC236" i="23"/>
  <c r="CB236" i="23"/>
  <c r="CA236" i="23"/>
  <c r="BZ236" i="23"/>
  <c r="BY236" i="23"/>
  <c r="BX236" i="23"/>
  <c r="BW236" i="23"/>
  <c r="BV236" i="23"/>
  <c r="BU236" i="23"/>
  <c r="BT236" i="23"/>
  <c r="BS236" i="23"/>
  <c r="BR236" i="23"/>
  <c r="BQ236" i="23"/>
  <c r="BP236" i="23"/>
  <c r="BO236" i="23"/>
  <c r="BN236" i="23"/>
  <c r="BM236" i="23"/>
  <c r="BL236" i="23"/>
  <c r="BK236" i="23"/>
  <c r="BJ236" i="23"/>
  <c r="BI236" i="23"/>
  <c r="AI236" i="23"/>
  <c r="AE236" i="23"/>
  <c r="AC236" i="23"/>
  <c r="AA236" i="23"/>
  <c r="Y236" i="23"/>
  <c r="W236" i="23"/>
  <c r="U236" i="23"/>
  <c r="S236" i="23"/>
  <c r="Q236" i="23"/>
  <c r="O236" i="23"/>
  <c r="M236" i="23"/>
  <c r="K236" i="23"/>
  <c r="I236" i="23"/>
  <c r="G236" i="23"/>
  <c r="CF235" i="23"/>
  <c r="CE235" i="23"/>
  <c r="CD235" i="23"/>
  <c r="CC235" i="23"/>
  <c r="CB235" i="23"/>
  <c r="CA235" i="23"/>
  <c r="BZ235" i="23"/>
  <c r="BY235" i="23"/>
  <c r="BX235" i="23"/>
  <c r="BW235" i="23"/>
  <c r="BV235" i="23"/>
  <c r="BU235" i="23"/>
  <c r="BT235" i="23"/>
  <c r="BS235" i="23"/>
  <c r="BR235" i="23"/>
  <c r="BQ235" i="23"/>
  <c r="BP235" i="23"/>
  <c r="BO235" i="23"/>
  <c r="BN235" i="23"/>
  <c r="BM235" i="23"/>
  <c r="BL235" i="23"/>
  <c r="BK235" i="23"/>
  <c r="BJ235" i="23"/>
  <c r="BI235" i="23"/>
  <c r="AI235" i="23"/>
  <c r="AE235" i="23"/>
  <c r="AC235" i="23"/>
  <c r="AA235" i="23"/>
  <c r="Y235" i="23"/>
  <c r="W235" i="23"/>
  <c r="U235" i="23"/>
  <c r="S235" i="23"/>
  <c r="Q235" i="23"/>
  <c r="O235" i="23"/>
  <c r="M235" i="23"/>
  <c r="K235" i="23"/>
  <c r="I235" i="23"/>
  <c r="G235" i="23"/>
  <c r="CF234" i="23"/>
  <c r="CE234" i="23"/>
  <c r="CD234" i="23"/>
  <c r="CC234" i="23"/>
  <c r="CB234" i="23"/>
  <c r="CA234" i="23"/>
  <c r="BZ234" i="23"/>
  <c r="BY234" i="23"/>
  <c r="BX234" i="23"/>
  <c r="BW234" i="23"/>
  <c r="BV234" i="23"/>
  <c r="BU234" i="23"/>
  <c r="BT234" i="23"/>
  <c r="BS234" i="23"/>
  <c r="BR234" i="23"/>
  <c r="BQ234" i="23"/>
  <c r="BP234" i="23"/>
  <c r="BO234" i="23"/>
  <c r="BN234" i="23"/>
  <c r="BM234" i="23"/>
  <c r="BL234" i="23"/>
  <c r="BK234" i="23"/>
  <c r="BJ234" i="23"/>
  <c r="BI234" i="23"/>
  <c r="AI234" i="23"/>
  <c r="AE234" i="23"/>
  <c r="AC234" i="23"/>
  <c r="AA234" i="23"/>
  <c r="Y234" i="23"/>
  <c r="W234" i="23"/>
  <c r="U234" i="23"/>
  <c r="S234" i="23"/>
  <c r="Q234" i="23"/>
  <c r="O234" i="23"/>
  <c r="M234" i="23"/>
  <c r="K234" i="23"/>
  <c r="I234" i="23"/>
  <c r="G234" i="23"/>
  <c r="CF233" i="23"/>
  <c r="CE233" i="23"/>
  <c r="CD233" i="23"/>
  <c r="CC233" i="23"/>
  <c r="CB233" i="23"/>
  <c r="CA233" i="23"/>
  <c r="BZ233" i="23"/>
  <c r="BY233" i="23"/>
  <c r="BX233" i="23"/>
  <c r="BW233" i="23"/>
  <c r="BV233" i="23"/>
  <c r="BU233" i="23"/>
  <c r="BT233" i="23"/>
  <c r="BS233" i="23"/>
  <c r="BR233" i="23"/>
  <c r="BQ233" i="23"/>
  <c r="BP233" i="23"/>
  <c r="BO233" i="23"/>
  <c r="BN233" i="23"/>
  <c r="BM233" i="23"/>
  <c r="BL233" i="23"/>
  <c r="BK233" i="23"/>
  <c r="BJ233" i="23"/>
  <c r="BI233" i="23"/>
  <c r="AI233" i="23"/>
  <c r="AE233" i="23"/>
  <c r="AC233" i="23"/>
  <c r="AA233" i="23"/>
  <c r="Y233" i="23"/>
  <c r="W233" i="23"/>
  <c r="U233" i="23"/>
  <c r="S233" i="23"/>
  <c r="Q233" i="23"/>
  <c r="O233" i="23"/>
  <c r="M233" i="23"/>
  <c r="K233" i="23"/>
  <c r="I233" i="23"/>
  <c r="G233" i="23"/>
  <c r="CF232" i="23"/>
  <c r="CE232" i="23"/>
  <c r="CD232" i="23"/>
  <c r="CC232" i="23"/>
  <c r="CB232" i="23"/>
  <c r="CA232" i="23"/>
  <c r="BZ232" i="23"/>
  <c r="BY232" i="23"/>
  <c r="BX232" i="23"/>
  <c r="BW232" i="23"/>
  <c r="BV232" i="23"/>
  <c r="BU232" i="23"/>
  <c r="BT232" i="23"/>
  <c r="BS232" i="23"/>
  <c r="BR232" i="23"/>
  <c r="BQ232" i="23"/>
  <c r="BP232" i="23"/>
  <c r="BO232" i="23"/>
  <c r="BN232" i="23"/>
  <c r="BM232" i="23"/>
  <c r="BL232" i="23"/>
  <c r="BK232" i="23"/>
  <c r="BJ232" i="23"/>
  <c r="BI232" i="23"/>
  <c r="AI232" i="23"/>
  <c r="AE232" i="23"/>
  <c r="AC232" i="23"/>
  <c r="AA232" i="23"/>
  <c r="Y232" i="23"/>
  <c r="W232" i="23"/>
  <c r="U232" i="23"/>
  <c r="S232" i="23"/>
  <c r="Q232" i="23"/>
  <c r="O232" i="23"/>
  <c r="M232" i="23"/>
  <c r="K232" i="23"/>
  <c r="I232" i="23"/>
  <c r="G232" i="23"/>
  <c r="CF231" i="23"/>
  <c r="CE231" i="23"/>
  <c r="CD231" i="23"/>
  <c r="CC231" i="23"/>
  <c r="CB231" i="23"/>
  <c r="CA231" i="23"/>
  <c r="BZ231" i="23"/>
  <c r="BY231" i="23"/>
  <c r="BX231" i="23"/>
  <c r="BW231" i="23"/>
  <c r="BV231" i="23"/>
  <c r="BU231" i="23"/>
  <c r="BT231" i="23"/>
  <c r="BS231" i="23"/>
  <c r="BR231" i="23"/>
  <c r="BQ231" i="23"/>
  <c r="BP231" i="23"/>
  <c r="BO231" i="23"/>
  <c r="BN231" i="23"/>
  <c r="BM231" i="23"/>
  <c r="BL231" i="23"/>
  <c r="BK231" i="23"/>
  <c r="BJ231" i="23"/>
  <c r="BI231" i="23"/>
  <c r="AI231" i="23"/>
  <c r="AE231" i="23"/>
  <c r="AC231" i="23"/>
  <c r="AA231" i="23"/>
  <c r="Y231" i="23"/>
  <c r="W231" i="23"/>
  <c r="U231" i="23"/>
  <c r="S231" i="23"/>
  <c r="Q231" i="23"/>
  <c r="O231" i="23"/>
  <c r="M231" i="23"/>
  <c r="K231" i="23"/>
  <c r="I231" i="23"/>
  <c r="G231" i="23"/>
  <c r="CF230" i="23"/>
  <c r="CE230" i="23"/>
  <c r="CD230" i="23"/>
  <c r="CC230" i="23"/>
  <c r="CB230" i="23"/>
  <c r="CA230" i="23"/>
  <c r="BZ230" i="23"/>
  <c r="BY230" i="23"/>
  <c r="BX230" i="23"/>
  <c r="BW230" i="23"/>
  <c r="BV230" i="23"/>
  <c r="BU230" i="23"/>
  <c r="BT230" i="23"/>
  <c r="BS230" i="23"/>
  <c r="BR230" i="23"/>
  <c r="BQ230" i="23"/>
  <c r="BP230" i="23"/>
  <c r="BO230" i="23"/>
  <c r="BN230" i="23"/>
  <c r="BM230" i="23"/>
  <c r="BL230" i="23"/>
  <c r="BK230" i="23"/>
  <c r="BJ230" i="23"/>
  <c r="BI230" i="23"/>
  <c r="AI230" i="23"/>
  <c r="AE230" i="23"/>
  <c r="AC230" i="23"/>
  <c r="AA230" i="23"/>
  <c r="Y230" i="23"/>
  <c r="W230" i="23"/>
  <c r="U230" i="23"/>
  <c r="S230" i="23"/>
  <c r="Q230" i="23"/>
  <c r="O230" i="23"/>
  <c r="M230" i="23"/>
  <c r="K230" i="23"/>
  <c r="I230" i="23"/>
  <c r="G230" i="23"/>
  <c r="CF229" i="23"/>
  <c r="CE229" i="23"/>
  <c r="CD229" i="23"/>
  <c r="CC229" i="23"/>
  <c r="CB229" i="23"/>
  <c r="CA229" i="23"/>
  <c r="BZ229" i="23"/>
  <c r="BY229" i="23"/>
  <c r="BX229" i="23"/>
  <c r="BW229" i="23"/>
  <c r="BV229" i="23"/>
  <c r="BU229" i="23"/>
  <c r="BT229" i="23"/>
  <c r="BS229" i="23"/>
  <c r="BR229" i="23"/>
  <c r="BQ229" i="23"/>
  <c r="BP229" i="23"/>
  <c r="BO229" i="23"/>
  <c r="BN229" i="23"/>
  <c r="BM229" i="23"/>
  <c r="BL229" i="23"/>
  <c r="BK229" i="23"/>
  <c r="BJ229" i="23"/>
  <c r="BI229" i="23"/>
  <c r="AI229" i="23"/>
  <c r="AE229" i="23"/>
  <c r="AC229" i="23"/>
  <c r="AA229" i="23"/>
  <c r="Y229" i="23"/>
  <c r="W229" i="23"/>
  <c r="U229" i="23"/>
  <c r="S229" i="23"/>
  <c r="Q229" i="23"/>
  <c r="O229" i="23"/>
  <c r="M229" i="23"/>
  <c r="K229" i="23"/>
  <c r="I229" i="23"/>
  <c r="G229" i="23"/>
  <c r="CF228" i="23"/>
  <c r="CE228" i="23"/>
  <c r="CD228" i="23"/>
  <c r="CC228" i="23"/>
  <c r="CB228" i="23"/>
  <c r="CA228" i="23"/>
  <c r="BZ228" i="23"/>
  <c r="BY228" i="23"/>
  <c r="BX228" i="23"/>
  <c r="BW228" i="23"/>
  <c r="BV228" i="23"/>
  <c r="BU228" i="23"/>
  <c r="BT228" i="23"/>
  <c r="BS228" i="23"/>
  <c r="BR228" i="23"/>
  <c r="BQ228" i="23"/>
  <c r="BP228" i="23"/>
  <c r="BO228" i="23"/>
  <c r="BN228" i="23"/>
  <c r="BM228" i="23"/>
  <c r="BL228" i="23"/>
  <c r="BK228" i="23"/>
  <c r="BJ228" i="23"/>
  <c r="BI228" i="23"/>
  <c r="AI228" i="23"/>
  <c r="AE228" i="23"/>
  <c r="AC228" i="23"/>
  <c r="AA228" i="23"/>
  <c r="Y228" i="23"/>
  <c r="W228" i="23"/>
  <c r="U228" i="23"/>
  <c r="S228" i="23"/>
  <c r="Q228" i="23"/>
  <c r="O228" i="23"/>
  <c r="M228" i="23"/>
  <c r="K228" i="23"/>
  <c r="I228" i="23"/>
  <c r="G228" i="23"/>
  <c r="CF227" i="23"/>
  <c r="CE227" i="23"/>
  <c r="CD227" i="23"/>
  <c r="CC227" i="23"/>
  <c r="CB227" i="23"/>
  <c r="CA227" i="23"/>
  <c r="BZ227" i="23"/>
  <c r="BY227" i="23"/>
  <c r="BX227" i="23"/>
  <c r="BW227" i="23"/>
  <c r="BV227" i="23"/>
  <c r="BU227" i="23"/>
  <c r="BT227" i="23"/>
  <c r="BS227" i="23"/>
  <c r="BR227" i="23"/>
  <c r="BQ227" i="23"/>
  <c r="BP227" i="23"/>
  <c r="BO227" i="23"/>
  <c r="BN227" i="23"/>
  <c r="BM227" i="23"/>
  <c r="BL227" i="23"/>
  <c r="BK227" i="23"/>
  <c r="BJ227" i="23"/>
  <c r="BI227" i="23"/>
  <c r="AI227" i="23"/>
  <c r="AE227" i="23"/>
  <c r="AC227" i="23"/>
  <c r="AA227" i="23"/>
  <c r="Y227" i="23"/>
  <c r="W227" i="23"/>
  <c r="U227" i="23"/>
  <c r="S227" i="23"/>
  <c r="Q227" i="23"/>
  <c r="O227" i="23"/>
  <c r="M227" i="23"/>
  <c r="K227" i="23"/>
  <c r="I227" i="23"/>
  <c r="G227" i="23"/>
  <c r="CF226" i="23"/>
  <c r="CE226" i="23"/>
  <c r="CD226" i="23"/>
  <c r="CC226" i="23"/>
  <c r="CB226" i="23"/>
  <c r="CA226" i="23"/>
  <c r="BZ226" i="23"/>
  <c r="BY226" i="23"/>
  <c r="BX226" i="23"/>
  <c r="BW226" i="23"/>
  <c r="BV226" i="23"/>
  <c r="BU226" i="23"/>
  <c r="BT226" i="23"/>
  <c r="BS226" i="23"/>
  <c r="BR226" i="23"/>
  <c r="BQ226" i="23"/>
  <c r="BP226" i="23"/>
  <c r="BO226" i="23"/>
  <c r="BN226" i="23"/>
  <c r="BM226" i="23"/>
  <c r="BL226" i="23"/>
  <c r="BK226" i="23"/>
  <c r="BJ226" i="23"/>
  <c r="BI226" i="23"/>
  <c r="AI226" i="23"/>
  <c r="AE226" i="23"/>
  <c r="AC226" i="23"/>
  <c r="AA226" i="23"/>
  <c r="Y226" i="23"/>
  <c r="W226" i="23"/>
  <c r="U226" i="23"/>
  <c r="S226" i="23"/>
  <c r="Q226" i="23"/>
  <c r="O226" i="23"/>
  <c r="M226" i="23"/>
  <c r="K226" i="23"/>
  <c r="I226" i="23"/>
  <c r="G226" i="23"/>
  <c r="CF225" i="23"/>
  <c r="CE225" i="23"/>
  <c r="CD225" i="23"/>
  <c r="CC225" i="23"/>
  <c r="CB225" i="23"/>
  <c r="CA225" i="23"/>
  <c r="BZ225" i="23"/>
  <c r="BY225" i="23"/>
  <c r="BX225" i="23"/>
  <c r="BW225" i="23"/>
  <c r="BV225" i="23"/>
  <c r="BU225" i="23"/>
  <c r="BT225" i="23"/>
  <c r="BS225" i="23"/>
  <c r="BR225" i="23"/>
  <c r="BQ225" i="23"/>
  <c r="BP225" i="23"/>
  <c r="BO225" i="23"/>
  <c r="BN225" i="23"/>
  <c r="BM225" i="23"/>
  <c r="BL225" i="23"/>
  <c r="BK225" i="23"/>
  <c r="BJ225" i="23"/>
  <c r="BI225" i="23"/>
  <c r="AI225" i="23"/>
  <c r="AE225" i="23"/>
  <c r="AC225" i="23"/>
  <c r="AA225" i="23"/>
  <c r="Y225" i="23"/>
  <c r="W225" i="23"/>
  <c r="U225" i="23"/>
  <c r="S225" i="23"/>
  <c r="Q225" i="23"/>
  <c r="O225" i="23"/>
  <c r="M225" i="23"/>
  <c r="K225" i="23"/>
  <c r="I225" i="23"/>
  <c r="G225" i="23"/>
  <c r="CF224" i="23"/>
  <c r="CE224" i="23"/>
  <c r="CD224" i="23"/>
  <c r="CC224" i="23"/>
  <c r="CB224" i="23"/>
  <c r="CA224" i="23"/>
  <c r="BZ224" i="23"/>
  <c r="BY224" i="23"/>
  <c r="BX224" i="23"/>
  <c r="BW224" i="23"/>
  <c r="BV224" i="23"/>
  <c r="BU224" i="23"/>
  <c r="BT224" i="23"/>
  <c r="BS224" i="23"/>
  <c r="BR224" i="23"/>
  <c r="BQ224" i="23"/>
  <c r="BP224" i="23"/>
  <c r="BO224" i="23"/>
  <c r="BN224" i="23"/>
  <c r="BM224" i="23"/>
  <c r="BL224" i="23"/>
  <c r="BK224" i="23"/>
  <c r="BJ224" i="23"/>
  <c r="BI224" i="23"/>
  <c r="AI224" i="23"/>
  <c r="AE224" i="23"/>
  <c r="AC224" i="23"/>
  <c r="AA224" i="23"/>
  <c r="Y224" i="23"/>
  <c r="W224" i="23"/>
  <c r="U224" i="23"/>
  <c r="S224" i="23"/>
  <c r="Q224" i="23"/>
  <c r="O224" i="23"/>
  <c r="M224" i="23"/>
  <c r="K224" i="23"/>
  <c r="I224" i="23"/>
  <c r="G224" i="23"/>
  <c r="CF223" i="23"/>
  <c r="CE223" i="23"/>
  <c r="CD223" i="23"/>
  <c r="CC223" i="23"/>
  <c r="CB223" i="23"/>
  <c r="CA223" i="23"/>
  <c r="BZ223" i="23"/>
  <c r="BY223" i="23"/>
  <c r="BX223" i="23"/>
  <c r="BW223" i="23"/>
  <c r="BV223" i="23"/>
  <c r="BU223" i="23"/>
  <c r="BT223" i="23"/>
  <c r="BS223" i="23"/>
  <c r="BR223" i="23"/>
  <c r="BQ223" i="23"/>
  <c r="BP223" i="23"/>
  <c r="BO223" i="23"/>
  <c r="BN223" i="23"/>
  <c r="BM223" i="23"/>
  <c r="BL223" i="23"/>
  <c r="BK223" i="23"/>
  <c r="BJ223" i="23"/>
  <c r="BI223" i="23"/>
  <c r="AI223" i="23"/>
  <c r="AE223" i="23"/>
  <c r="AC223" i="23"/>
  <c r="AA223" i="23"/>
  <c r="Y223" i="23"/>
  <c r="W223" i="23"/>
  <c r="U223" i="23"/>
  <c r="S223" i="23"/>
  <c r="Q223" i="23"/>
  <c r="O223" i="23"/>
  <c r="M223" i="23"/>
  <c r="K223" i="23"/>
  <c r="I223" i="23"/>
  <c r="G223" i="23"/>
  <c r="CF222" i="23"/>
  <c r="CE222" i="23"/>
  <c r="CD222" i="23"/>
  <c r="CC222" i="23"/>
  <c r="CB222" i="23"/>
  <c r="CA222" i="23"/>
  <c r="BZ222" i="23"/>
  <c r="BY222" i="23"/>
  <c r="BX222" i="23"/>
  <c r="BW222" i="23"/>
  <c r="BV222" i="23"/>
  <c r="BU222" i="23"/>
  <c r="BT222" i="23"/>
  <c r="BS222" i="23"/>
  <c r="BR222" i="23"/>
  <c r="BQ222" i="23"/>
  <c r="BP222" i="23"/>
  <c r="BO222" i="23"/>
  <c r="BN222" i="23"/>
  <c r="BM222" i="23"/>
  <c r="BL222" i="23"/>
  <c r="BK222" i="23"/>
  <c r="BJ222" i="23"/>
  <c r="BI222" i="23"/>
  <c r="AI222" i="23"/>
  <c r="AE222" i="23"/>
  <c r="AC222" i="23"/>
  <c r="AA222" i="23"/>
  <c r="Y222" i="23"/>
  <c r="W222" i="23"/>
  <c r="U222" i="23"/>
  <c r="S222" i="23"/>
  <c r="Q222" i="23"/>
  <c r="O222" i="23"/>
  <c r="M222" i="23"/>
  <c r="K222" i="23"/>
  <c r="I222" i="23"/>
  <c r="G222" i="23"/>
  <c r="CF221" i="23"/>
  <c r="CE221" i="23"/>
  <c r="CD221" i="23"/>
  <c r="CC221" i="23"/>
  <c r="CB221" i="23"/>
  <c r="CA221" i="23"/>
  <c r="BZ221" i="23"/>
  <c r="BY221" i="23"/>
  <c r="BX221" i="23"/>
  <c r="BW221" i="23"/>
  <c r="BV221" i="23"/>
  <c r="BU221" i="23"/>
  <c r="BT221" i="23"/>
  <c r="BS221" i="23"/>
  <c r="BR221" i="23"/>
  <c r="BQ221" i="23"/>
  <c r="BP221" i="23"/>
  <c r="BO221" i="23"/>
  <c r="BN221" i="23"/>
  <c r="BM221" i="23"/>
  <c r="BL221" i="23"/>
  <c r="BK221" i="23"/>
  <c r="BJ221" i="23"/>
  <c r="BI221" i="23"/>
  <c r="AI221" i="23"/>
  <c r="AE221" i="23"/>
  <c r="AC221" i="23"/>
  <c r="AA221" i="23"/>
  <c r="Y221" i="23"/>
  <c r="W221" i="23"/>
  <c r="U221" i="23"/>
  <c r="S221" i="23"/>
  <c r="Q221" i="23"/>
  <c r="O221" i="23"/>
  <c r="M221" i="23"/>
  <c r="K221" i="23"/>
  <c r="I221" i="23"/>
  <c r="G221" i="23"/>
  <c r="CF220" i="23"/>
  <c r="CE220" i="23"/>
  <c r="CD220" i="23"/>
  <c r="CC220" i="23"/>
  <c r="CB220" i="23"/>
  <c r="CA220" i="23"/>
  <c r="BZ220" i="23"/>
  <c r="BY220" i="23"/>
  <c r="BX220" i="23"/>
  <c r="BW220" i="23"/>
  <c r="BV220" i="23"/>
  <c r="BU220" i="23"/>
  <c r="BT220" i="23"/>
  <c r="BS220" i="23"/>
  <c r="BR220" i="23"/>
  <c r="BQ220" i="23"/>
  <c r="BP220" i="23"/>
  <c r="BO220" i="23"/>
  <c r="BN220" i="23"/>
  <c r="BM220" i="23"/>
  <c r="BL220" i="23"/>
  <c r="BK220" i="23"/>
  <c r="BJ220" i="23"/>
  <c r="BI220" i="23"/>
  <c r="AI220" i="23"/>
  <c r="AE220" i="23"/>
  <c r="AC220" i="23"/>
  <c r="AA220" i="23"/>
  <c r="Y220" i="23"/>
  <c r="W220" i="23"/>
  <c r="U220" i="23"/>
  <c r="S220" i="23"/>
  <c r="Q220" i="23"/>
  <c r="O220" i="23"/>
  <c r="M220" i="23"/>
  <c r="K220" i="23"/>
  <c r="I220" i="23"/>
  <c r="G220" i="23"/>
  <c r="CF219" i="23"/>
  <c r="CE219" i="23"/>
  <c r="CD219" i="23"/>
  <c r="CC219" i="23"/>
  <c r="CB219" i="23"/>
  <c r="CA219" i="23"/>
  <c r="BZ219" i="23"/>
  <c r="BY219" i="23"/>
  <c r="BX219" i="23"/>
  <c r="BW219" i="23"/>
  <c r="BV219" i="23"/>
  <c r="BU219" i="23"/>
  <c r="BT219" i="23"/>
  <c r="BS219" i="23"/>
  <c r="BR219" i="23"/>
  <c r="BQ219" i="23"/>
  <c r="BP219" i="23"/>
  <c r="BO219" i="23"/>
  <c r="BN219" i="23"/>
  <c r="BM219" i="23"/>
  <c r="BL219" i="23"/>
  <c r="BK219" i="23"/>
  <c r="BJ219" i="23"/>
  <c r="BI219" i="23"/>
  <c r="AI219" i="23"/>
  <c r="AE219" i="23"/>
  <c r="AC219" i="23"/>
  <c r="AA219" i="23"/>
  <c r="Y219" i="23"/>
  <c r="W219" i="23"/>
  <c r="U219" i="23"/>
  <c r="S219" i="23"/>
  <c r="Q219" i="23"/>
  <c r="O219" i="23"/>
  <c r="M219" i="23"/>
  <c r="K219" i="23"/>
  <c r="I219" i="23"/>
  <c r="G219" i="23"/>
  <c r="CF218" i="23"/>
  <c r="CE218" i="23"/>
  <c r="CD218" i="23"/>
  <c r="CC218" i="23"/>
  <c r="CB218" i="23"/>
  <c r="CA218" i="23"/>
  <c r="BZ218" i="23"/>
  <c r="BY218" i="23"/>
  <c r="BX218" i="23"/>
  <c r="BW218" i="23"/>
  <c r="BV218" i="23"/>
  <c r="BU218" i="23"/>
  <c r="BT218" i="23"/>
  <c r="BS218" i="23"/>
  <c r="BR218" i="23"/>
  <c r="BQ218" i="23"/>
  <c r="BP218" i="23"/>
  <c r="BO218" i="23"/>
  <c r="BN218" i="23"/>
  <c r="BM218" i="23"/>
  <c r="BL218" i="23"/>
  <c r="BK218" i="23"/>
  <c r="BJ218" i="23"/>
  <c r="BI218" i="23"/>
  <c r="AI218" i="23"/>
  <c r="AE218" i="23"/>
  <c r="AC218" i="23"/>
  <c r="AA218" i="23"/>
  <c r="Y218" i="23"/>
  <c r="W218" i="23"/>
  <c r="U218" i="23"/>
  <c r="S218" i="23"/>
  <c r="Q218" i="23"/>
  <c r="O218" i="23"/>
  <c r="M218" i="23"/>
  <c r="K218" i="23"/>
  <c r="I218" i="23"/>
  <c r="G218" i="23"/>
  <c r="CF217" i="23"/>
  <c r="CE217" i="23"/>
  <c r="CD217" i="23"/>
  <c r="CC217" i="23"/>
  <c r="CB217" i="23"/>
  <c r="CA217" i="23"/>
  <c r="BZ217" i="23"/>
  <c r="BY217" i="23"/>
  <c r="BX217" i="23"/>
  <c r="BW217" i="23"/>
  <c r="BV217" i="23"/>
  <c r="BU217" i="23"/>
  <c r="BT217" i="23"/>
  <c r="BS217" i="23"/>
  <c r="BR217" i="23"/>
  <c r="BQ217" i="23"/>
  <c r="BP217" i="23"/>
  <c r="BO217" i="23"/>
  <c r="BN217" i="23"/>
  <c r="BM217" i="23"/>
  <c r="BL217" i="23"/>
  <c r="BK217" i="23"/>
  <c r="BJ217" i="23"/>
  <c r="BI217" i="23"/>
  <c r="AI217" i="23"/>
  <c r="AE217" i="23"/>
  <c r="AC217" i="23"/>
  <c r="AA217" i="23"/>
  <c r="Y217" i="23"/>
  <c r="W217" i="23"/>
  <c r="U217" i="23"/>
  <c r="S217" i="23"/>
  <c r="Q217" i="23"/>
  <c r="O217" i="23"/>
  <c r="M217" i="23"/>
  <c r="K217" i="23"/>
  <c r="I217" i="23"/>
  <c r="G217" i="23"/>
  <c r="CF216" i="23"/>
  <c r="CE216" i="23"/>
  <c r="CD216" i="23"/>
  <c r="CC216" i="23"/>
  <c r="CB216" i="23"/>
  <c r="CA216" i="23"/>
  <c r="BZ216" i="23"/>
  <c r="BY216" i="23"/>
  <c r="BX216" i="23"/>
  <c r="BW216" i="23"/>
  <c r="BV216" i="23"/>
  <c r="BU216" i="23"/>
  <c r="BT216" i="23"/>
  <c r="BS216" i="23"/>
  <c r="BR216" i="23"/>
  <c r="BQ216" i="23"/>
  <c r="BP216" i="23"/>
  <c r="BO216" i="23"/>
  <c r="BN216" i="23"/>
  <c r="BM216" i="23"/>
  <c r="BL216" i="23"/>
  <c r="BK216" i="23"/>
  <c r="BJ216" i="23"/>
  <c r="BI216" i="23"/>
  <c r="AI216" i="23"/>
  <c r="AE216" i="23"/>
  <c r="AC216" i="23"/>
  <c r="AA216" i="23"/>
  <c r="Y216" i="23"/>
  <c r="W216" i="23"/>
  <c r="U216" i="23"/>
  <c r="S216" i="23"/>
  <c r="Q216" i="23"/>
  <c r="O216" i="23"/>
  <c r="M216" i="23"/>
  <c r="K216" i="23"/>
  <c r="I216" i="23"/>
  <c r="G216" i="23"/>
  <c r="CF215" i="23"/>
  <c r="CE215" i="23"/>
  <c r="CD215" i="23"/>
  <c r="CC215" i="23"/>
  <c r="CB215" i="23"/>
  <c r="CA215" i="23"/>
  <c r="BZ215" i="23"/>
  <c r="BY215" i="23"/>
  <c r="BX215" i="23"/>
  <c r="BW215" i="23"/>
  <c r="BV215" i="23"/>
  <c r="BU215" i="23"/>
  <c r="BT215" i="23"/>
  <c r="BS215" i="23"/>
  <c r="BR215" i="23"/>
  <c r="BQ215" i="23"/>
  <c r="BP215" i="23"/>
  <c r="BO215" i="23"/>
  <c r="BN215" i="23"/>
  <c r="BM215" i="23"/>
  <c r="BL215" i="23"/>
  <c r="BK215" i="23"/>
  <c r="BJ215" i="23"/>
  <c r="BI215" i="23"/>
  <c r="AI215" i="23"/>
  <c r="AE215" i="23"/>
  <c r="AC215" i="23"/>
  <c r="AA215" i="23"/>
  <c r="Y215" i="23"/>
  <c r="W215" i="23"/>
  <c r="U215" i="23"/>
  <c r="S215" i="23"/>
  <c r="Q215" i="23"/>
  <c r="O215" i="23"/>
  <c r="M215" i="23"/>
  <c r="K215" i="23"/>
  <c r="I215" i="23"/>
  <c r="G215" i="23"/>
  <c r="CF214" i="23"/>
  <c r="CE214" i="23"/>
  <c r="CD214" i="23"/>
  <c r="CC214" i="23"/>
  <c r="CB214" i="23"/>
  <c r="CA214" i="23"/>
  <c r="BZ214" i="23"/>
  <c r="BY214" i="23"/>
  <c r="BX214" i="23"/>
  <c r="BW214" i="23"/>
  <c r="BV214" i="23"/>
  <c r="BU214" i="23"/>
  <c r="BT214" i="23"/>
  <c r="BS214" i="23"/>
  <c r="BR214" i="23"/>
  <c r="BQ214" i="23"/>
  <c r="BP214" i="23"/>
  <c r="BO214" i="23"/>
  <c r="BN214" i="23"/>
  <c r="BM214" i="23"/>
  <c r="BL214" i="23"/>
  <c r="BK214" i="23"/>
  <c r="BJ214" i="23"/>
  <c r="BI214" i="23"/>
  <c r="AI214" i="23"/>
  <c r="AE214" i="23"/>
  <c r="AC214" i="23"/>
  <c r="AA214" i="23"/>
  <c r="Y214" i="23"/>
  <c r="W214" i="23"/>
  <c r="U214" i="23"/>
  <c r="S214" i="23"/>
  <c r="Q214" i="23"/>
  <c r="O214" i="23"/>
  <c r="M214" i="23"/>
  <c r="K214" i="23"/>
  <c r="I214" i="23"/>
  <c r="G214" i="23"/>
  <c r="CF213" i="23"/>
  <c r="CE213" i="23"/>
  <c r="CD213" i="23"/>
  <c r="CC213" i="23"/>
  <c r="CB213" i="23"/>
  <c r="CA213" i="23"/>
  <c r="BZ213" i="23"/>
  <c r="BY213" i="23"/>
  <c r="BX213" i="23"/>
  <c r="BW213" i="23"/>
  <c r="BV213" i="23"/>
  <c r="BU213" i="23"/>
  <c r="BT213" i="23"/>
  <c r="BS213" i="23"/>
  <c r="BR213" i="23"/>
  <c r="BQ213" i="23"/>
  <c r="BP213" i="23"/>
  <c r="BO213" i="23"/>
  <c r="BN213" i="23"/>
  <c r="BM213" i="23"/>
  <c r="BL213" i="23"/>
  <c r="BK213" i="23"/>
  <c r="BJ213" i="23"/>
  <c r="BI213" i="23"/>
  <c r="AI213" i="23"/>
  <c r="AE213" i="23"/>
  <c r="AC213" i="23"/>
  <c r="AA213" i="23"/>
  <c r="Y213" i="23"/>
  <c r="W213" i="23"/>
  <c r="U213" i="23"/>
  <c r="S213" i="23"/>
  <c r="Q213" i="23"/>
  <c r="O213" i="23"/>
  <c r="M213" i="23"/>
  <c r="K213" i="23"/>
  <c r="I213" i="23"/>
  <c r="G213" i="23"/>
  <c r="CF212" i="23"/>
  <c r="CE212" i="23"/>
  <c r="CD212" i="23"/>
  <c r="CC212" i="23"/>
  <c r="CB212" i="23"/>
  <c r="CA212" i="23"/>
  <c r="BZ212" i="23"/>
  <c r="BY212" i="23"/>
  <c r="BX212" i="23"/>
  <c r="BW212" i="23"/>
  <c r="BV212" i="23"/>
  <c r="BU212" i="23"/>
  <c r="BT212" i="23"/>
  <c r="BS212" i="23"/>
  <c r="BR212" i="23"/>
  <c r="BQ212" i="23"/>
  <c r="BP212" i="23"/>
  <c r="BO212" i="23"/>
  <c r="BN212" i="23"/>
  <c r="BM212" i="23"/>
  <c r="BL212" i="23"/>
  <c r="BK212" i="23"/>
  <c r="BJ212" i="23"/>
  <c r="BI212" i="23"/>
  <c r="AI212" i="23"/>
  <c r="AE212" i="23"/>
  <c r="AC212" i="23"/>
  <c r="AA212" i="23"/>
  <c r="Y212" i="23"/>
  <c r="W212" i="23"/>
  <c r="U212" i="23"/>
  <c r="S212" i="23"/>
  <c r="Q212" i="23"/>
  <c r="O212" i="23"/>
  <c r="M212" i="23"/>
  <c r="K212" i="23"/>
  <c r="I212" i="23"/>
  <c r="G212" i="23"/>
  <c r="CF211" i="23"/>
  <c r="CE211" i="23"/>
  <c r="CD211" i="23"/>
  <c r="CC211" i="23"/>
  <c r="CB211" i="23"/>
  <c r="CA211" i="23"/>
  <c r="BZ211" i="23"/>
  <c r="BY211" i="23"/>
  <c r="BX211" i="23"/>
  <c r="BW211" i="23"/>
  <c r="BV211" i="23"/>
  <c r="BU211" i="23"/>
  <c r="BT211" i="23"/>
  <c r="BS211" i="23"/>
  <c r="BR211" i="23"/>
  <c r="BQ211" i="23"/>
  <c r="BP211" i="23"/>
  <c r="BO211" i="23"/>
  <c r="BN211" i="23"/>
  <c r="BM211" i="23"/>
  <c r="BL211" i="23"/>
  <c r="BK211" i="23"/>
  <c r="BJ211" i="23"/>
  <c r="BI211" i="23"/>
  <c r="AI211" i="23"/>
  <c r="AE211" i="23"/>
  <c r="AC211" i="23"/>
  <c r="AA211" i="23"/>
  <c r="Y211" i="23"/>
  <c r="W211" i="23"/>
  <c r="U211" i="23"/>
  <c r="S211" i="23"/>
  <c r="Q211" i="23"/>
  <c r="O211" i="23"/>
  <c r="M211" i="23"/>
  <c r="K211" i="23"/>
  <c r="I211" i="23"/>
  <c r="G211" i="23"/>
  <c r="CF210" i="23"/>
  <c r="CE210" i="23"/>
  <c r="CD210" i="23"/>
  <c r="CC210" i="23"/>
  <c r="CB210" i="23"/>
  <c r="CA210" i="23"/>
  <c r="BZ210" i="23"/>
  <c r="BY210" i="23"/>
  <c r="BX210" i="23"/>
  <c r="BW210" i="23"/>
  <c r="BV210" i="23"/>
  <c r="BU210" i="23"/>
  <c r="BT210" i="23"/>
  <c r="BS210" i="23"/>
  <c r="BR210" i="23"/>
  <c r="BQ210" i="23"/>
  <c r="BP210" i="23"/>
  <c r="BO210" i="23"/>
  <c r="BN210" i="23"/>
  <c r="BM210" i="23"/>
  <c r="BL210" i="23"/>
  <c r="BK210" i="23"/>
  <c r="BJ210" i="23"/>
  <c r="BI210" i="23"/>
  <c r="AI210" i="23"/>
  <c r="AE210" i="23"/>
  <c r="AC210" i="23"/>
  <c r="AA210" i="23"/>
  <c r="Y210" i="23"/>
  <c r="W210" i="23"/>
  <c r="U210" i="23"/>
  <c r="S210" i="23"/>
  <c r="Q210" i="23"/>
  <c r="O210" i="23"/>
  <c r="M210" i="23"/>
  <c r="K210" i="23"/>
  <c r="I210" i="23"/>
  <c r="G210" i="23"/>
  <c r="CF209" i="23"/>
  <c r="CE209" i="23"/>
  <c r="CD209" i="23"/>
  <c r="CC209" i="23"/>
  <c r="CB209" i="23"/>
  <c r="CA209" i="23"/>
  <c r="BZ209" i="23"/>
  <c r="BY209" i="23"/>
  <c r="BX209" i="23"/>
  <c r="BW209" i="23"/>
  <c r="BV209" i="23"/>
  <c r="BU209" i="23"/>
  <c r="BT209" i="23"/>
  <c r="BS209" i="23"/>
  <c r="BR209" i="23"/>
  <c r="BQ209" i="23"/>
  <c r="BP209" i="23"/>
  <c r="BO209" i="23"/>
  <c r="BN209" i="23"/>
  <c r="BM209" i="23"/>
  <c r="BL209" i="23"/>
  <c r="BK209" i="23"/>
  <c r="BJ209" i="23"/>
  <c r="BI209" i="23"/>
  <c r="AI209" i="23"/>
  <c r="AE209" i="23"/>
  <c r="AC209" i="23"/>
  <c r="AA209" i="23"/>
  <c r="Y209" i="23"/>
  <c r="W209" i="23"/>
  <c r="U209" i="23"/>
  <c r="S209" i="23"/>
  <c r="Q209" i="23"/>
  <c r="O209" i="23"/>
  <c r="M209" i="23"/>
  <c r="K209" i="23"/>
  <c r="I209" i="23"/>
  <c r="G209" i="23"/>
  <c r="CF208" i="23"/>
  <c r="CE208" i="23"/>
  <c r="CD208" i="23"/>
  <c r="CC208" i="23"/>
  <c r="CB208" i="23"/>
  <c r="CA208" i="23"/>
  <c r="BZ208" i="23"/>
  <c r="BY208" i="23"/>
  <c r="BX208" i="23"/>
  <c r="BW208" i="23"/>
  <c r="BV208" i="23"/>
  <c r="BU208" i="23"/>
  <c r="BT208" i="23"/>
  <c r="BS208" i="23"/>
  <c r="BR208" i="23"/>
  <c r="BQ208" i="23"/>
  <c r="BP208" i="23"/>
  <c r="BO208" i="23"/>
  <c r="BN208" i="23"/>
  <c r="BM208" i="23"/>
  <c r="BL208" i="23"/>
  <c r="BK208" i="23"/>
  <c r="BJ208" i="23"/>
  <c r="BI208" i="23"/>
  <c r="AI208" i="23"/>
  <c r="AE208" i="23"/>
  <c r="AC208" i="23"/>
  <c r="AA208" i="23"/>
  <c r="Y208" i="23"/>
  <c r="W208" i="23"/>
  <c r="U208" i="23"/>
  <c r="S208" i="23"/>
  <c r="Q208" i="23"/>
  <c r="O208" i="23"/>
  <c r="M208" i="23"/>
  <c r="K208" i="23"/>
  <c r="I208" i="23"/>
  <c r="G208" i="23"/>
  <c r="CF207" i="23"/>
  <c r="CE207" i="23"/>
  <c r="CD207" i="23"/>
  <c r="CC207" i="23"/>
  <c r="CB207" i="23"/>
  <c r="CA207" i="23"/>
  <c r="BZ207" i="23"/>
  <c r="BY207" i="23"/>
  <c r="BX207" i="23"/>
  <c r="BW207" i="23"/>
  <c r="BV207" i="23"/>
  <c r="BU207" i="23"/>
  <c r="BT207" i="23"/>
  <c r="BS207" i="23"/>
  <c r="BR207" i="23"/>
  <c r="BQ207" i="23"/>
  <c r="BP207" i="23"/>
  <c r="BO207" i="23"/>
  <c r="BN207" i="23"/>
  <c r="BM207" i="23"/>
  <c r="BL207" i="23"/>
  <c r="BK207" i="23"/>
  <c r="BJ207" i="23"/>
  <c r="BI207" i="23"/>
  <c r="CF206" i="23"/>
  <c r="CE206" i="23"/>
  <c r="CD206" i="23"/>
  <c r="CC206" i="23"/>
  <c r="CB206" i="23"/>
  <c r="CA206" i="23"/>
  <c r="BZ206" i="23"/>
  <c r="BY206" i="23"/>
  <c r="BX206" i="23"/>
  <c r="BW206" i="23"/>
  <c r="BV206" i="23"/>
  <c r="BU206" i="23"/>
  <c r="BT206" i="23"/>
  <c r="BS206" i="23"/>
  <c r="BR206" i="23"/>
  <c r="BQ206" i="23"/>
  <c r="BP206" i="23"/>
  <c r="BO206" i="23"/>
  <c r="BN206" i="23"/>
  <c r="BM206" i="23"/>
  <c r="BL206" i="23"/>
  <c r="BK206" i="23"/>
  <c r="BJ206" i="23"/>
  <c r="BI206" i="23"/>
  <c r="AI206" i="23"/>
  <c r="AE206" i="23"/>
  <c r="AC206" i="23"/>
  <c r="AA206" i="23"/>
  <c r="Y206" i="23"/>
  <c r="W206" i="23"/>
  <c r="U206" i="23"/>
  <c r="S206" i="23"/>
  <c r="Q206" i="23"/>
  <c r="O206" i="23"/>
  <c r="M206" i="23"/>
  <c r="K206" i="23"/>
  <c r="I206" i="23"/>
  <c r="G206" i="23"/>
  <c r="CF205" i="23"/>
  <c r="CE205" i="23"/>
  <c r="CD205" i="23"/>
  <c r="CC205" i="23"/>
  <c r="CB205" i="23"/>
  <c r="CA205" i="23"/>
  <c r="BZ205" i="23"/>
  <c r="BY205" i="23"/>
  <c r="BX205" i="23"/>
  <c r="BW205" i="23"/>
  <c r="BV205" i="23"/>
  <c r="BU205" i="23"/>
  <c r="BT205" i="23"/>
  <c r="BS205" i="23"/>
  <c r="BR205" i="23"/>
  <c r="BQ205" i="23"/>
  <c r="BP205" i="23"/>
  <c r="BO205" i="23"/>
  <c r="BN205" i="23"/>
  <c r="BM205" i="23"/>
  <c r="BL205" i="23"/>
  <c r="BK205" i="23"/>
  <c r="BJ205" i="23"/>
  <c r="BI205" i="23"/>
  <c r="AI205" i="23"/>
  <c r="AE205" i="23"/>
  <c r="AC205" i="23"/>
  <c r="AA205" i="23"/>
  <c r="Y205" i="23"/>
  <c r="W205" i="23"/>
  <c r="U205" i="23"/>
  <c r="S205" i="23"/>
  <c r="Q205" i="23"/>
  <c r="O205" i="23"/>
  <c r="M205" i="23"/>
  <c r="K205" i="23"/>
  <c r="I205" i="23"/>
  <c r="G205" i="23"/>
  <c r="CF204" i="23"/>
  <c r="CE204" i="23"/>
  <c r="CD204" i="23"/>
  <c r="CC204" i="23"/>
  <c r="CB204" i="23"/>
  <c r="CA204" i="23"/>
  <c r="BZ204" i="23"/>
  <c r="BY204" i="23"/>
  <c r="BX204" i="23"/>
  <c r="BW204" i="23"/>
  <c r="BV204" i="23"/>
  <c r="BU204" i="23"/>
  <c r="BT204" i="23"/>
  <c r="BS204" i="23"/>
  <c r="BR204" i="23"/>
  <c r="BQ204" i="23"/>
  <c r="BP204" i="23"/>
  <c r="BO204" i="23"/>
  <c r="BN204" i="23"/>
  <c r="BM204" i="23"/>
  <c r="BL204" i="23"/>
  <c r="BK204" i="23"/>
  <c r="BJ204" i="23"/>
  <c r="BI204" i="23"/>
  <c r="AI204" i="23"/>
  <c r="AE204" i="23"/>
  <c r="AC204" i="23"/>
  <c r="AA204" i="23"/>
  <c r="Y204" i="23"/>
  <c r="W204" i="23"/>
  <c r="U204" i="23"/>
  <c r="S204" i="23"/>
  <c r="Q204" i="23"/>
  <c r="O204" i="23"/>
  <c r="M204" i="23"/>
  <c r="K204" i="23"/>
  <c r="I204" i="23"/>
  <c r="G204" i="23"/>
  <c r="CF203" i="23"/>
  <c r="CE203" i="23"/>
  <c r="CD203" i="23"/>
  <c r="CC203" i="23"/>
  <c r="CB203" i="23"/>
  <c r="CA203" i="23"/>
  <c r="BZ203" i="23"/>
  <c r="BY203" i="23"/>
  <c r="BX203" i="23"/>
  <c r="BW203" i="23"/>
  <c r="BV203" i="23"/>
  <c r="BU203" i="23"/>
  <c r="BT203" i="23"/>
  <c r="BS203" i="23"/>
  <c r="BR203" i="23"/>
  <c r="BQ203" i="23"/>
  <c r="BP203" i="23"/>
  <c r="BO203" i="23"/>
  <c r="BN203" i="23"/>
  <c r="BM203" i="23"/>
  <c r="BL203" i="23"/>
  <c r="BK203" i="23"/>
  <c r="BJ203" i="23"/>
  <c r="BI203" i="23"/>
  <c r="AI203" i="23"/>
  <c r="AE203" i="23"/>
  <c r="AC203" i="23"/>
  <c r="AA203" i="23"/>
  <c r="Y203" i="23"/>
  <c r="W203" i="23"/>
  <c r="U203" i="23"/>
  <c r="S203" i="23"/>
  <c r="Q203" i="23"/>
  <c r="O203" i="23"/>
  <c r="M203" i="23"/>
  <c r="K203" i="23"/>
  <c r="I203" i="23"/>
  <c r="G203" i="23"/>
  <c r="CF202" i="23"/>
  <c r="CE202" i="23"/>
  <c r="CD202" i="23"/>
  <c r="CC202" i="23"/>
  <c r="CB202" i="23"/>
  <c r="CA202" i="23"/>
  <c r="BZ202" i="23"/>
  <c r="BY202" i="23"/>
  <c r="BX202" i="23"/>
  <c r="BW202" i="23"/>
  <c r="BV202" i="23"/>
  <c r="BU202" i="23"/>
  <c r="BT202" i="23"/>
  <c r="BS202" i="23"/>
  <c r="BR202" i="23"/>
  <c r="BQ202" i="23"/>
  <c r="BP202" i="23"/>
  <c r="BO202" i="23"/>
  <c r="BN202" i="23"/>
  <c r="BM202" i="23"/>
  <c r="BL202" i="23"/>
  <c r="BK202" i="23"/>
  <c r="BJ202" i="23"/>
  <c r="BI202" i="23"/>
  <c r="CF201" i="23"/>
  <c r="CE201" i="23"/>
  <c r="CD201" i="23"/>
  <c r="CC201" i="23"/>
  <c r="CB201" i="23"/>
  <c r="CA201" i="23"/>
  <c r="BZ201" i="23"/>
  <c r="BY201" i="23"/>
  <c r="BX201" i="23"/>
  <c r="BW201" i="23"/>
  <c r="BV201" i="23"/>
  <c r="BU201" i="23"/>
  <c r="BT201" i="23"/>
  <c r="BS201" i="23"/>
  <c r="BR201" i="23"/>
  <c r="BQ201" i="23"/>
  <c r="BP201" i="23"/>
  <c r="BO201" i="23"/>
  <c r="BN201" i="23"/>
  <c r="BM201" i="23"/>
  <c r="BL201" i="23"/>
  <c r="BK201" i="23"/>
  <c r="BJ201" i="23"/>
  <c r="BI201" i="23"/>
  <c r="AI201" i="23"/>
  <c r="AE201" i="23"/>
  <c r="AC201" i="23"/>
  <c r="AA201" i="23"/>
  <c r="Y201" i="23"/>
  <c r="W201" i="23"/>
  <c r="U201" i="23"/>
  <c r="S201" i="23"/>
  <c r="Q201" i="23"/>
  <c r="O201" i="23"/>
  <c r="M201" i="23"/>
  <c r="K201" i="23"/>
  <c r="I201" i="23"/>
  <c r="G201" i="23"/>
  <c r="CF200" i="23"/>
  <c r="CE200" i="23"/>
  <c r="CD200" i="23"/>
  <c r="CC200" i="23"/>
  <c r="CB200" i="23"/>
  <c r="CA200" i="23"/>
  <c r="BZ200" i="23"/>
  <c r="BY200" i="23"/>
  <c r="BX200" i="23"/>
  <c r="BW200" i="23"/>
  <c r="BV200" i="23"/>
  <c r="BU200" i="23"/>
  <c r="BT200" i="23"/>
  <c r="BS200" i="23"/>
  <c r="BR200" i="23"/>
  <c r="BQ200" i="23"/>
  <c r="BP200" i="23"/>
  <c r="BO200" i="23"/>
  <c r="BN200" i="23"/>
  <c r="BM200" i="23"/>
  <c r="BL200" i="23"/>
  <c r="BK200" i="23"/>
  <c r="BJ200" i="23"/>
  <c r="BI200" i="23"/>
  <c r="AI200" i="23"/>
  <c r="AE200" i="23"/>
  <c r="AC200" i="23"/>
  <c r="AA200" i="23"/>
  <c r="Y200" i="23"/>
  <c r="W200" i="23"/>
  <c r="U200" i="23"/>
  <c r="S200" i="23"/>
  <c r="Q200" i="23"/>
  <c r="O200" i="23"/>
  <c r="M200" i="23"/>
  <c r="K200" i="23"/>
  <c r="I200" i="23"/>
  <c r="G200" i="23"/>
  <c r="CF199" i="23"/>
  <c r="CE199" i="23"/>
  <c r="CD199" i="23"/>
  <c r="CC199" i="23"/>
  <c r="CB199" i="23"/>
  <c r="CA199" i="23"/>
  <c r="BZ199" i="23"/>
  <c r="BY199" i="23"/>
  <c r="BX199" i="23"/>
  <c r="BW199" i="23"/>
  <c r="BV199" i="23"/>
  <c r="BU199" i="23"/>
  <c r="BT199" i="23"/>
  <c r="BS199" i="23"/>
  <c r="BR199" i="23"/>
  <c r="BQ199" i="23"/>
  <c r="BP199" i="23"/>
  <c r="BO199" i="23"/>
  <c r="BN199" i="23"/>
  <c r="BM199" i="23"/>
  <c r="BL199" i="23"/>
  <c r="BK199" i="23"/>
  <c r="BJ199" i="23"/>
  <c r="BI199" i="23"/>
  <c r="AI199" i="23"/>
  <c r="AE199" i="23"/>
  <c r="AC199" i="23"/>
  <c r="AA199" i="23"/>
  <c r="Y199" i="23"/>
  <c r="W199" i="23"/>
  <c r="U199" i="23"/>
  <c r="S199" i="23"/>
  <c r="Q199" i="23"/>
  <c r="O199" i="23"/>
  <c r="M199" i="23"/>
  <c r="K199" i="23"/>
  <c r="I199" i="23"/>
  <c r="G199" i="23"/>
  <c r="CF198" i="23"/>
  <c r="CE198" i="23"/>
  <c r="CD198" i="23"/>
  <c r="CC198" i="23"/>
  <c r="CB198" i="23"/>
  <c r="CA198" i="23"/>
  <c r="BZ198" i="23"/>
  <c r="BY198" i="23"/>
  <c r="BX198" i="23"/>
  <c r="BW198" i="23"/>
  <c r="BV198" i="23"/>
  <c r="BU198" i="23"/>
  <c r="BT198" i="23"/>
  <c r="BS198" i="23"/>
  <c r="BR198" i="23"/>
  <c r="BQ198" i="23"/>
  <c r="BP198" i="23"/>
  <c r="BO198" i="23"/>
  <c r="BN198" i="23"/>
  <c r="BM198" i="23"/>
  <c r="BL198" i="23"/>
  <c r="BK198" i="23"/>
  <c r="BJ198" i="23"/>
  <c r="BI198" i="23"/>
  <c r="AI198" i="23"/>
  <c r="AE198" i="23"/>
  <c r="AC198" i="23"/>
  <c r="AA198" i="23"/>
  <c r="Y198" i="23"/>
  <c r="W198" i="23"/>
  <c r="U198" i="23"/>
  <c r="S198" i="23"/>
  <c r="Q198" i="23"/>
  <c r="O198" i="23"/>
  <c r="M198" i="23"/>
  <c r="K198" i="23"/>
  <c r="I198" i="23"/>
  <c r="G198" i="23"/>
  <c r="CF197" i="23"/>
  <c r="CE197" i="23"/>
  <c r="CD197" i="23"/>
  <c r="CC197" i="23"/>
  <c r="CB197" i="23"/>
  <c r="CA197" i="23"/>
  <c r="BZ197" i="23"/>
  <c r="BY197" i="23"/>
  <c r="BX197" i="23"/>
  <c r="BW197" i="23"/>
  <c r="BV197" i="23"/>
  <c r="BU197" i="23"/>
  <c r="BT197" i="23"/>
  <c r="BS197" i="23"/>
  <c r="BR197" i="23"/>
  <c r="BQ197" i="23"/>
  <c r="BP197" i="23"/>
  <c r="BO197" i="23"/>
  <c r="BN197" i="23"/>
  <c r="BM197" i="23"/>
  <c r="BL197" i="23"/>
  <c r="BK197" i="23"/>
  <c r="BJ197" i="23"/>
  <c r="BI197" i="23"/>
  <c r="CF196" i="23"/>
  <c r="CE196" i="23"/>
  <c r="CD196" i="23"/>
  <c r="CC196" i="23"/>
  <c r="CB196" i="23"/>
  <c r="CA196" i="23"/>
  <c r="BZ196" i="23"/>
  <c r="BY196" i="23"/>
  <c r="BX196" i="23"/>
  <c r="BW196" i="23"/>
  <c r="BV196" i="23"/>
  <c r="BU196" i="23"/>
  <c r="BT196" i="23"/>
  <c r="BS196" i="23"/>
  <c r="BR196" i="23"/>
  <c r="BQ196" i="23"/>
  <c r="BP196" i="23"/>
  <c r="BO196" i="23"/>
  <c r="BN196" i="23"/>
  <c r="BM196" i="23"/>
  <c r="BL196" i="23"/>
  <c r="BK196" i="23"/>
  <c r="BJ196" i="23"/>
  <c r="BI196" i="23"/>
  <c r="AI196" i="23"/>
  <c r="AE196" i="23"/>
  <c r="AC196" i="23"/>
  <c r="AA196" i="23"/>
  <c r="Y196" i="23"/>
  <c r="W196" i="23"/>
  <c r="U196" i="23"/>
  <c r="S196" i="23"/>
  <c r="Q196" i="23"/>
  <c r="O196" i="23"/>
  <c r="M196" i="23"/>
  <c r="K196" i="23"/>
  <c r="I196" i="23"/>
  <c r="G196" i="23"/>
  <c r="CF195" i="23"/>
  <c r="CE195" i="23"/>
  <c r="CD195" i="23"/>
  <c r="CC195" i="23"/>
  <c r="CB195" i="23"/>
  <c r="CA195" i="23"/>
  <c r="BZ195" i="23"/>
  <c r="BY195" i="23"/>
  <c r="BX195" i="23"/>
  <c r="BW195" i="23"/>
  <c r="BV195" i="23"/>
  <c r="BU195" i="23"/>
  <c r="BT195" i="23"/>
  <c r="BS195" i="23"/>
  <c r="BR195" i="23"/>
  <c r="BQ195" i="23"/>
  <c r="BP195" i="23"/>
  <c r="BO195" i="23"/>
  <c r="BN195" i="23"/>
  <c r="BM195" i="23"/>
  <c r="BL195" i="23"/>
  <c r="BK195" i="23"/>
  <c r="BJ195" i="23"/>
  <c r="BI195" i="23"/>
  <c r="AI195" i="23"/>
  <c r="AE195" i="23"/>
  <c r="AC195" i="23"/>
  <c r="AA195" i="23"/>
  <c r="Y195" i="23"/>
  <c r="W195" i="23"/>
  <c r="U195" i="23"/>
  <c r="S195" i="23"/>
  <c r="Q195" i="23"/>
  <c r="O195" i="23"/>
  <c r="M195" i="23"/>
  <c r="K195" i="23"/>
  <c r="I195" i="23"/>
  <c r="G195" i="23"/>
  <c r="CF194" i="23"/>
  <c r="CE194" i="23"/>
  <c r="CD194" i="23"/>
  <c r="CC194" i="23"/>
  <c r="CB194" i="23"/>
  <c r="CA194" i="23"/>
  <c r="BZ194" i="23"/>
  <c r="BY194" i="23"/>
  <c r="BX194" i="23"/>
  <c r="BW194" i="23"/>
  <c r="BV194" i="23"/>
  <c r="BU194" i="23"/>
  <c r="BT194" i="23"/>
  <c r="BS194" i="23"/>
  <c r="BR194" i="23"/>
  <c r="BQ194" i="23"/>
  <c r="BP194" i="23"/>
  <c r="BO194" i="23"/>
  <c r="BN194" i="23"/>
  <c r="BM194" i="23"/>
  <c r="BL194" i="23"/>
  <c r="BK194" i="23"/>
  <c r="BJ194" i="23"/>
  <c r="BI194" i="23"/>
  <c r="AI194" i="23"/>
  <c r="AE194" i="23"/>
  <c r="AC194" i="23"/>
  <c r="AA194" i="23"/>
  <c r="Y194" i="23"/>
  <c r="W194" i="23"/>
  <c r="U194" i="23"/>
  <c r="S194" i="23"/>
  <c r="Q194" i="23"/>
  <c r="O194" i="23"/>
  <c r="M194" i="23"/>
  <c r="K194" i="23"/>
  <c r="I194" i="23"/>
  <c r="G194" i="23"/>
  <c r="CF193" i="23"/>
  <c r="CE193" i="23"/>
  <c r="CD193" i="23"/>
  <c r="CC193" i="23"/>
  <c r="CB193" i="23"/>
  <c r="CA193" i="23"/>
  <c r="BZ193" i="23"/>
  <c r="BY193" i="23"/>
  <c r="BX193" i="23"/>
  <c r="BW193" i="23"/>
  <c r="BV193" i="23"/>
  <c r="BU193" i="23"/>
  <c r="BT193" i="23"/>
  <c r="BS193" i="23"/>
  <c r="BR193" i="23"/>
  <c r="BQ193" i="23"/>
  <c r="BP193" i="23"/>
  <c r="BO193" i="23"/>
  <c r="BN193" i="23"/>
  <c r="BM193" i="23"/>
  <c r="BL193" i="23"/>
  <c r="BK193" i="23"/>
  <c r="BJ193" i="23"/>
  <c r="BI193" i="23"/>
  <c r="AI193" i="23"/>
  <c r="AE193" i="23"/>
  <c r="AC193" i="23"/>
  <c r="AA193" i="23"/>
  <c r="Y193" i="23"/>
  <c r="W193" i="23"/>
  <c r="U193" i="23"/>
  <c r="S193" i="23"/>
  <c r="Q193" i="23"/>
  <c r="O193" i="23"/>
  <c r="M193" i="23"/>
  <c r="K193" i="23"/>
  <c r="I193" i="23"/>
  <c r="G193" i="23"/>
  <c r="CF192" i="23"/>
  <c r="CE192" i="23"/>
  <c r="CD192" i="23"/>
  <c r="CC192" i="23"/>
  <c r="CB192" i="23"/>
  <c r="CA192" i="23"/>
  <c r="BZ192" i="23"/>
  <c r="BY192" i="23"/>
  <c r="BX192" i="23"/>
  <c r="BW192" i="23"/>
  <c r="BV192" i="23"/>
  <c r="BU192" i="23"/>
  <c r="BT192" i="23"/>
  <c r="BS192" i="23"/>
  <c r="BR192" i="23"/>
  <c r="BQ192" i="23"/>
  <c r="BP192" i="23"/>
  <c r="BO192" i="23"/>
  <c r="BN192" i="23"/>
  <c r="BM192" i="23"/>
  <c r="BL192" i="23"/>
  <c r="BK192" i="23"/>
  <c r="BJ192" i="23"/>
  <c r="BI192" i="23"/>
  <c r="CF191" i="23"/>
  <c r="CE191" i="23"/>
  <c r="CD191" i="23"/>
  <c r="CC191" i="23"/>
  <c r="CB191" i="23"/>
  <c r="CA191" i="23"/>
  <c r="BZ191" i="23"/>
  <c r="BY191" i="23"/>
  <c r="BX191" i="23"/>
  <c r="BW191" i="23"/>
  <c r="BV191" i="23"/>
  <c r="BU191" i="23"/>
  <c r="BT191" i="23"/>
  <c r="BS191" i="23"/>
  <c r="BR191" i="23"/>
  <c r="BQ191" i="23"/>
  <c r="BP191" i="23"/>
  <c r="BO191" i="23"/>
  <c r="BN191" i="23"/>
  <c r="BM191" i="23"/>
  <c r="BL191" i="23"/>
  <c r="BK191" i="23"/>
  <c r="BJ191" i="23"/>
  <c r="BI191" i="23"/>
  <c r="AI191" i="23"/>
  <c r="AE191" i="23"/>
  <c r="AC191" i="23"/>
  <c r="AA191" i="23"/>
  <c r="Y191" i="23"/>
  <c r="W191" i="23"/>
  <c r="U191" i="23"/>
  <c r="S191" i="23"/>
  <c r="Q191" i="23"/>
  <c r="O191" i="23"/>
  <c r="M191" i="23"/>
  <c r="K191" i="23"/>
  <c r="I191" i="23"/>
  <c r="G191" i="23"/>
  <c r="CF190" i="23"/>
  <c r="CE190" i="23"/>
  <c r="CD190" i="23"/>
  <c r="CC190" i="23"/>
  <c r="CB190" i="23"/>
  <c r="CA190" i="23"/>
  <c r="BZ190" i="23"/>
  <c r="BY190" i="23"/>
  <c r="BX190" i="23"/>
  <c r="BW190" i="23"/>
  <c r="BV190" i="23"/>
  <c r="BU190" i="23"/>
  <c r="BT190" i="23"/>
  <c r="BS190" i="23"/>
  <c r="BR190" i="23"/>
  <c r="BQ190" i="23"/>
  <c r="BP190" i="23"/>
  <c r="BO190" i="23"/>
  <c r="BN190" i="23"/>
  <c r="BM190" i="23"/>
  <c r="BL190" i="23"/>
  <c r="BK190" i="23"/>
  <c r="BJ190" i="23"/>
  <c r="BI190" i="23"/>
  <c r="AI190" i="23"/>
  <c r="AE190" i="23"/>
  <c r="AC190" i="23"/>
  <c r="AA190" i="23"/>
  <c r="Y190" i="23"/>
  <c r="W190" i="23"/>
  <c r="U190" i="23"/>
  <c r="S190" i="23"/>
  <c r="Q190" i="23"/>
  <c r="O190" i="23"/>
  <c r="M190" i="23"/>
  <c r="K190" i="23"/>
  <c r="I190" i="23"/>
  <c r="G190" i="23"/>
  <c r="CF189" i="23"/>
  <c r="CE189" i="23"/>
  <c r="CD189" i="23"/>
  <c r="CC189" i="23"/>
  <c r="CB189" i="23"/>
  <c r="CA189" i="23"/>
  <c r="BZ189" i="23"/>
  <c r="BY189" i="23"/>
  <c r="BX189" i="23"/>
  <c r="BW189" i="23"/>
  <c r="BV189" i="23"/>
  <c r="BU189" i="23"/>
  <c r="BT189" i="23"/>
  <c r="BS189" i="23"/>
  <c r="BR189" i="23"/>
  <c r="BQ189" i="23"/>
  <c r="BP189" i="23"/>
  <c r="BO189" i="23"/>
  <c r="BN189" i="23"/>
  <c r="BM189" i="23"/>
  <c r="BL189" i="23"/>
  <c r="BK189" i="23"/>
  <c r="BJ189" i="23"/>
  <c r="BI189" i="23"/>
  <c r="CF188" i="23"/>
  <c r="CE188" i="23"/>
  <c r="CD188" i="23"/>
  <c r="CC188" i="23"/>
  <c r="CB188" i="23"/>
  <c r="CA188" i="23"/>
  <c r="BZ188" i="23"/>
  <c r="BY188" i="23"/>
  <c r="BX188" i="23"/>
  <c r="BW188" i="23"/>
  <c r="BV188" i="23"/>
  <c r="BU188" i="23"/>
  <c r="BT188" i="23"/>
  <c r="BS188" i="23"/>
  <c r="BR188" i="23"/>
  <c r="BQ188" i="23"/>
  <c r="BP188" i="23"/>
  <c r="BO188" i="23"/>
  <c r="BN188" i="23"/>
  <c r="BM188" i="23"/>
  <c r="BL188" i="23"/>
  <c r="BK188" i="23"/>
  <c r="BJ188" i="23"/>
  <c r="BI188" i="23"/>
  <c r="AI188" i="23"/>
  <c r="AE188" i="23"/>
  <c r="AC188" i="23"/>
  <c r="AA188" i="23"/>
  <c r="Y188" i="23"/>
  <c r="W188" i="23"/>
  <c r="U188" i="23"/>
  <c r="S188" i="23"/>
  <c r="Q188" i="23"/>
  <c r="O188" i="23"/>
  <c r="M188" i="23"/>
  <c r="K188" i="23"/>
  <c r="I188" i="23"/>
  <c r="G188" i="23"/>
  <c r="CF187" i="23"/>
  <c r="CE187" i="23"/>
  <c r="CD187" i="23"/>
  <c r="CC187" i="23"/>
  <c r="CB187" i="23"/>
  <c r="CA187" i="23"/>
  <c r="BZ187" i="23"/>
  <c r="BY187" i="23"/>
  <c r="BX187" i="23"/>
  <c r="BW187" i="23"/>
  <c r="BV187" i="23"/>
  <c r="BU187" i="23"/>
  <c r="BT187" i="23"/>
  <c r="BS187" i="23"/>
  <c r="BR187" i="23"/>
  <c r="BQ187" i="23"/>
  <c r="BP187" i="23"/>
  <c r="BO187" i="23"/>
  <c r="BN187" i="23"/>
  <c r="BM187" i="23"/>
  <c r="BL187" i="23"/>
  <c r="BK187" i="23"/>
  <c r="BJ187" i="23"/>
  <c r="BI187" i="23"/>
  <c r="AI187" i="23"/>
  <c r="AE187" i="23"/>
  <c r="AC187" i="23"/>
  <c r="AA187" i="23"/>
  <c r="Y187" i="23"/>
  <c r="W187" i="23"/>
  <c r="U187" i="23"/>
  <c r="S187" i="23"/>
  <c r="Q187" i="23"/>
  <c r="O187" i="23"/>
  <c r="M187" i="23"/>
  <c r="K187" i="23"/>
  <c r="I187" i="23"/>
  <c r="G187" i="23"/>
  <c r="CF186" i="23"/>
  <c r="CE186" i="23"/>
  <c r="CD186" i="23"/>
  <c r="CC186" i="23"/>
  <c r="CB186" i="23"/>
  <c r="CA186" i="23"/>
  <c r="BZ186" i="23"/>
  <c r="BY186" i="23"/>
  <c r="BX186" i="23"/>
  <c r="BW186" i="23"/>
  <c r="BV186" i="23"/>
  <c r="BU186" i="23"/>
  <c r="BT186" i="23"/>
  <c r="BS186" i="23"/>
  <c r="BR186" i="23"/>
  <c r="BQ186" i="23"/>
  <c r="BP186" i="23"/>
  <c r="BO186" i="23"/>
  <c r="BN186" i="23"/>
  <c r="BM186" i="23"/>
  <c r="BL186" i="23"/>
  <c r="BK186" i="23"/>
  <c r="BJ186" i="23"/>
  <c r="BI186" i="23"/>
  <c r="AI186" i="23"/>
  <c r="AE186" i="23"/>
  <c r="AC186" i="23"/>
  <c r="AA186" i="23"/>
  <c r="Y186" i="23"/>
  <c r="W186" i="23"/>
  <c r="U186" i="23"/>
  <c r="S186" i="23"/>
  <c r="Q186" i="23"/>
  <c r="O186" i="23"/>
  <c r="M186" i="23"/>
  <c r="K186" i="23"/>
  <c r="I186" i="23"/>
  <c r="G186" i="23"/>
  <c r="CF185" i="23"/>
  <c r="CE185" i="23"/>
  <c r="CD185" i="23"/>
  <c r="CC185" i="23"/>
  <c r="CB185" i="23"/>
  <c r="CA185" i="23"/>
  <c r="BZ185" i="23"/>
  <c r="BY185" i="23"/>
  <c r="BX185" i="23"/>
  <c r="BW185" i="23"/>
  <c r="BV185" i="23"/>
  <c r="BU185" i="23"/>
  <c r="BT185" i="23"/>
  <c r="BS185" i="23"/>
  <c r="BR185" i="23"/>
  <c r="BQ185" i="23"/>
  <c r="BP185" i="23"/>
  <c r="BO185" i="23"/>
  <c r="BN185" i="23"/>
  <c r="BM185" i="23"/>
  <c r="BL185" i="23"/>
  <c r="BK185" i="23"/>
  <c r="BJ185" i="23"/>
  <c r="BI185" i="23"/>
  <c r="CF184" i="23"/>
  <c r="CE184" i="23"/>
  <c r="CD184" i="23"/>
  <c r="CC184" i="23"/>
  <c r="CB184" i="23"/>
  <c r="CA184" i="23"/>
  <c r="BZ184" i="23"/>
  <c r="BY184" i="23"/>
  <c r="BX184" i="23"/>
  <c r="BW184" i="23"/>
  <c r="BV184" i="23"/>
  <c r="BU184" i="23"/>
  <c r="BT184" i="23"/>
  <c r="BS184" i="23"/>
  <c r="BR184" i="23"/>
  <c r="BQ184" i="23"/>
  <c r="BP184" i="23"/>
  <c r="BO184" i="23"/>
  <c r="BN184" i="23"/>
  <c r="BM184" i="23"/>
  <c r="BL184" i="23"/>
  <c r="BK184" i="23"/>
  <c r="BJ184" i="23"/>
  <c r="BI184" i="23"/>
  <c r="AI184" i="23"/>
  <c r="AE184" i="23"/>
  <c r="AC184" i="23"/>
  <c r="AA184" i="23"/>
  <c r="Y184" i="23"/>
  <c r="W184" i="23"/>
  <c r="U184" i="23"/>
  <c r="S184" i="23"/>
  <c r="Q184" i="23"/>
  <c r="O184" i="23"/>
  <c r="M184" i="23"/>
  <c r="K184" i="23"/>
  <c r="I184" i="23"/>
  <c r="G184" i="23"/>
  <c r="CF183" i="23"/>
  <c r="CE183" i="23"/>
  <c r="CD183" i="23"/>
  <c r="CC183" i="23"/>
  <c r="CB183" i="23"/>
  <c r="CA183" i="23"/>
  <c r="BZ183" i="23"/>
  <c r="BY183" i="23"/>
  <c r="BX183" i="23"/>
  <c r="BW183" i="23"/>
  <c r="BV183" i="23"/>
  <c r="BU183" i="23"/>
  <c r="BT183" i="23"/>
  <c r="BS183" i="23"/>
  <c r="BR183" i="23"/>
  <c r="BQ183" i="23"/>
  <c r="BP183" i="23"/>
  <c r="BO183" i="23"/>
  <c r="BN183" i="23"/>
  <c r="BM183" i="23"/>
  <c r="BL183" i="23"/>
  <c r="BK183" i="23"/>
  <c r="BJ183" i="23"/>
  <c r="BI183" i="23"/>
  <c r="AI183" i="23"/>
  <c r="AE183" i="23"/>
  <c r="AC183" i="23"/>
  <c r="AA183" i="23"/>
  <c r="Y183" i="23"/>
  <c r="W183" i="23"/>
  <c r="U183" i="23"/>
  <c r="S183" i="23"/>
  <c r="Q183" i="23"/>
  <c r="O183" i="23"/>
  <c r="M183" i="23"/>
  <c r="K183" i="23"/>
  <c r="I183" i="23"/>
  <c r="G183" i="23"/>
  <c r="CF270" i="23"/>
  <c r="CE270" i="23"/>
  <c r="CD270" i="23"/>
  <c r="CC270" i="23"/>
  <c r="CB270" i="23"/>
  <c r="CA270" i="23"/>
  <c r="BZ270" i="23"/>
  <c r="BY270" i="23"/>
  <c r="BX270" i="23"/>
  <c r="BW270" i="23"/>
  <c r="BV270" i="23"/>
  <c r="BU270" i="23"/>
  <c r="BT270" i="23"/>
  <c r="BS270" i="23"/>
  <c r="BR270" i="23"/>
  <c r="BQ270" i="23"/>
  <c r="BP270" i="23"/>
  <c r="BO270" i="23"/>
  <c r="BN270" i="23"/>
  <c r="BM270" i="23"/>
  <c r="BL270" i="23"/>
  <c r="BK270" i="23"/>
  <c r="BJ270" i="23"/>
  <c r="BI270" i="23"/>
  <c r="AI270" i="23"/>
  <c r="AI269" i="23" s="1"/>
  <c r="AE270" i="23"/>
  <c r="AE269" i="23" s="1"/>
  <c r="AC270" i="23"/>
  <c r="AC269" i="23" s="1"/>
  <c r="AA270" i="23"/>
  <c r="AA269" i="23" s="1"/>
  <c r="Y270" i="23"/>
  <c r="Y269" i="23" s="1"/>
  <c r="W270" i="23"/>
  <c r="W269" i="23" s="1"/>
  <c r="U270" i="23"/>
  <c r="U269" i="23" s="1"/>
  <c r="S270" i="23"/>
  <c r="S269" i="23" s="1"/>
  <c r="Q270" i="23"/>
  <c r="Q269" i="23" s="1"/>
  <c r="O270" i="23"/>
  <c r="O269" i="23" s="1"/>
  <c r="M270" i="23"/>
  <c r="M269" i="23" s="1"/>
  <c r="K270" i="23"/>
  <c r="K269" i="23" s="1"/>
  <c r="I270" i="23"/>
  <c r="I269" i="23" s="1"/>
  <c r="G270" i="23"/>
  <c r="G269" i="23" s="1"/>
  <c r="CF269" i="23"/>
  <c r="CE269" i="23"/>
  <c r="CD269" i="23"/>
  <c r="CC269" i="23"/>
  <c r="CB269" i="23"/>
  <c r="CA269" i="23"/>
  <c r="BZ269" i="23"/>
  <c r="BY269" i="23"/>
  <c r="BX269" i="23"/>
  <c r="BW269" i="23"/>
  <c r="BV269" i="23"/>
  <c r="BU269" i="23"/>
  <c r="BT269" i="23"/>
  <c r="BS269" i="23"/>
  <c r="BR269" i="23"/>
  <c r="BQ269" i="23"/>
  <c r="BP269" i="23"/>
  <c r="BO269" i="23"/>
  <c r="BN269" i="23"/>
  <c r="BM269" i="23"/>
  <c r="BL269" i="23"/>
  <c r="BK269" i="23"/>
  <c r="BJ269" i="23"/>
  <c r="BI269" i="23"/>
  <c r="CF268" i="23"/>
  <c r="CE268" i="23"/>
  <c r="CD268" i="23"/>
  <c r="CC268" i="23"/>
  <c r="CB268" i="23"/>
  <c r="CA268" i="23"/>
  <c r="BZ268" i="23"/>
  <c r="BY268" i="23"/>
  <c r="BX268" i="23"/>
  <c r="BW268" i="23"/>
  <c r="BV268" i="23"/>
  <c r="BU268" i="23"/>
  <c r="BT268" i="23"/>
  <c r="BS268" i="23"/>
  <c r="BR268" i="23"/>
  <c r="BQ268" i="23"/>
  <c r="BP268" i="23"/>
  <c r="BO268" i="23"/>
  <c r="BN268" i="23"/>
  <c r="BM268" i="23"/>
  <c r="BL268" i="23"/>
  <c r="BK268" i="23"/>
  <c r="BJ268" i="23"/>
  <c r="BI268" i="23"/>
  <c r="AI268" i="23"/>
  <c r="AE268" i="23"/>
  <c r="AC268" i="23"/>
  <c r="AA268" i="23"/>
  <c r="Y268" i="23"/>
  <c r="W268" i="23"/>
  <c r="U268" i="23"/>
  <c r="S268" i="23"/>
  <c r="Q268" i="23"/>
  <c r="O268" i="23"/>
  <c r="M268" i="23"/>
  <c r="K268" i="23"/>
  <c r="I268" i="23"/>
  <c r="G268" i="23"/>
  <c r="CF267" i="23"/>
  <c r="CE267" i="23"/>
  <c r="CD267" i="23"/>
  <c r="CC267" i="23"/>
  <c r="CB267" i="23"/>
  <c r="CA267" i="23"/>
  <c r="BZ267" i="23"/>
  <c r="BY267" i="23"/>
  <c r="BX267" i="23"/>
  <c r="BW267" i="23"/>
  <c r="BV267" i="23"/>
  <c r="BU267" i="23"/>
  <c r="BT267" i="23"/>
  <c r="BS267" i="23"/>
  <c r="BR267" i="23"/>
  <c r="BQ267" i="23"/>
  <c r="BP267" i="23"/>
  <c r="BO267" i="23"/>
  <c r="BN267" i="23"/>
  <c r="BM267" i="23"/>
  <c r="BL267" i="23"/>
  <c r="BK267" i="23"/>
  <c r="BJ267" i="23"/>
  <c r="BI267" i="23"/>
  <c r="AI267" i="23"/>
  <c r="AE267" i="23"/>
  <c r="AC267" i="23"/>
  <c r="AA267" i="23"/>
  <c r="Y267" i="23"/>
  <c r="W267" i="23"/>
  <c r="U267" i="23"/>
  <c r="S267" i="23"/>
  <c r="Q267" i="23"/>
  <c r="O267" i="23"/>
  <c r="M267" i="23"/>
  <c r="K267" i="23"/>
  <c r="I267" i="23"/>
  <c r="G267" i="23"/>
  <c r="CF266" i="23"/>
  <c r="CE266" i="23"/>
  <c r="CD266" i="23"/>
  <c r="CC266" i="23"/>
  <c r="CB266" i="23"/>
  <c r="CA266" i="23"/>
  <c r="BZ266" i="23"/>
  <c r="BY266" i="23"/>
  <c r="BX266" i="23"/>
  <c r="BW266" i="23"/>
  <c r="BV266" i="23"/>
  <c r="BU266" i="23"/>
  <c r="BT266" i="23"/>
  <c r="BS266" i="23"/>
  <c r="BR266" i="23"/>
  <c r="BQ266" i="23"/>
  <c r="BP266" i="23"/>
  <c r="BO266" i="23"/>
  <c r="BN266" i="23"/>
  <c r="BM266" i="23"/>
  <c r="BL266" i="23"/>
  <c r="BK266" i="23"/>
  <c r="BJ266" i="23"/>
  <c r="BI266" i="23"/>
  <c r="CF265" i="23"/>
  <c r="CE265" i="23"/>
  <c r="CD265" i="23"/>
  <c r="CC265" i="23"/>
  <c r="CB265" i="23"/>
  <c r="CA265" i="23"/>
  <c r="BZ265" i="23"/>
  <c r="BY265" i="23"/>
  <c r="BX265" i="23"/>
  <c r="BW265" i="23"/>
  <c r="BV265" i="23"/>
  <c r="BU265" i="23"/>
  <c r="BT265" i="23"/>
  <c r="BS265" i="23"/>
  <c r="BR265" i="23"/>
  <c r="BQ265" i="23"/>
  <c r="BP265" i="23"/>
  <c r="BO265" i="23"/>
  <c r="BN265" i="23"/>
  <c r="BM265" i="23"/>
  <c r="BL265" i="23"/>
  <c r="BK265" i="23"/>
  <c r="BJ265" i="23"/>
  <c r="BI265" i="23"/>
  <c r="AI265" i="23"/>
  <c r="AE265" i="23"/>
  <c r="AC265" i="23"/>
  <c r="AA265" i="23"/>
  <c r="Y265" i="23"/>
  <c r="W265" i="23"/>
  <c r="U265" i="23"/>
  <c r="S265" i="23"/>
  <c r="Q265" i="23"/>
  <c r="O265" i="23"/>
  <c r="M265" i="23"/>
  <c r="K265" i="23"/>
  <c r="I265" i="23"/>
  <c r="G265" i="23"/>
  <c r="CF264" i="23"/>
  <c r="CE264" i="23"/>
  <c r="CD264" i="23"/>
  <c r="CC264" i="23"/>
  <c r="CB264" i="23"/>
  <c r="CA264" i="23"/>
  <c r="BZ264" i="23"/>
  <c r="BY264" i="23"/>
  <c r="BX264" i="23"/>
  <c r="BW264" i="23"/>
  <c r="BV264" i="23"/>
  <c r="BU264" i="23"/>
  <c r="BT264" i="23"/>
  <c r="BS264" i="23"/>
  <c r="BR264" i="23"/>
  <c r="BQ264" i="23"/>
  <c r="BP264" i="23"/>
  <c r="BO264" i="23"/>
  <c r="BN264" i="23"/>
  <c r="BM264" i="23"/>
  <c r="BL264" i="23"/>
  <c r="BK264" i="23"/>
  <c r="BJ264" i="23"/>
  <c r="BI264" i="23"/>
  <c r="AI264" i="23"/>
  <c r="AE264" i="23"/>
  <c r="AC264" i="23"/>
  <c r="AA264" i="23"/>
  <c r="Y264" i="23"/>
  <c r="W264" i="23"/>
  <c r="U264" i="23"/>
  <c r="S264" i="23"/>
  <c r="Q264" i="23"/>
  <c r="O264" i="23"/>
  <c r="M264" i="23"/>
  <c r="K264" i="23"/>
  <c r="I264" i="23"/>
  <c r="G264" i="23"/>
  <c r="CF263" i="23"/>
  <c r="CE263" i="23"/>
  <c r="CD263" i="23"/>
  <c r="CC263" i="23"/>
  <c r="CB263" i="23"/>
  <c r="CA263" i="23"/>
  <c r="BZ263" i="23"/>
  <c r="BY263" i="23"/>
  <c r="BX263" i="23"/>
  <c r="BW263" i="23"/>
  <c r="BV263" i="23"/>
  <c r="BU263" i="23"/>
  <c r="BT263" i="23"/>
  <c r="BS263" i="23"/>
  <c r="BR263" i="23"/>
  <c r="BQ263" i="23"/>
  <c r="BP263" i="23"/>
  <c r="BO263" i="23"/>
  <c r="BN263" i="23"/>
  <c r="BM263" i="23"/>
  <c r="BL263" i="23"/>
  <c r="BK263" i="23"/>
  <c r="BJ263" i="23"/>
  <c r="BI263" i="23"/>
  <c r="AI263" i="23"/>
  <c r="AE263" i="23"/>
  <c r="AC263" i="23"/>
  <c r="AA263" i="23"/>
  <c r="Y263" i="23"/>
  <c r="W263" i="23"/>
  <c r="U263" i="23"/>
  <c r="S263" i="23"/>
  <c r="Q263" i="23"/>
  <c r="O263" i="23"/>
  <c r="M263" i="23"/>
  <c r="K263" i="23"/>
  <c r="I263" i="23"/>
  <c r="G263" i="23"/>
  <c r="CF262" i="23"/>
  <c r="CE262" i="23"/>
  <c r="CD262" i="23"/>
  <c r="CC262" i="23"/>
  <c r="CB262" i="23"/>
  <c r="CA262" i="23"/>
  <c r="BZ262" i="23"/>
  <c r="BY262" i="23"/>
  <c r="BX262" i="23"/>
  <c r="BW262" i="23"/>
  <c r="BV262" i="23"/>
  <c r="BU262" i="23"/>
  <c r="BT262" i="23"/>
  <c r="BS262" i="23"/>
  <c r="BR262" i="23"/>
  <c r="BQ262" i="23"/>
  <c r="BP262" i="23"/>
  <c r="BO262" i="23"/>
  <c r="BN262" i="23"/>
  <c r="BM262" i="23"/>
  <c r="BL262" i="23"/>
  <c r="BK262" i="23"/>
  <c r="BJ262" i="23"/>
  <c r="BI262" i="23"/>
  <c r="AI262" i="23"/>
  <c r="AE262" i="23"/>
  <c r="AC262" i="23"/>
  <c r="AA262" i="23"/>
  <c r="Y262" i="23"/>
  <c r="W262" i="23"/>
  <c r="U262" i="23"/>
  <c r="S262" i="23"/>
  <c r="Q262" i="23"/>
  <c r="O262" i="23"/>
  <c r="M262" i="23"/>
  <c r="K262" i="23"/>
  <c r="I262" i="23"/>
  <c r="G262" i="23"/>
  <c r="CF261" i="23"/>
  <c r="CE261" i="23"/>
  <c r="CD261" i="23"/>
  <c r="CC261" i="23"/>
  <c r="CB261" i="23"/>
  <c r="CA261" i="23"/>
  <c r="BZ261" i="23"/>
  <c r="BY261" i="23"/>
  <c r="BX261" i="23"/>
  <c r="BW261" i="23"/>
  <c r="BV261" i="23"/>
  <c r="BU261" i="23"/>
  <c r="BT261" i="23"/>
  <c r="BS261" i="23"/>
  <c r="BR261" i="23"/>
  <c r="BQ261" i="23"/>
  <c r="BP261" i="23"/>
  <c r="BO261" i="23"/>
  <c r="BN261" i="23"/>
  <c r="BM261" i="23"/>
  <c r="BL261" i="23"/>
  <c r="BK261" i="23"/>
  <c r="BJ261" i="23"/>
  <c r="BI261" i="23"/>
  <c r="AI261" i="23"/>
  <c r="AE261" i="23"/>
  <c r="AC261" i="23"/>
  <c r="AA261" i="23"/>
  <c r="Y261" i="23"/>
  <c r="W261" i="23"/>
  <c r="U261" i="23"/>
  <c r="S261" i="23"/>
  <c r="Q261" i="23"/>
  <c r="O261" i="23"/>
  <c r="M261" i="23"/>
  <c r="K261" i="23"/>
  <c r="I261" i="23"/>
  <c r="G261" i="23"/>
  <c r="CF260" i="23"/>
  <c r="CE260" i="23"/>
  <c r="CD260" i="23"/>
  <c r="CC260" i="23"/>
  <c r="CB260" i="23"/>
  <c r="CA260" i="23"/>
  <c r="BZ260" i="23"/>
  <c r="BY260" i="23"/>
  <c r="BX260" i="23"/>
  <c r="BW260" i="23"/>
  <c r="BV260" i="23"/>
  <c r="BU260" i="23"/>
  <c r="BT260" i="23"/>
  <c r="BS260" i="23"/>
  <c r="BR260" i="23"/>
  <c r="BQ260" i="23"/>
  <c r="BP260" i="23"/>
  <c r="BO260" i="23"/>
  <c r="BN260" i="23"/>
  <c r="BM260" i="23"/>
  <c r="BL260" i="23"/>
  <c r="BK260" i="23"/>
  <c r="BJ260" i="23"/>
  <c r="BI260" i="23"/>
  <c r="AI260" i="23"/>
  <c r="AE260" i="23"/>
  <c r="AC260" i="23"/>
  <c r="AA260" i="23"/>
  <c r="Y260" i="23"/>
  <c r="W260" i="23"/>
  <c r="U260" i="23"/>
  <c r="S260" i="23"/>
  <c r="Q260" i="23"/>
  <c r="O260" i="23"/>
  <c r="M260" i="23"/>
  <c r="K260" i="23"/>
  <c r="I260" i="23"/>
  <c r="G260" i="23"/>
  <c r="CF259" i="23"/>
  <c r="CE259" i="23"/>
  <c r="CD259" i="23"/>
  <c r="CC259" i="23"/>
  <c r="CB259" i="23"/>
  <c r="CA259" i="23"/>
  <c r="BZ259" i="23"/>
  <c r="BY259" i="23"/>
  <c r="BX259" i="23"/>
  <c r="BW259" i="23"/>
  <c r="BV259" i="23"/>
  <c r="BU259" i="23"/>
  <c r="BT259" i="23"/>
  <c r="BS259" i="23"/>
  <c r="BR259" i="23"/>
  <c r="BQ259" i="23"/>
  <c r="BP259" i="23"/>
  <c r="BO259" i="23"/>
  <c r="BN259" i="23"/>
  <c r="BM259" i="23"/>
  <c r="BL259" i="23"/>
  <c r="BK259" i="23"/>
  <c r="BJ259" i="23"/>
  <c r="BI259" i="23"/>
  <c r="AI259" i="23"/>
  <c r="AE259" i="23"/>
  <c r="AC259" i="23"/>
  <c r="AA259" i="23"/>
  <c r="Y259" i="23"/>
  <c r="W259" i="23"/>
  <c r="U259" i="23"/>
  <c r="S259" i="23"/>
  <c r="Q259" i="23"/>
  <c r="O259" i="23"/>
  <c r="M259" i="23"/>
  <c r="K259" i="23"/>
  <c r="I259" i="23"/>
  <c r="G259" i="23"/>
  <c r="CF258" i="23"/>
  <c r="CE258" i="23"/>
  <c r="CD258" i="23"/>
  <c r="CC258" i="23"/>
  <c r="CB258" i="23"/>
  <c r="CA258" i="23"/>
  <c r="BZ258" i="23"/>
  <c r="BY258" i="23"/>
  <c r="BX258" i="23"/>
  <c r="BW258" i="23"/>
  <c r="BV258" i="23"/>
  <c r="BU258" i="23"/>
  <c r="BT258" i="23"/>
  <c r="BS258" i="23"/>
  <c r="BR258" i="23"/>
  <c r="BQ258" i="23"/>
  <c r="BP258" i="23"/>
  <c r="BO258" i="23"/>
  <c r="BN258" i="23"/>
  <c r="BM258" i="23"/>
  <c r="BL258" i="23"/>
  <c r="BK258" i="23"/>
  <c r="BJ258" i="23"/>
  <c r="BI258" i="23"/>
  <c r="AI258" i="23"/>
  <c r="AE258" i="23"/>
  <c r="AC258" i="23"/>
  <c r="AA258" i="23"/>
  <c r="Y258" i="23"/>
  <c r="W258" i="23"/>
  <c r="U258" i="23"/>
  <c r="S258" i="23"/>
  <c r="Q258" i="23"/>
  <c r="O258" i="23"/>
  <c r="M258" i="23"/>
  <c r="K258" i="23"/>
  <c r="I258" i="23"/>
  <c r="G258" i="23"/>
  <c r="CF257" i="23"/>
  <c r="CE257" i="23"/>
  <c r="CD257" i="23"/>
  <c r="CC257" i="23"/>
  <c r="CB257" i="23"/>
  <c r="CA257" i="23"/>
  <c r="BZ257" i="23"/>
  <c r="BY257" i="23"/>
  <c r="BX257" i="23"/>
  <c r="BW257" i="23"/>
  <c r="BV257" i="23"/>
  <c r="BU257" i="23"/>
  <c r="BT257" i="23"/>
  <c r="BS257" i="23"/>
  <c r="BR257" i="23"/>
  <c r="BQ257" i="23"/>
  <c r="BP257" i="23"/>
  <c r="BO257" i="23"/>
  <c r="BN257" i="23"/>
  <c r="BM257" i="23"/>
  <c r="BL257" i="23"/>
  <c r="BK257" i="23"/>
  <c r="BJ257" i="23"/>
  <c r="BI257" i="23"/>
  <c r="AI257" i="23"/>
  <c r="AE257" i="23"/>
  <c r="AC257" i="23"/>
  <c r="AA257" i="23"/>
  <c r="Y257" i="23"/>
  <c r="W257" i="23"/>
  <c r="U257" i="23"/>
  <c r="S257" i="23"/>
  <c r="Q257" i="23"/>
  <c r="O257" i="23"/>
  <c r="M257" i="23"/>
  <c r="K257" i="23"/>
  <c r="I257" i="23"/>
  <c r="G257" i="23"/>
  <c r="CF256" i="23"/>
  <c r="CE256" i="23"/>
  <c r="CD256" i="23"/>
  <c r="CC256" i="23"/>
  <c r="CB256" i="23"/>
  <c r="CA256" i="23"/>
  <c r="BZ256" i="23"/>
  <c r="BY256" i="23"/>
  <c r="BX256" i="23"/>
  <c r="BW256" i="23"/>
  <c r="BV256" i="23"/>
  <c r="BU256" i="23"/>
  <c r="BT256" i="23"/>
  <c r="BS256" i="23"/>
  <c r="BR256" i="23"/>
  <c r="BQ256" i="23"/>
  <c r="BP256" i="23"/>
  <c r="BO256" i="23"/>
  <c r="BN256" i="23"/>
  <c r="BM256" i="23"/>
  <c r="BL256" i="23"/>
  <c r="BK256" i="23"/>
  <c r="BJ256" i="23"/>
  <c r="BI256" i="23"/>
  <c r="AI256" i="23"/>
  <c r="AE256" i="23"/>
  <c r="AC256" i="23"/>
  <c r="AA256" i="23"/>
  <c r="Y256" i="23"/>
  <c r="W256" i="23"/>
  <c r="U256" i="23"/>
  <c r="S256" i="23"/>
  <c r="Q256" i="23"/>
  <c r="O256" i="23"/>
  <c r="M256" i="23"/>
  <c r="K256" i="23"/>
  <c r="I256" i="23"/>
  <c r="G256" i="23"/>
  <c r="CF255" i="23"/>
  <c r="CE255" i="23"/>
  <c r="CD255" i="23"/>
  <c r="CC255" i="23"/>
  <c r="CB255" i="23"/>
  <c r="CA255" i="23"/>
  <c r="BZ255" i="23"/>
  <c r="BY255" i="23"/>
  <c r="BX255" i="23"/>
  <c r="BW255" i="23"/>
  <c r="BV255" i="23"/>
  <c r="BU255" i="23"/>
  <c r="BT255" i="23"/>
  <c r="BS255" i="23"/>
  <c r="BR255" i="23"/>
  <c r="BQ255" i="23"/>
  <c r="BP255" i="23"/>
  <c r="BO255" i="23"/>
  <c r="BN255" i="23"/>
  <c r="BM255" i="23"/>
  <c r="BL255" i="23"/>
  <c r="BK255" i="23"/>
  <c r="BJ255" i="23"/>
  <c r="BI255" i="23"/>
  <c r="AI255" i="23"/>
  <c r="AE255" i="23"/>
  <c r="AC255" i="23"/>
  <c r="AA255" i="23"/>
  <c r="Y255" i="23"/>
  <c r="W255" i="23"/>
  <c r="U255" i="23"/>
  <c r="S255" i="23"/>
  <c r="Q255" i="23"/>
  <c r="O255" i="23"/>
  <c r="M255" i="23"/>
  <c r="K255" i="23"/>
  <c r="I255" i="23"/>
  <c r="G255" i="23"/>
  <c r="CF254" i="23"/>
  <c r="CE254" i="23"/>
  <c r="CD254" i="23"/>
  <c r="CC254" i="23"/>
  <c r="CB254" i="23"/>
  <c r="CA254" i="23"/>
  <c r="BZ254" i="23"/>
  <c r="BY254" i="23"/>
  <c r="BX254" i="23"/>
  <c r="BW254" i="23"/>
  <c r="BV254" i="23"/>
  <c r="BU254" i="23"/>
  <c r="BT254" i="23"/>
  <c r="BS254" i="23"/>
  <c r="BR254" i="23"/>
  <c r="BQ254" i="23"/>
  <c r="BP254" i="23"/>
  <c r="BO254" i="23"/>
  <c r="BN254" i="23"/>
  <c r="BM254" i="23"/>
  <c r="BL254" i="23"/>
  <c r="BK254" i="23"/>
  <c r="BJ254" i="23"/>
  <c r="BI254" i="23"/>
  <c r="AI254" i="23"/>
  <c r="AE254" i="23"/>
  <c r="AC254" i="23"/>
  <c r="AA254" i="23"/>
  <c r="Y254" i="23"/>
  <c r="W254" i="23"/>
  <c r="U254" i="23"/>
  <c r="S254" i="23"/>
  <c r="Q254" i="23"/>
  <c r="O254" i="23"/>
  <c r="M254" i="23"/>
  <c r="K254" i="23"/>
  <c r="I254" i="23"/>
  <c r="G254" i="23"/>
  <c r="CF253" i="23"/>
  <c r="CE253" i="23"/>
  <c r="CD253" i="23"/>
  <c r="CC253" i="23"/>
  <c r="CB253" i="23"/>
  <c r="CA253" i="23"/>
  <c r="BZ253" i="23"/>
  <c r="BY253" i="23"/>
  <c r="BX253" i="23"/>
  <c r="BW253" i="23"/>
  <c r="BV253" i="23"/>
  <c r="BU253" i="23"/>
  <c r="BT253" i="23"/>
  <c r="BS253" i="23"/>
  <c r="BR253" i="23"/>
  <c r="BQ253" i="23"/>
  <c r="BP253" i="23"/>
  <c r="BO253" i="23"/>
  <c r="BN253" i="23"/>
  <c r="BM253" i="23"/>
  <c r="BL253" i="23"/>
  <c r="BK253" i="23"/>
  <c r="BJ253" i="23"/>
  <c r="BI253" i="23"/>
  <c r="AI253" i="23"/>
  <c r="AE253" i="23"/>
  <c r="AC253" i="23"/>
  <c r="AA253" i="23"/>
  <c r="Y253" i="23"/>
  <c r="W253" i="23"/>
  <c r="U253" i="23"/>
  <c r="S253" i="23"/>
  <c r="Q253" i="23"/>
  <c r="O253" i="23"/>
  <c r="M253" i="23"/>
  <c r="K253" i="23"/>
  <c r="I253" i="23"/>
  <c r="G253" i="23"/>
  <c r="CF252" i="23"/>
  <c r="CE252" i="23"/>
  <c r="CD252" i="23"/>
  <c r="CC252" i="23"/>
  <c r="CB252" i="23"/>
  <c r="CA252" i="23"/>
  <c r="BZ252" i="23"/>
  <c r="BY252" i="23"/>
  <c r="BX252" i="23"/>
  <c r="BW252" i="23"/>
  <c r="BV252" i="23"/>
  <c r="BU252" i="23"/>
  <c r="BT252" i="23"/>
  <c r="BS252" i="23"/>
  <c r="BR252" i="23"/>
  <c r="BQ252" i="23"/>
  <c r="BP252" i="23"/>
  <c r="BO252" i="23"/>
  <c r="BN252" i="23"/>
  <c r="BM252" i="23"/>
  <c r="BL252" i="23"/>
  <c r="BK252" i="23"/>
  <c r="BJ252" i="23"/>
  <c r="BI252" i="23"/>
  <c r="AI252" i="23"/>
  <c r="AE252" i="23"/>
  <c r="AC252" i="23"/>
  <c r="AA252" i="23"/>
  <c r="Y252" i="23"/>
  <c r="W252" i="23"/>
  <c r="U252" i="23"/>
  <c r="S252" i="23"/>
  <c r="Q252" i="23"/>
  <c r="O252" i="23"/>
  <c r="M252" i="23"/>
  <c r="K252" i="23"/>
  <c r="I252" i="23"/>
  <c r="G252" i="23"/>
  <c r="CF251" i="23"/>
  <c r="CE251" i="23"/>
  <c r="CD251" i="23"/>
  <c r="CC251" i="23"/>
  <c r="CB251" i="23"/>
  <c r="CA251" i="23"/>
  <c r="BZ251" i="23"/>
  <c r="BY251" i="23"/>
  <c r="BX251" i="23"/>
  <c r="BW251" i="23"/>
  <c r="BV251" i="23"/>
  <c r="BU251" i="23"/>
  <c r="BT251" i="23"/>
  <c r="BS251" i="23"/>
  <c r="BR251" i="23"/>
  <c r="BQ251" i="23"/>
  <c r="BP251" i="23"/>
  <c r="BO251" i="23"/>
  <c r="BN251" i="23"/>
  <c r="BM251" i="23"/>
  <c r="BL251" i="23"/>
  <c r="BK251" i="23"/>
  <c r="BJ251" i="23"/>
  <c r="BI251" i="23"/>
  <c r="AI251" i="23"/>
  <c r="AE251" i="23"/>
  <c r="AC251" i="23"/>
  <c r="AA251" i="23"/>
  <c r="Y251" i="23"/>
  <c r="W251" i="23"/>
  <c r="U251" i="23"/>
  <c r="S251" i="23"/>
  <c r="Q251" i="23"/>
  <c r="O251" i="23"/>
  <c r="M251" i="23"/>
  <c r="K251" i="23"/>
  <c r="I251" i="23"/>
  <c r="G251" i="23"/>
  <c r="CF250" i="23"/>
  <c r="CE250" i="23"/>
  <c r="CD250" i="23"/>
  <c r="CC250" i="23"/>
  <c r="CB250" i="23"/>
  <c r="CA250" i="23"/>
  <c r="BZ250" i="23"/>
  <c r="BY250" i="23"/>
  <c r="BX250" i="23"/>
  <c r="BW250" i="23"/>
  <c r="BV250" i="23"/>
  <c r="BU250" i="23"/>
  <c r="BT250" i="23"/>
  <c r="BS250" i="23"/>
  <c r="BR250" i="23"/>
  <c r="BQ250" i="23"/>
  <c r="BP250" i="23"/>
  <c r="BO250" i="23"/>
  <c r="BN250" i="23"/>
  <c r="BM250" i="23"/>
  <c r="BL250" i="23"/>
  <c r="BK250" i="23"/>
  <c r="BJ250" i="23"/>
  <c r="BI250" i="23"/>
  <c r="AI250" i="23"/>
  <c r="AE250" i="23"/>
  <c r="AC250" i="23"/>
  <c r="AA250" i="23"/>
  <c r="Y250" i="23"/>
  <c r="W250" i="23"/>
  <c r="U250" i="23"/>
  <c r="S250" i="23"/>
  <c r="Q250" i="23"/>
  <c r="O250" i="23"/>
  <c r="M250" i="23"/>
  <c r="K250" i="23"/>
  <c r="I250" i="23"/>
  <c r="G250" i="23"/>
  <c r="CF249" i="23"/>
  <c r="CE249" i="23"/>
  <c r="CD249" i="23"/>
  <c r="CC249" i="23"/>
  <c r="CB249" i="23"/>
  <c r="CA249" i="23"/>
  <c r="BZ249" i="23"/>
  <c r="BY249" i="23"/>
  <c r="BX249" i="23"/>
  <c r="BW249" i="23"/>
  <c r="BV249" i="23"/>
  <c r="BU249" i="23"/>
  <c r="BT249" i="23"/>
  <c r="BS249" i="23"/>
  <c r="BR249" i="23"/>
  <c r="BQ249" i="23"/>
  <c r="BP249" i="23"/>
  <c r="BO249" i="23"/>
  <c r="BN249" i="23"/>
  <c r="BM249" i="23"/>
  <c r="BL249" i="23"/>
  <c r="BK249" i="23"/>
  <c r="BJ249" i="23"/>
  <c r="BI249" i="23"/>
  <c r="AI249" i="23"/>
  <c r="AE249" i="23"/>
  <c r="AC249" i="23"/>
  <c r="AA249" i="23"/>
  <c r="Y249" i="23"/>
  <c r="W249" i="23"/>
  <c r="U249" i="23"/>
  <c r="S249" i="23"/>
  <c r="Q249" i="23"/>
  <c r="O249" i="23"/>
  <c r="M249" i="23"/>
  <c r="K249" i="23"/>
  <c r="I249" i="23"/>
  <c r="G249" i="23"/>
  <c r="CF248" i="23"/>
  <c r="CE248" i="23"/>
  <c r="CD248" i="23"/>
  <c r="CC248" i="23"/>
  <c r="CB248" i="23"/>
  <c r="CA248" i="23"/>
  <c r="BZ248" i="23"/>
  <c r="BY248" i="23"/>
  <c r="BX248" i="23"/>
  <c r="BW248" i="23"/>
  <c r="BV248" i="23"/>
  <c r="BU248" i="23"/>
  <c r="BT248" i="23"/>
  <c r="BS248" i="23"/>
  <c r="BR248" i="23"/>
  <c r="BQ248" i="23"/>
  <c r="BP248" i="23"/>
  <c r="BO248" i="23"/>
  <c r="BN248" i="23"/>
  <c r="BM248" i="23"/>
  <c r="BL248" i="23"/>
  <c r="BK248" i="23"/>
  <c r="BJ248" i="23"/>
  <c r="BI248" i="23"/>
  <c r="AI248" i="23"/>
  <c r="AE248" i="23"/>
  <c r="AC248" i="23"/>
  <c r="AA248" i="23"/>
  <c r="Y248" i="23"/>
  <c r="W248" i="23"/>
  <c r="U248" i="23"/>
  <c r="S248" i="23"/>
  <c r="Q248" i="23"/>
  <c r="O248" i="23"/>
  <c r="M248" i="23"/>
  <c r="K248" i="23"/>
  <c r="I248" i="23"/>
  <c r="G248" i="23"/>
  <c r="CF247" i="23"/>
  <c r="CE247" i="23"/>
  <c r="CD247" i="23"/>
  <c r="CC247" i="23"/>
  <c r="CB247" i="23"/>
  <c r="CA247" i="23"/>
  <c r="BZ247" i="23"/>
  <c r="BY247" i="23"/>
  <c r="BX247" i="23"/>
  <c r="BW247" i="23"/>
  <c r="BV247" i="23"/>
  <c r="BU247" i="23"/>
  <c r="BT247" i="23"/>
  <c r="BS247" i="23"/>
  <c r="BR247" i="23"/>
  <c r="BQ247" i="23"/>
  <c r="BP247" i="23"/>
  <c r="BO247" i="23"/>
  <c r="BN247" i="23"/>
  <c r="BM247" i="23"/>
  <c r="BL247" i="23"/>
  <c r="BK247" i="23"/>
  <c r="BJ247" i="23"/>
  <c r="BI247" i="23"/>
  <c r="AI247" i="23"/>
  <c r="AE247" i="23"/>
  <c r="AC247" i="23"/>
  <c r="AA247" i="23"/>
  <c r="Y247" i="23"/>
  <c r="W247" i="23"/>
  <c r="U247" i="23"/>
  <c r="S247" i="23"/>
  <c r="Q247" i="23"/>
  <c r="O247" i="23"/>
  <c r="M247" i="23"/>
  <c r="K247" i="23"/>
  <c r="I247" i="23"/>
  <c r="G247" i="23"/>
  <c r="CF246" i="23"/>
  <c r="CE246" i="23"/>
  <c r="CD246" i="23"/>
  <c r="CC246" i="23"/>
  <c r="CB246" i="23"/>
  <c r="CA246" i="23"/>
  <c r="BZ246" i="23"/>
  <c r="BY246" i="23"/>
  <c r="BX246" i="23"/>
  <c r="BW246" i="23"/>
  <c r="BV246" i="23"/>
  <c r="BU246" i="23"/>
  <c r="BT246" i="23"/>
  <c r="BS246" i="23"/>
  <c r="BR246" i="23"/>
  <c r="BQ246" i="23"/>
  <c r="BP246" i="23"/>
  <c r="BO246" i="23"/>
  <c r="BN246" i="23"/>
  <c r="BM246" i="23"/>
  <c r="BL246" i="23"/>
  <c r="BK246" i="23"/>
  <c r="BJ246" i="23"/>
  <c r="BI246" i="23"/>
  <c r="AI246" i="23"/>
  <c r="AE246" i="23"/>
  <c r="AC246" i="23"/>
  <c r="AA246" i="23"/>
  <c r="Y246" i="23"/>
  <c r="W246" i="23"/>
  <c r="U246" i="23"/>
  <c r="S246" i="23"/>
  <c r="Q246" i="23"/>
  <c r="O246" i="23"/>
  <c r="M246" i="23"/>
  <c r="K246" i="23"/>
  <c r="I246" i="23"/>
  <c r="G246" i="23"/>
  <c r="CF245" i="23"/>
  <c r="CE245" i="23"/>
  <c r="CD245" i="23"/>
  <c r="CC245" i="23"/>
  <c r="CB245" i="23"/>
  <c r="CA245" i="23"/>
  <c r="BZ245" i="23"/>
  <c r="BY245" i="23"/>
  <c r="BX245" i="23"/>
  <c r="BW245" i="23"/>
  <c r="BV245" i="23"/>
  <c r="BU245" i="23"/>
  <c r="BT245" i="23"/>
  <c r="BS245" i="23"/>
  <c r="BR245" i="23"/>
  <c r="BQ245" i="23"/>
  <c r="BP245" i="23"/>
  <c r="BO245" i="23"/>
  <c r="BN245" i="23"/>
  <c r="BM245" i="23"/>
  <c r="BL245" i="23"/>
  <c r="BK245" i="23"/>
  <c r="BJ245" i="23"/>
  <c r="BI245" i="23"/>
  <c r="AI245" i="23"/>
  <c r="AE245" i="23"/>
  <c r="AC245" i="23"/>
  <c r="AA245" i="23"/>
  <c r="Y245" i="23"/>
  <c r="W245" i="23"/>
  <c r="U245" i="23"/>
  <c r="S245" i="23"/>
  <c r="Q245" i="23"/>
  <c r="O245" i="23"/>
  <c r="M245" i="23"/>
  <c r="K245" i="23"/>
  <c r="I245" i="23"/>
  <c r="G245" i="23"/>
  <c r="CF244" i="23"/>
  <c r="CE244" i="23"/>
  <c r="CD244" i="23"/>
  <c r="CC244" i="23"/>
  <c r="CB244" i="23"/>
  <c r="CA244" i="23"/>
  <c r="BZ244" i="23"/>
  <c r="BY244" i="23"/>
  <c r="BX244" i="23"/>
  <c r="BW244" i="23"/>
  <c r="BV244" i="23"/>
  <c r="BU244" i="23"/>
  <c r="BT244" i="23"/>
  <c r="BS244" i="23"/>
  <c r="BR244" i="23"/>
  <c r="BQ244" i="23"/>
  <c r="BP244" i="23"/>
  <c r="BO244" i="23"/>
  <c r="BN244" i="23"/>
  <c r="BM244" i="23"/>
  <c r="BL244" i="23"/>
  <c r="BK244" i="23"/>
  <c r="BJ244" i="23"/>
  <c r="BI244" i="23"/>
  <c r="AI244" i="23"/>
  <c r="AE244" i="23"/>
  <c r="AC244" i="23"/>
  <c r="AA244" i="23"/>
  <c r="Y244" i="23"/>
  <c r="W244" i="23"/>
  <c r="U244" i="23"/>
  <c r="S244" i="23"/>
  <c r="Q244" i="23"/>
  <c r="O244" i="23"/>
  <c r="M244" i="23"/>
  <c r="K244" i="23"/>
  <c r="I244" i="23"/>
  <c r="G244" i="23"/>
  <c r="CF243" i="23"/>
  <c r="CE243" i="23"/>
  <c r="CD243" i="23"/>
  <c r="CC243" i="23"/>
  <c r="CB243" i="23"/>
  <c r="CA243" i="23"/>
  <c r="BZ243" i="23"/>
  <c r="BY243" i="23"/>
  <c r="BX243" i="23"/>
  <c r="BW243" i="23"/>
  <c r="BV243" i="23"/>
  <c r="BU243" i="23"/>
  <c r="BT243" i="23"/>
  <c r="BS243" i="23"/>
  <c r="BR243" i="23"/>
  <c r="BQ243" i="23"/>
  <c r="BP243" i="23"/>
  <c r="BO243" i="23"/>
  <c r="BN243" i="23"/>
  <c r="BM243" i="23"/>
  <c r="BL243" i="23"/>
  <c r="BK243" i="23"/>
  <c r="BJ243" i="23"/>
  <c r="BI243" i="23"/>
  <c r="AI243" i="23"/>
  <c r="AE243" i="23"/>
  <c r="AC243" i="23"/>
  <c r="AA243" i="23"/>
  <c r="Y243" i="23"/>
  <c r="W243" i="23"/>
  <c r="U243" i="23"/>
  <c r="S243" i="23"/>
  <c r="Q243" i="23"/>
  <c r="O243" i="23"/>
  <c r="M243" i="23"/>
  <c r="K243" i="23"/>
  <c r="I243" i="23"/>
  <c r="G243" i="23"/>
  <c r="CF182" i="23"/>
  <c r="CE182" i="23"/>
  <c r="CD182" i="23"/>
  <c r="CC182" i="23"/>
  <c r="CB182" i="23"/>
  <c r="CA182" i="23"/>
  <c r="BZ182" i="23"/>
  <c r="BY182" i="23"/>
  <c r="BX182" i="23"/>
  <c r="BW182" i="23"/>
  <c r="BV182" i="23"/>
  <c r="BU182" i="23"/>
  <c r="BT182" i="23"/>
  <c r="BS182" i="23"/>
  <c r="BR182" i="23"/>
  <c r="BQ182" i="23"/>
  <c r="BP182" i="23"/>
  <c r="BO182" i="23"/>
  <c r="BN182" i="23"/>
  <c r="BM182" i="23"/>
  <c r="BL182" i="23"/>
  <c r="BK182" i="23"/>
  <c r="BJ182" i="23"/>
  <c r="BI182" i="23"/>
  <c r="AI182" i="23"/>
  <c r="AE182" i="23"/>
  <c r="AC182" i="23"/>
  <c r="AA182" i="23"/>
  <c r="Y182" i="23"/>
  <c r="W182" i="23"/>
  <c r="U182" i="23"/>
  <c r="S182" i="23"/>
  <c r="Q182" i="23"/>
  <c r="O182" i="23"/>
  <c r="M182" i="23"/>
  <c r="K182" i="23"/>
  <c r="I182" i="23"/>
  <c r="G182" i="23"/>
  <c r="CF180" i="23"/>
  <c r="CE180" i="23"/>
  <c r="CD180" i="23"/>
  <c r="CC180" i="23"/>
  <c r="CB180" i="23"/>
  <c r="CA180" i="23"/>
  <c r="BZ180" i="23"/>
  <c r="BY180" i="23"/>
  <c r="BX180" i="23"/>
  <c r="BW180" i="23"/>
  <c r="BV180" i="23"/>
  <c r="BU180" i="23"/>
  <c r="BT180" i="23"/>
  <c r="BS180" i="23"/>
  <c r="BR180" i="23"/>
  <c r="BQ180" i="23"/>
  <c r="BP180" i="23"/>
  <c r="BO180" i="23"/>
  <c r="BN180" i="23"/>
  <c r="BM180" i="23"/>
  <c r="BL180" i="23"/>
  <c r="BK180" i="23"/>
  <c r="BJ180" i="23"/>
  <c r="BI180" i="23"/>
  <c r="AI180" i="23"/>
  <c r="AE180" i="23"/>
  <c r="AC180" i="23"/>
  <c r="AA180" i="23"/>
  <c r="Y180" i="23"/>
  <c r="W180" i="23"/>
  <c r="U180" i="23"/>
  <c r="S180" i="23"/>
  <c r="Q180" i="23"/>
  <c r="O180" i="23"/>
  <c r="M180" i="23"/>
  <c r="K180" i="23"/>
  <c r="I180" i="23"/>
  <c r="G180" i="23"/>
  <c r="CF179" i="23"/>
  <c r="CE179" i="23"/>
  <c r="CD179" i="23"/>
  <c r="CC179" i="23"/>
  <c r="CB179" i="23"/>
  <c r="CA179" i="23"/>
  <c r="BZ179" i="23"/>
  <c r="BY179" i="23"/>
  <c r="BX179" i="23"/>
  <c r="BW179" i="23"/>
  <c r="BV179" i="23"/>
  <c r="BU179" i="23"/>
  <c r="BT179" i="23"/>
  <c r="BS179" i="23"/>
  <c r="BR179" i="23"/>
  <c r="BQ179" i="23"/>
  <c r="BP179" i="23"/>
  <c r="BO179" i="23"/>
  <c r="BN179" i="23"/>
  <c r="BM179" i="23"/>
  <c r="BL179" i="23"/>
  <c r="BK179" i="23"/>
  <c r="BJ179" i="23"/>
  <c r="BI179" i="23"/>
  <c r="AI179" i="23"/>
  <c r="AE179" i="23"/>
  <c r="AC179" i="23"/>
  <c r="AA179" i="23"/>
  <c r="Y179" i="23"/>
  <c r="W179" i="23"/>
  <c r="U179" i="23"/>
  <c r="S179" i="23"/>
  <c r="Q179" i="23"/>
  <c r="O179" i="23"/>
  <c r="M179" i="23"/>
  <c r="K179" i="23"/>
  <c r="I179" i="23"/>
  <c r="G179" i="23"/>
  <c r="CF178" i="23"/>
  <c r="CE178" i="23"/>
  <c r="CD178" i="23"/>
  <c r="CC178" i="23"/>
  <c r="CB178" i="23"/>
  <c r="CA178" i="23"/>
  <c r="BZ178" i="23"/>
  <c r="BY178" i="23"/>
  <c r="BX178" i="23"/>
  <c r="BW178" i="23"/>
  <c r="BV178" i="23"/>
  <c r="BU178" i="23"/>
  <c r="BT178" i="23"/>
  <c r="BS178" i="23"/>
  <c r="BR178" i="23"/>
  <c r="BQ178" i="23"/>
  <c r="BP178" i="23"/>
  <c r="BO178" i="23"/>
  <c r="BN178" i="23"/>
  <c r="BM178" i="23"/>
  <c r="BL178" i="23"/>
  <c r="BK178" i="23"/>
  <c r="BJ178" i="23"/>
  <c r="BI178" i="23"/>
  <c r="AI178" i="23"/>
  <c r="AE178" i="23"/>
  <c r="AC178" i="23"/>
  <c r="AA178" i="23"/>
  <c r="Y178" i="23"/>
  <c r="W178" i="23"/>
  <c r="U178" i="23"/>
  <c r="S178" i="23"/>
  <c r="Q178" i="23"/>
  <c r="O178" i="23"/>
  <c r="M178" i="23"/>
  <c r="K178" i="23"/>
  <c r="I178" i="23"/>
  <c r="G178" i="23"/>
  <c r="CF177" i="23"/>
  <c r="CE177" i="23"/>
  <c r="CD177" i="23"/>
  <c r="CC177" i="23"/>
  <c r="CB177" i="23"/>
  <c r="CA177" i="23"/>
  <c r="BZ177" i="23"/>
  <c r="BY177" i="23"/>
  <c r="BX177" i="23"/>
  <c r="BW177" i="23"/>
  <c r="BV177" i="23"/>
  <c r="BU177" i="23"/>
  <c r="BT177" i="23"/>
  <c r="BS177" i="23"/>
  <c r="BR177" i="23"/>
  <c r="BQ177" i="23"/>
  <c r="BP177" i="23"/>
  <c r="BO177" i="23"/>
  <c r="BN177" i="23"/>
  <c r="BM177" i="23"/>
  <c r="BL177" i="23"/>
  <c r="BK177" i="23"/>
  <c r="BJ177" i="23"/>
  <c r="BI177" i="23"/>
  <c r="AI177" i="23"/>
  <c r="AE177" i="23"/>
  <c r="AC177" i="23"/>
  <c r="AA177" i="23"/>
  <c r="Y177" i="23"/>
  <c r="W177" i="23"/>
  <c r="U177" i="23"/>
  <c r="S177" i="23"/>
  <c r="Q177" i="23"/>
  <c r="O177" i="23"/>
  <c r="M177" i="23"/>
  <c r="K177" i="23"/>
  <c r="I177" i="23"/>
  <c r="G177" i="23"/>
  <c r="CF176" i="23"/>
  <c r="CE176" i="23"/>
  <c r="CD176" i="23"/>
  <c r="CC176" i="23"/>
  <c r="CB176" i="23"/>
  <c r="CA176" i="23"/>
  <c r="BZ176" i="23"/>
  <c r="BY176" i="23"/>
  <c r="BX176" i="23"/>
  <c r="BW176" i="23"/>
  <c r="BV176" i="23"/>
  <c r="BU176" i="23"/>
  <c r="BT176" i="23"/>
  <c r="BS176" i="23"/>
  <c r="BR176" i="23"/>
  <c r="BQ176" i="23"/>
  <c r="BP176" i="23"/>
  <c r="BO176" i="23"/>
  <c r="BN176" i="23"/>
  <c r="BM176" i="23"/>
  <c r="BL176" i="23"/>
  <c r="BK176" i="23"/>
  <c r="BJ176" i="23"/>
  <c r="BI176" i="23"/>
  <c r="AI176" i="23"/>
  <c r="AE176" i="23"/>
  <c r="AC176" i="23"/>
  <c r="AA176" i="23"/>
  <c r="Y176" i="23"/>
  <c r="W176" i="23"/>
  <c r="U176" i="23"/>
  <c r="S176" i="23"/>
  <c r="Q176" i="23"/>
  <c r="O176" i="23"/>
  <c r="M176" i="23"/>
  <c r="K176" i="23"/>
  <c r="I176" i="23"/>
  <c r="G176" i="23"/>
  <c r="CF175" i="23"/>
  <c r="CE175" i="23"/>
  <c r="CD175" i="23"/>
  <c r="CC175" i="23"/>
  <c r="CB175" i="23"/>
  <c r="CA175" i="23"/>
  <c r="BZ175" i="23"/>
  <c r="BY175" i="23"/>
  <c r="BX175" i="23"/>
  <c r="BW175" i="23"/>
  <c r="BV175" i="23"/>
  <c r="BU175" i="23"/>
  <c r="BT175" i="23"/>
  <c r="BS175" i="23"/>
  <c r="BR175" i="23"/>
  <c r="BQ175" i="23"/>
  <c r="BP175" i="23"/>
  <c r="BO175" i="23"/>
  <c r="BN175" i="23"/>
  <c r="BM175" i="23"/>
  <c r="BL175" i="23"/>
  <c r="BK175" i="23"/>
  <c r="BJ175" i="23"/>
  <c r="BI175" i="23"/>
  <c r="AI175" i="23"/>
  <c r="AE175" i="23"/>
  <c r="AC175" i="23"/>
  <c r="AA175" i="23"/>
  <c r="Y175" i="23"/>
  <c r="W175" i="23"/>
  <c r="U175" i="23"/>
  <c r="S175" i="23"/>
  <c r="Q175" i="23"/>
  <c r="O175" i="23"/>
  <c r="M175" i="23"/>
  <c r="K175" i="23"/>
  <c r="I175" i="23"/>
  <c r="G175" i="23"/>
  <c r="CF174" i="23"/>
  <c r="CE174" i="23"/>
  <c r="CD174" i="23"/>
  <c r="CC174" i="23"/>
  <c r="CB174" i="23"/>
  <c r="CA174" i="23"/>
  <c r="BZ174" i="23"/>
  <c r="BY174" i="23"/>
  <c r="BX174" i="23"/>
  <c r="BW174" i="23"/>
  <c r="BV174" i="23"/>
  <c r="BU174" i="23"/>
  <c r="BT174" i="23"/>
  <c r="BS174" i="23"/>
  <c r="BR174" i="23"/>
  <c r="BQ174" i="23"/>
  <c r="BP174" i="23"/>
  <c r="BO174" i="23"/>
  <c r="BN174" i="23"/>
  <c r="BM174" i="23"/>
  <c r="BL174" i="23"/>
  <c r="BK174" i="23"/>
  <c r="BJ174" i="23"/>
  <c r="BI174" i="23"/>
  <c r="AI174" i="23"/>
  <c r="AE174" i="23"/>
  <c r="AC174" i="23"/>
  <c r="AA174" i="23"/>
  <c r="Y174" i="23"/>
  <c r="W174" i="23"/>
  <c r="U174" i="23"/>
  <c r="S174" i="23"/>
  <c r="Q174" i="23"/>
  <c r="O174" i="23"/>
  <c r="M174" i="23"/>
  <c r="K174" i="23"/>
  <c r="I174" i="23"/>
  <c r="G174" i="23"/>
  <c r="CF173" i="23"/>
  <c r="CE173" i="23"/>
  <c r="CD173" i="23"/>
  <c r="CC173" i="23"/>
  <c r="CB173" i="23"/>
  <c r="CA173" i="23"/>
  <c r="BZ173" i="23"/>
  <c r="BY173" i="23"/>
  <c r="BX173" i="23"/>
  <c r="BW173" i="23"/>
  <c r="BV173" i="23"/>
  <c r="BU173" i="23"/>
  <c r="BT173" i="23"/>
  <c r="BS173" i="23"/>
  <c r="BR173" i="23"/>
  <c r="BQ173" i="23"/>
  <c r="BP173" i="23"/>
  <c r="BO173" i="23"/>
  <c r="BN173" i="23"/>
  <c r="BM173" i="23"/>
  <c r="BL173" i="23"/>
  <c r="BK173" i="23"/>
  <c r="BJ173" i="23"/>
  <c r="BI173" i="23"/>
  <c r="AI173" i="23"/>
  <c r="AE173" i="23"/>
  <c r="AC173" i="23"/>
  <c r="AA173" i="23"/>
  <c r="Y173" i="23"/>
  <c r="W173" i="23"/>
  <c r="U173" i="23"/>
  <c r="S173" i="23"/>
  <c r="Q173" i="23"/>
  <c r="O173" i="23"/>
  <c r="M173" i="23"/>
  <c r="K173" i="23"/>
  <c r="I173" i="23"/>
  <c r="G173" i="23"/>
  <c r="CF172" i="23"/>
  <c r="CE172" i="23"/>
  <c r="CD172" i="23"/>
  <c r="CC172" i="23"/>
  <c r="CB172" i="23"/>
  <c r="CA172" i="23"/>
  <c r="BZ172" i="23"/>
  <c r="BY172" i="23"/>
  <c r="BX172" i="23"/>
  <c r="BW172" i="23"/>
  <c r="BV172" i="23"/>
  <c r="BU172" i="23"/>
  <c r="BT172" i="23"/>
  <c r="BS172" i="23"/>
  <c r="BR172" i="23"/>
  <c r="BQ172" i="23"/>
  <c r="BP172" i="23"/>
  <c r="BO172" i="23"/>
  <c r="BN172" i="23"/>
  <c r="BM172" i="23"/>
  <c r="BL172" i="23"/>
  <c r="BK172" i="23"/>
  <c r="BJ172" i="23"/>
  <c r="BI172" i="23"/>
  <c r="AI172" i="23"/>
  <c r="AE172" i="23"/>
  <c r="AC172" i="23"/>
  <c r="AA172" i="23"/>
  <c r="Y172" i="23"/>
  <c r="W172" i="23"/>
  <c r="U172" i="23"/>
  <c r="S172" i="23"/>
  <c r="Q172" i="23"/>
  <c r="O172" i="23"/>
  <c r="M172" i="23"/>
  <c r="K172" i="23"/>
  <c r="I172" i="23"/>
  <c r="G172" i="23"/>
  <c r="CF171" i="23"/>
  <c r="CE171" i="23"/>
  <c r="CD171" i="23"/>
  <c r="CC171" i="23"/>
  <c r="CB171" i="23"/>
  <c r="CA171" i="23"/>
  <c r="BZ171" i="23"/>
  <c r="BY171" i="23"/>
  <c r="BX171" i="23"/>
  <c r="BW171" i="23"/>
  <c r="BV171" i="23"/>
  <c r="BU171" i="23"/>
  <c r="BT171" i="23"/>
  <c r="BS171" i="23"/>
  <c r="BR171" i="23"/>
  <c r="BQ171" i="23"/>
  <c r="BP171" i="23"/>
  <c r="BO171" i="23"/>
  <c r="BN171" i="23"/>
  <c r="BM171" i="23"/>
  <c r="BL171" i="23"/>
  <c r="BK171" i="23"/>
  <c r="BJ171" i="23"/>
  <c r="BI171" i="23"/>
  <c r="AI171" i="23"/>
  <c r="AE171" i="23"/>
  <c r="AC171" i="23"/>
  <c r="AA171" i="23"/>
  <c r="Y171" i="23"/>
  <c r="W171" i="23"/>
  <c r="U171" i="23"/>
  <c r="S171" i="23"/>
  <c r="Q171" i="23"/>
  <c r="O171" i="23"/>
  <c r="M171" i="23"/>
  <c r="K171" i="23"/>
  <c r="I171" i="23"/>
  <c r="G171" i="23"/>
  <c r="CF170" i="23"/>
  <c r="CE170" i="23"/>
  <c r="CD170" i="23"/>
  <c r="CC170" i="23"/>
  <c r="CB170" i="23"/>
  <c r="CA170" i="23"/>
  <c r="BZ170" i="23"/>
  <c r="BY170" i="23"/>
  <c r="BX170" i="23"/>
  <c r="BW170" i="23"/>
  <c r="BV170" i="23"/>
  <c r="BU170" i="23"/>
  <c r="BT170" i="23"/>
  <c r="BS170" i="23"/>
  <c r="BR170" i="23"/>
  <c r="BQ170" i="23"/>
  <c r="BP170" i="23"/>
  <c r="BO170" i="23"/>
  <c r="BN170" i="23"/>
  <c r="BM170" i="23"/>
  <c r="BL170" i="23"/>
  <c r="BK170" i="23"/>
  <c r="BJ170" i="23"/>
  <c r="BI170" i="23"/>
  <c r="AI170" i="23"/>
  <c r="AE170" i="23"/>
  <c r="AC170" i="23"/>
  <c r="AA170" i="23"/>
  <c r="Y170" i="23"/>
  <c r="W170" i="23"/>
  <c r="U170" i="23"/>
  <c r="S170" i="23"/>
  <c r="Q170" i="23"/>
  <c r="O170" i="23"/>
  <c r="M170" i="23"/>
  <c r="K170" i="23"/>
  <c r="I170" i="23"/>
  <c r="G170" i="23"/>
  <c r="CF169" i="23"/>
  <c r="CE169" i="23"/>
  <c r="CD169" i="23"/>
  <c r="CC169" i="23"/>
  <c r="CB169" i="23"/>
  <c r="CA169" i="23"/>
  <c r="BZ169" i="23"/>
  <c r="BY169" i="23"/>
  <c r="BX169" i="23"/>
  <c r="BW169" i="23"/>
  <c r="BV169" i="23"/>
  <c r="BU169" i="23"/>
  <c r="BT169" i="23"/>
  <c r="BS169" i="23"/>
  <c r="BR169" i="23"/>
  <c r="BQ169" i="23"/>
  <c r="BP169" i="23"/>
  <c r="BO169" i="23"/>
  <c r="BN169" i="23"/>
  <c r="BM169" i="23"/>
  <c r="BL169" i="23"/>
  <c r="BK169" i="23"/>
  <c r="BJ169" i="23"/>
  <c r="BI169" i="23"/>
  <c r="AI169" i="23"/>
  <c r="AE169" i="23"/>
  <c r="AC169" i="23"/>
  <c r="AA169" i="23"/>
  <c r="Y169" i="23"/>
  <c r="W169" i="23"/>
  <c r="U169" i="23"/>
  <c r="S169" i="23"/>
  <c r="Q169" i="23"/>
  <c r="O169" i="23"/>
  <c r="M169" i="23"/>
  <c r="K169" i="23"/>
  <c r="I169" i="23"/>
  <c r="G169" i="23"/>
  <c r="CF168" i="23"/>
  <c r="CE168" i="23"/>
  <c r="CD168" i="23"/>
  <c r="CC168" i="23"/>
  <c r="CB168" i="23"/>
  <c r="CA168" i="23"/>
  <c r="BZ168" i="23"/>
  <c r="BY168" i="23"/>
  <c r="BX168" i="23"/>
  <c r="BW168" i="23"/>
  <c r="BV168" i="23"/>
  <c r="BU168" i="23"/>
  <c r="BT168" i="23"/>
  <c r="BS168" i="23"/>
  <c r="BR168" i="23"/>
  <c r="BQ168" i="23"/>
  <c r="BP168" i="23"/>
  <c r="BO168" i="23"/>
  <c r="BN168" i="23"/>
  <c r="BM168" i="23"/>
  <c r="BL168" i="23"/>
  <c r="BK168" i="23"/>
  <c r="BJ168" i="23"/>
  <c r="BI168" i="23"/>
  <c r="AI168" i="23"/>
  <c r="AE168" i="23"/>
  <c r="AC168" i="23"/>
  <c r="AA168" i="23"/>
  <c r="Y168" i="23"/>
  <c r="W168" i="23"/>
  <c r="U168" i="23"/>
  <c r="S168" i="23"/>
  <c r="Q168" i="23"/>
  <c r="O168" i="23"/>
  <c r="M168" i="23"/>
  <c r="K168" i="23"/>
  <c r="I168" i="23"/>
  <c r="G168" i="23"/>
  <c r="CF167" i="23"/>
  <c r="CE167" i="23"/>
  <c r="CD167" i="23"/>
  <c r="CC167" i="23"/>
  <c r="CB167" i="23"/>
  <c r="CA167" i="23"/>
  <c r="BZ167" i="23"/>
  <c r="BY167" i="23"/>
  <c r="BX167" i="23"/>
  <c r="BW167" i="23"/>
  <c r="BV167" i="23"/>
  <c r="BU167" i="23"/>
  <c r="BT167" i="23"/>
  <c r="BS167" i="23"/>
  <c r="BR167" i="23"/>
  <c r="BQ167" i="23"/>
  <c r="BP167" i="23"/>
  <c r="BO167" i="23"/>
  <c r="BN167" i="23"/>
  <c r="BM167" i="23"/>
  <c r="BL167" i="23"/>
  <c r="BK167" i="23"/>
  <c r="BJ167" i="23"/>
  <c r="BI167" i="23"/>
  <c r="AI167" i="23"/>
  <c r="AE167" i="23"/>
  <c r="AC167" i="23"/>
  <c r="AA167" i="23"/>
  <c r="Y167" i="23"/>
  <c r="W167" i="23"/>
  <c r="U167" i="23"/>
  <c r="S167" i="23"/>
  <c r="Q167" i="23"/>
  <c r="O167" i="23"/>
  <c r="M167" i="23"/>
  <c r="K167" i="23"/>
  <c r="I167" i="23"/>
  <c r="G167" i="23"/>
  <c r="CF166" i="23"/>
  <c r="CE166" i="23"/>
  <c r="CD166" i="23"/>
  <c r="CC166" i="23"/>
  <c r="CB166" i="23"/>
  <c r="CA166" i="23"/>
  <c r="BZ166" i="23"/>
  <c r="BY166" i="23"/>
  <c r="BX166" i="23"/>
  <c r="BW166" i="23"/>
  <c r="BV166" i="23"/>
  <c r="BU166" i="23"/>
  <c r="BT166" i="23"/>
  <c r="BS166" i="23"/>
  <c r="BR166" i="23"/>
  <c r="BQ166" i="23"/>
  <c r="BP166" i="23"/>
  <c r="BO166" i="23"/>
  <c r="BN166" i="23"/>
  <c r="BM166" i="23"/>
  <c r="BL166" i="23"/>
  <c r="BK166" i="23"/>
  <c r="BJ166" i="23"/>
  <c r="BI166" i="23"/>
  <c r="AI166" i="23"/>
  <c r="AE166" i="23"/>
  <c r="AC166" i="23"/>
  <c r="AA166" i="23"/>
  <c r="Y166" i="23"/>
  <c r="W166" i="23"/>
  <c r="U166" i="23"/>
  <c r="S166" i="23"/>
  <c r="Q166" i="23"/>
  <c r="O166" i="23"/>
  <c r="M166" i="23"/>
  <c r="K166" i="23"/>
  <c r="I166" i="23"/>
  <c r="G166" i="23"/>
  <c r="CF165" i="23"/>
  <c r="CE165" i="23"/>
  <c r="CD165" i="23"/>
  <c r="CC165" i="23"/>
  <c r="CB165" i="23"/>
  <c r="CA165" i="23"/>
  <c r="BZ165" i="23"/>
  <c r="BY165" i="23"/>
  <c r="BX165" i="23"/>
  <c r="BW165" i="23"/>
  <c r="BV165" i="23"/>
  <c r="BU165" i="23"/>
  <c r="BT165" i="23"/>
  <c r="BS165" i="23"/>
  <c r="BR165" i="23"/>
  <c r="BQ165" i="23"/>
  <c r="BP165" i="23"/>
  <c r="BO165" i="23"/>
  <c r="BN165" i="23"/>
  <c r="BM165" i="23"/>
  <c r="BL165" i="23"/>
  <c r="BK165" i="23"/>
  <c r="BJ165" i="23"/>
  <c r="BI165" i="23"/>
  <c r="AI165" i="23"/>
  <c r="AE165" i="23"/>
  <c r="AC165" i="23"/>
  <c r="AA165" i="23"/>
  <c r="Y165" i="23"/>
  <c r="W165" i="23"/>
  <c r="U165" i="23"/>
  <c r="S165" i="23"/>
  <c r="Q165" i="23"/>
  <c r="O165" i="23"/>
  <c r="M165" i="23"/>
  <c r="K165" i="23"/>
  <c r="I165" i="23"/>
  <c r="G165" i="23"/>
  <c r="CF164" i="23"/>
  <c r="CE164" i="23"/>
  <c r="CD164" i="23"/>
  <c r="CC164" i="23"/>
  <c r="CB164" i="23"/>
  <c r="CA164" i="23"/>
  <c r="BZ164" i="23"/>
  <c r="BY164" i="23"/>
  <c r="BX164" i="23"/>
  <c r="BW164" i="23"/>
  <c r="BV164" i="23"/>
  <c r="BU164" i="23"/>
  <c r="BT164" i="23"/>
  <c r="BS164" i="23"/>
  <c r="BR164" i="23"/>
  <c r="BQ164" i="23"/>
  <c r="BP164" i="23"/>
  <c r="BO164" i="23"/>
  <c r="BN164" i="23"/>
  <c r="BM164" i="23"/>
  <c r="BL164" i="23"/>
  <c r="BK164" i="23"/>
  <c r="BJ164" i="23"/>
  <c r="BI164" i="23"/>
  <c r="AI164" i="23"/>
  <c r="AE164" i="23"/>
  <c r="AC164" i="23"/>
  <c r="AA164" i="23"/>
  <c r="Y164" i="23"/>
  <c r="W164" i="23"/>
  <c r="U164" i="23"/>
  <c r="S164" i="23"/>
  <c r="Q164" i="23"/>
  <c r="O164" i="23"/>
  <c r="M164" i="23"/>
  <c r="K164" i="23"/>
  <c r="I164" i="23"/>
  <c r="G164" i="23"/>
  <c r="CF163" i="23"/>
  <c r="CE163" i="23"/>
  <c r="CD163" i="23"/>
  <c r="CC163" i="23"/>
  <c r="CB163" i="23"/>
  <c r="CA163" i="23"/>
  <c r="BZ163" i="23"/>
  <c r="BY163" i="23"/>
  <c r="BX163" i="23"/>
  <c r="BW163" i="23"/>
  <c r="BU163" i="23"/>
  <c r="BT163" i="23"/>
  <c r="BS163" i="23"/>
  <c r="BR163" i="23"/>
  <c r="BQ163" i="23"/>
  <c r="BP163" i="23"/>
  <c r="BO163" i="23"/>
  <c r="BN163" i="23"/>
  <c r="BM163" i="23"/>
  <c r="BL163" i="23"/>
  <c r="BK163" i="23"/>
  <c r="BJ163" i="23"/>
  <c r="BI163" i="23"/>
  <c r="AE163" i="23"/>
  <c r="AC163" i="23"/>
  <c r="AA163" i="23"/>
  <c r="Y163" i="23"/>
  <c r="W163" i="23"/>
  <c r="U163" i="23"/>
  <c r="S163" i="23"/>
  <c r="Q163" i="23"/>
  <c r="O163" i="23"/>
  <c r="M163" i="23"/>
  <c r="K163" i="23"/>
  <c r="I163" i="23"/>
  <c r="G163" i="23"/>
  <c r="CF162" i="23"/>
  <c r="CE162" i="23"/>
  <c r="CD162" i="23"/>
  <c r="CC162" i="23"/>
  <c r="CB162" i="23"/>
  <c r="CA162" i="23"/>
  <c r="BZ162" i="23"/>
  <c r="BY162" i="23"/>
  <c r="BX162" i="23"/>
  <c r="BW162" i="23"/>
  <c r="BU162" i="23"/>
  <c r="BT162" i="23"/>
  <c r="BS162" i="23"/>
  <c r="BR162" i="23"/>
  <c r="BQ162" i="23"/>
  <c r="BP162" i="23"/>
  <c r="BO162" i="23"/>
  <c r="BN162" i="23"/>
  <c r="BM162" i="23"/>
  <c r="BL162" i="23"/>
  <c r="BK162" i="23"/>
  <c r="BJ162" i="23"/>
  <c r="BI162" i="23"/>
  <c r="AE162" i="23"/>
  <c r="AC162" i="23"/>
  <c r="AA162" i="23"/>
  <c r="Y162" i="23"/>
  <c r="W162" i="23"/>
  <c r="U162" i="23"/>
  <c r="S162" i="23"/>
  <c r="Q162" i="23"/>
  <c r="O162" i="23"/>
  <c r="M162" i="23"/>
  <c r="K162" i="23"/>
  <c r="I162" i="23"/>
  <c r="G162" i="23"/>
  <c r="CF161" i="23"/>
  <c r="CE161" i="23"/>
  <c r="CD161" i="23"/>
  <c r="CC161" i="23"/>
  <c r="CB161" i="23"/>
  <c r="CA161" i="23"/>
  <c r="BZ161" i="23"/>
  <c r="BY161" i="23"/>
  <c r="BX161" i="23"/>
  <c r="BW161" i="23"/>
  <c r="BU161" i="23"/>
  <c r="BT161" i="23"/>
  <c r="BS161" i="23"/>
  <c r="BR161" i="23"/>
  <c r="BQ161" i="23"/>
  <c r="BP161" i="23"/>
  <c r="BO161" i="23"/>
  <c r="BN161" i="23"/>
  <c r="BM161" i="23"/>
  <c r="BL161" i="23"/>
  <c r="BK161" i="23"/>
  <c r="BJ161" i="23"/>
  <c r="BI161" i="23"/>
  <c r="AE161" i="23"/>
  <c r="AC161" i="23"/>
  <c r="AA161" i="23"/>
  <c r="Y161" i="23"/>
  <c r="W161" i="23"/>
  <c r="U161" i="23"/>
  <c r="S161" i="23"/>
  <c r="Q161" i="23"/>
  <c r="O161" i="23"/>
  <c r="M161" i="23"/>
  <c r="K161" i="23"/>
  <c r="I161" i="23"/>
  <c r="G161" i="23"/>
  <c r="CF160" i="23"/>
  <c r="CE160" i="23"/>
  <c r="CD160" i="23"/>
  <c r="CC160" i="23"/>
  <c r="CB160" i="23"/>
  <c r="CA160" i="23"/>
  <c r="BZ160" i="23"/>
  <c r="BY160" i="23"/>
  <c r="BX160" i="23"/>
  <c r="BW160" i="23"/>
  <c r="BV160" i="23"/>
  <c r="BU160" i="23"/>
  <c r="BT160" i="23"/>
  <c r="BS160" i="23"/>
  <c r="BR160" i="23"/>
  <c r="BQ160" i="23"/>
  <c r="BP160" i="23"/>
  <c r="BO160" i="23"/>
  <c r="BN160" i="23"/>
  <c r="BM160" i="23"/>
  <c r="BL160" i="23"/>
  <c r="BK160" i="23"/>
  <c r="BJ160" i="23"/>
  <c r="BI160" i="23"/>
  <c r="AI160" i="23"/>
  <c r="AE160" i="23"/>
  <c r="AC160" i="23"/>
  <c r="AA160" i="23"/>
  <c r="Y160" i="23"/>
  <c r="W160" i="23"/>
  <c r="U160" i="23"/>
  <c r="S160" i="23"/>
  <c r="Q160" i="23"/>
  <c r="O160" i="23"/>
  <c r="M160" i="23"/>
  <c r="K160" i="23"/>
  <c r="I160" i="23"/>
  <c r="G160" i="23"/>
  <c r="CF159" i="23"/>
  <c r="CE159" i="23"/>
  <c r="CD159" i="23"/>
  <c r="CC159" i="23"/>
  <c r="CB159" i="23"/>
  <c r="CA159" i="23"/>
  <c r="BZ159" i="23"/>
  <c r="BY159" i="23"/>
  <c r="BX159" i="23"/>
  <c r="BW159" i="23"/>
  <c r="BV159" i="23"/>
  <c r="BU159" i="23"/>
  <c r="BT159" i="23"/>
  <c r="BS159" i="23"/>
  <c r="BR159" i="23"/>
  <c r="BQ159" i="23"/>
  <c r="BP159" i="23"/>
  <c r="BO159" i="23"/>
  <c r="BN159" i="23"/>
  <c r="BM159" i="23"/>
  <c r="BL159" i="23"/>
  <c r="BK159" i="23"/>
  <c r="BJ159" i="23"/>
  <c r="BI159" i="23"/>
  <c r="AI159" i="23"/>
  <c r="AE159" i="23"/>
  <c r="AC159" i="23"/>
  <c r="AA159" i="23"/>
  <c r="Y159" i="23"/>
  <c r="W159" i="23"/>
  <c r="U159" i="23"/>
  <c r="S159" i="23"/>
  <c r="Q159" i="23"/>
  <c r="O159" i="23"/>
  <c r="M159" i="23"/>
  <c r="K159" i="23"/>
  <c r="I159" i="23"/>
  <c r="G159" i="23"/>
  <c r="CF158" i="23"/>
  <c r="CE158" i="23"/>
  <c r="CD158" i="23"/>
  <c r="CC158" i="23"/>
  <c r="CB158" i="23"/>
  <c r="CA158" i="23"/>
  <c r="BZ158" i="23"/>
  <c r="BY158" i="23"/>
  <c r="BX158" i="23"/>
  <c r="BW158" i="23"/>
  <c r="BV158" i="23"/>
  <c r="BU158" i="23"/>
  <c r="BT158" i="23"/>
  <c r="BS158" i="23"/>
  <c r="BR158" i="23"/>
  <c r="BQ158" i="23"/>
  <c r="BP158" i="23"/>
  <c r="BO158" i="23"/>
  <c r="BN158" i="23"/>
  <c r="BM158" i="23"/>
  <c r="BL158" i="23"/>
  <c r="BK158" i="23"/>
  <c r="BJ158" i="23"/>
  <c r="BI158" i="23"/>
  <c r="AI158" i="23"/>
  <c r="AE158" i="23"/>
  <c r="AC158" i="23"/>
  <c r="AA158" i="23"/>
  <c r="Y158" i="23"/>
  <c r="W158" i="23"/>
  <c r="U158" i="23"/>
  <c r="S158" i="23"/>
  <c r="Q158" i="23"/>
  <c r="O158" i="23"/>
  <c r="M158" i="23"/>
  <c r="K158" i="23"/>
  <c r="I158" i="23"/>
  <c r="G158" i="23"/>
  <c r="CF157" i="23"/>
  <c r="CE157" i="23"/>
  <c r="CD157" i="23"/>
  <c r="CC157" i="23"/>
  <c r="CB157" i="23"/>
  <c r="CA157" i="23"/>
  <c r="BZ157" i="23"/>
  <c r="BY157" i="23"/>
  <c r="BX157" i="23"/>
  <c r="BW157" i="23"/>
  <c r="BV157" i="23"/>
  <c r="BU157" i="23"/>
  <c r="BT157" i="23"/>
  <c r="BS157" i="23"/>
  <c r="BR157" i="23"/>
  <c r="BQ157" i="23"/>
  <c r="BP157" i="23"/>
  <c r="BO157" i="23"/>
  <c r="BN157" i="23"/>
  <c r="BM157" i="23"/>
  <c r="BL157" i="23"/>
  <c r="BK157" i="23"/>
  <c r="BJ157" i="23"/>
  <c r="BI157" i="23"/>
  <c r="AI157" i="23"/>
  <c r="AE157" i="23"/>
  <c r="AC157" i="23"/>
  <c r="AA157" i="23"/>
  <c r="Y157" i="23"/>
  <c r="W157" i="23"/>
  <c r="U157" i="23"/>
  <c r="S157" i="23"/>
  <c r="Q157" i="23"/>
  <c r="O157" i="23"/>
  <c r="M157" i="23"/>
  <c r="K157" i="23"/>
  <c r="I157" i="23"/>
  <c r="G157" i="23"/>
  <c r="CF156" i="23"/>
  <c r="CE156" i="23"/>
  <c r="CD156" i="23"/>
  <c r="CC156" i="23"/>
  <c r="CB156" i="23"/>
  <c r="CA156" i="23"/>
  <c r="BZ156" i="23"/>
  <c r="BY156" i="23"/>
  <c r="BX156" i="23"/>
  <c r="BW156" i="23"/>
  <c r="BV156" i="23"/>
  <c r="BU156" i="23"/>
  <c r="BT156" i="23"/>
  <c r="BS156" i="23"/>
  <c r="BR156" i="23"/>
  <c r="BQ156" i="23"/>
  <c r="BP156" i="23"/>
  <c r="BO156" i="23"/>
  <c r="BN156" i="23"/>
  <c r="BM156" i="23"/>
  <c r="BL156" i="23"/>
  <c r="BK156" i="23"/>
  <c r="BJ156" i="23"/>
  <c r="BI156" i="23"/>
  <c r="AI156" i="23"/>
  <c r="AE156" i="23"/>
  <c r="AC156" i="23"/>
  <c r="AA156" i="23"/>
  <c r="Y156" i="23"/>
  <c r="W156" i="23"/>
  <c r="U156" i="23"/>
  <c r="S156" i="23"/>
  <c r="Q156" i="23"/>
  <c r="O156" i="23"/>
  <c r="M156" i="23"/>
  <c r="K156" i="23"/>
  <c r="I156" i="23"/>
  <c r="G156" i="23"/>
  <c r="CF155" i="23"/>
  <c r="CE155" i="23"/>
  <c r="CD155" i="23"/>
  <c r="CC155" i="23"/>
  <c r="CB155" i="23"/>
  <c r="CA155" i="23"/>
  <c r="BZ155" i="23"/>
  <c r="BY155" i="23"/>
  <c r="BX155" i="23"/>
  <c r="BW155" i="23"/>
  <c r="BV155" i="23"/>
  <c r="BU155" i="23"/>
  <c r="BT155" i="23"/>
  <c r="BS155" i="23"/>
  <c r="BR155" i="23"/>
  <c r="BQ155" i="23"/>
  <c r="BP155" i="23"/>
  <c r="BO155" i="23"/>
  <c r="BN155" i="23"/>
  <c r="BM155" i="23"/>
  <c r="BL155" i="23"/>
  <c r="BK155" i="23"/>
  <c r="BJ155" i="23"/>
  <c r="BI155" i="23"/>
  <c r="AI155" i="23"/>
  <c r="AE155" i="23"/>
  <c r="AC155" i="23"/>
  <c r="AA155" i="23"/>
  <c r="Y155" i="23"/>
  <c r="W155" i="23"/>
  <c r="U155" i="23"/>
  <c r="S155" i="23"/>
  <c r="Q155" i="23"/>
  <c r="O155" i="23"/>
  <c r="M155" i="23"/>
  <c r="K155" i="23"/>
  <c r="I155" i="23"/>
  <c r="G155" i="23"/>
  <c r="CF154" i="23"/>
  <c r="CE154" i="23"/>
  <c r="CD154" i="23"/>
  <c r="CC154" i="23"/>
  <c r="CB154" i="23"/>
  <c r="CA154" i="23"/>
  <c r="BZ154" i="23"/>
  <c r="BY154" i="23"/>
  <c r="BX154" i="23"/>
  <c r="BW154" i="23"/>
  <c r="BV154" i="23"/>
  <c r="BU154" i="23"/>
  <c r="BT154" i="23"/>
  <c r="BS154" i="23"/>
  <c r="BR154" i="23"/>
  <c r="BQ154" i="23"/>
  <c r="BP154" i="23"/>
  <c r="BO154" i="23"/>
  <c r="BN154" i="23"/>
  <c r="BM154" i="23"/>
  <c r="BL154" i="23"/>
  <c r="BK154" i="23"/>
  <c r="BJ154" i="23"/>
  <c r="BI154" i="23"/>
  <c r="AI154" i="23"/>
  <c r="AE154" i="23"/>
  <c r="AC154" i="23"/>
  <c r="AA154" i="23"/>
  <c r="Y154" i="23"/>
  <c r="W154" i="23"/>
  <c r="U154" i="23"/>
  <c r="S154" i="23"/>
  <c r="Q154" i="23"/>
  <c r="O154" i="23"/>
  <c r="M154" i="23"/>
  <c r="K154" i="23"/>
  <c r="I154" i="23"/>
  <c r="G154" i="23"/>
  <c r="CF153" i="23"/>
  <c r="CE153" i="23"/>
  <c r="CD153" i="23"/>
  <c r="CC153" i="23"/>
  <c r="CB153" i="23"/>
  <c r="CA153" i="23"/>
  <c r="BZ153" i="23"/>
  <c r="BY153" i="23"/>
  <c r="BX153" i="23"/>
  <c r="BW153" i="23"/>
  <c r="BU153" i="23"/>
  <c r="BT153" i="23"/>
  <c r="BS153" i="23"/>
  <c r="BR153" i="23"/>
  <c r="BQ153" i="23"/>
  <c r="BP153" i="23"/>
  <c r="BO153" i="23"/>
  <c r="BN153" i="23"/>
  <c r="BM153" i="23"/>
  <c r="BL153" i="23"/>
  <c r="BK153" i="23"/>
  <c r="BJ153" i="23"/>
  <c r="BI153" i="23"/>
  <c r="AE153" i="23"/>
  <c r="AC153" i="23"/>
  <c r="AA153" i="23"/>
  <c r="Y153" i="23"/>
  <c r="W153" i="23"/>
  <c r="U153" i="23"/>
  <c r="S153" i="23"/>
  <c r="Q153" i="23"/>
  <c r="O153" i="23"/>
  <c r="M153" i="23"/>
  <c r="K153" i="23"/>
  <c r="I153" i="23"/>
  <c r="G153" i="23"/>
  <c r="CF152" i="23"/>
  <c r="CE152" i="23"/>
  <c r="CD152" i="23"/>
  <c r="CC152" i="23"/>
  <c r="CB152" i="23"/>
  <c r="CA152" i="23"/>
  <c r="BZ152" i="23"/>
  <c r="BY152" i="23"/>
  <c r="BX152" i="23"/>
  <c r="BW152" i="23"/>
  <c r="BU152" i="23"/>
  <c r="BT152" i="23"/>
  <c r="BS152" i="23"/>
  <c r="BR152" i="23"/>
  <c r="BQ152" i="23"/>
  <c r="BP152" i="23"/>
  <c r="BO152" i="23"/>
  <c r="BN152" i="23"/>
  <c r="BM152" i="23"/>
  <c r="BL152" i="23"/>
  <c r="BK152" i="23"/>
  <c r="BJ152" i="23"/>
  <c r="BI152" i="23"/>
  <c r="AE152" i="23"/>
  <c r="AC152" i="23"/>
  <c r="AA152" i="23"/>
  <c r="Y152" i="23"/>
  <c r="W152" i="23"/>
  <c r="U152" i="23"/>
  <c r="S152" i="23"/>
  <c r="Q152" i="23"/>
  <c r="O152" i="23"/>
  <c r="M152" i="23"/>
  <c r="K152" i="23"/>
  <c r="I152" i="23"/>
  <c r="G152" i="23"/>
  <c r="CF151" i="23"/>
  <c r="CE151" i="23"/>
  <c r="CD151" i="23"/>
  <c r="CC151" i="23"/>
  <c r="CB151" i="23"/>
  <c r="CA151" i="23"/>
  <c r="BZ151" i="23"/>
  <c r="BY151" i="23"/>
  <c r="BX151" i="23"/>
  <c r="BW151" i="23"/>
  <c r="BU151" i="23"/>
  <c r="BT151" i="23"/>
  <c r="BS151" i="23"/>
  <c r="BR151" i="23"/>
  <c r="BQ151" i="23"/>
  <c r="BP151" i="23"/>
  <c r="BO151" i="23"/>
  <c r="BN151" i="23"/>
  <c r="BM151" i="23"/>
  <c r="BL151" i="23"/>
  <c r="BK151" i="23"/>
  <c r="BJ151" i="23"/>
  <c r="BI151" i="23"/>
  <c r="AE151" i="23"/>
  <c r="AC151" i="23"/>
  <c r="AA151" i="23"/>
  <c r="Y151" i="23"/>
  <c r="W151" i="23"/>
  <c r="U151" i="23"/>
  <c r="S151" i="23"/>
  <c r="Q151" i="23"/>
  <c r="O151" i="23"/>
  <c r="M151" i="23"/>
  <c r="K151" i="23"/>
  <c r="I151" i="23"/>
  <c r="G151" i="23"/>
  <c r="CF150" i="23"/>
  <c r="CE150" i="23"/>
  <c r="CD150" i="23"/>
  <c r="CC150" i="23"/>
  <c r="CB150" i="23"/>
  <c r="CA150" i="23"/>
  <c r="BZ150" i="23"/>
  <c r="BY150" i="23"/>
  <c r="BX150" i="23"/>
  <c r="BW150" i="23"/>
  <c r="BU150" i="23"/>
  <c r="BT150" i="23"/>
  <c r="BS150" i="23"/>
  <c r="BR150" i="23"/>
  <c r="BQ150" i="23"/>
  <c r="BP150" i="23"/>
  <c r="BO150" i="23"/>
  <c r="BN150" i="23"/>
  <c r="BM150" i="23"/>
  <c r="BL150" i="23"/>
  <c r="BK150" i="23"/>
  <c r="BJ150" i="23"/>
  <c r="BI150" i="23"/>
  <c r="AE150" i="23"/>
  <c r="AC150" i="23"/>
  <c r="AA150" i="23"/>
  <c r="Y150" i="23"/>
  <c r="W150" i="23"/>
  <c r="U150" i="23"/>
  <c r="S150" i="23"/>
  <c r="Q150" i="23"/>
  <c r="O150" i="23"/>
  <c r="M150" i="23"/>
  <c r="K150" i="23"/>
  <c r="I150" i="23"/>
  <c r="G150" i="23"/>
  <c r="CF149" i="23"/>
  <c r="CE149" i="23"/>
  <c r="CD149" i="23"/>
  <c r="CC149" i="23"/>
  <c r="CB149" i="23"/>
  <c r="CA149" i="23"/>
  <c r="BZ149" i="23"/>
  <c r="BY149" i="23"/>
  <c r="BX149" i="23"/>
  <c r="BW149" i="23"/>
  <c r="BU149" i="23"/>
  <c r="BT149" i="23"/>
  <c r="BS149" i="23"/>
  <c r="BR149" i="23"/>
  <c r="BQ149" i="23"/>
  <c r="BP149" i="23"/>
  <c r="BO149" i="23"/>
  <c r="BN149" i="23"/>
  <c r="BM149" i="23"/>
  <c r="BL149" i="23"/>
  <c r="BK149" i="23"/>
  <c r="BJ149" i="23"/>
  <c r="BI149" i="23"/>
  <c r="AE149" i="23"/>
  <c r="AC149" i="23"/>
  <c r="AA149" i="23"/>
  <c r="Y149" i="23"/>
  <c r="W149" i="23"/>
  <c r="U149" i="23"/>
  <c r="S149" i="23"/>
  <c r="Q149" i="23"/>
  <c r="O149" i="23"/>
  <c r="M149" i="23"/>
  <c r="K149" i="23"/>
  <c r="I149" i="23"/>
  <c r="G149" i="23"/>
  <c r="CF148" i="23"/>
  <c r="CE148" i="23"/>
  <c r="CD148" i="23"/>
  <c r="CC148" i="23"/>
  <c r="CB148" i="23"/>
  <c r="CA148" i="23"/>
  <c r="BZ148" i="23"/>
  <c r="BY148" i="23"/>
  <c r="BX148" i="23"/>
  <c r="BW148" i="23"/>
  <c r="BV148" i="23"/>
  <c r="BU148" i="23"/>
  <c r="BT148" i="23"/>
  <c r="BS148" i="23"/>
  <c r="BR148" i="23"/>
  <c r="BQ148" i="23"/>
  <c r="BP148" i="23"/>
  <c r="BO148" i="23"/>
  <c r="BN148" i="23"/>
  <c r="BM148" i="23"/>
  <c r="BL148" i="23"/>
  <c r="BK148" i="23"/>
  <c r="BJ148" i="23"/>
  <c r="BI148" i="23"/>
  <c r="AI148" i="23"/>
  <c r="AE148" i="23"/>
  <c r="AC148" i="23"/>
  <c r="AA148" i="23"/>
  <c r="Y148" i="23"/>
  <c r="W148" i="23"/>
  <c r="U148" i="23"/>
  <c r="S148" i="23"/>
  <c r="Q148" i="23"/>
  <c r="O148" i="23"/>
  <c r="M148" i="23"/>
  <c r="K148" i="23"/>
  <c r="I148" i="23"/>
  <c r="G148" i="23"/>
  <c r="CF147" i="23"/>
  <c r="CE147" i="23"/>
  <c r="CD147" i="23"/>
  <c r="CC147" i="23"/>
  <c r="CB147" i="23"/>
  <c r="CA147" i="23"/>
  <c r="BZ147" i="23"/>
  <c r="BY147" i="23"/>
  <c r="BX147" i="23"/>
  <c r="BW147" i="23"/>
  <c r="BV147" i="23"/>
  <c r="BU147" i="23"/>
  <c r="BT147" i="23"/>
  <c r="BS147" i="23"/>
  <c r="BR147" i="23"/>
  <c r="BQ147" i="23"/>
  <c r="BP147" i="23"/>
  <c r="BO147" i="23"/>
  <c r="BN147" i="23"/>
  <c r="BM147" i="23"/>
  <c r="BL147" i="23"/>
  <c r="BK147" i="23"/>
  <c r="BJ147" i="23"/>
  <c r="BI147" i="23"/>
  <c r="AI147" i="23"/>
  <c r="AE147" i="23"/>
  <c r="AC147" i="23"/>
  <c r="AA147" i="23"/>
  <c r="Y147" i="23"/>
  <c r="W147" i="23"/>
  <c r="U147" i="23"/>
  <c r="S147" i="23"/>
  <c r="Q147" i="23"/>
  <c r="O147" i="23"/>
  <c r="M147" i="23"/>
  <c r="K147" i="23"/>
  <c r="I147" i="23"/>
  <c r="G147" i="23"/>
  <c r="CF146" i="23"/>
  <c r="CE146" i="23"/>
  <c r="CD146" i="23"/>
  <c r="CC146" i="23"/>
  <c r="CB146" i="23"/>
  <c r="CA146" i="23"/>
  <c r="BZ146" i="23"/>
  <c r="BY146" i="23"/>
  <c r="BX146" i="23"/>
  <c r="BW146" i="23"/>
  <c r="BV146" i="23"/>
  <c r="BU146" i="23"/>
  <c r="BT146" i="23"/>
  <c r="BS146" i="23"/>
  <c r="BR146" i="23"/>
  <c r="BQ146" i="23"/>
  <c r="BP146" i="23"/>
  <c r="BO146" i="23"/>
  <c r="BN146" i="23"/>
  <c r="BM146" i="23"/>
  <c r="BL146" i="23"/>
  <c r="BK146" i="23"/>
  <c r="BJ146" i="23"/>
  <c r="BI146" i="23"/>
  <c r="AI146" i="23"/>
  <c r="AE146" i="23"/>
  <c r="AC146" i="23"/>
  <c r="AA146" i="23"/>
  <c r="Y146" i="23"/>
  <c r="W146" i="23"/>
  <c r="U146" i="23"/>
  <c r="S146" i="23"/>
  <c r="Q146" i="23"/>
  <c r="O146" i="23"/>
  <c r="M146" i="23"/>
  <c r="K146" i="23"/>
  <c r="I146" i="23"/>
  <c r="G146" i="23"/>
  <c r="CF145" i="23"/>
  <c r="CE145" i="23"/>
  <c r="CD145" i="23"/>
  <c r="CC145" i="23"/>
  <c r="CB145" i="23"/>
  <c r="CA145" i="23"/>
  <c r="BZ145" i="23"/>
  <c r="BY145" i="23"/>
  <c r="BX145" i="23"/>
  <c r="BW145" i="23"/>
  <c r="BV145" i="23"/>
  <c r="BU145" i="23"/>
  <c r="BT145" i="23"/>
  <c r="BS145" i="23"/>
  <c r="BR145" i="23"/>
  <c r="BQ145" i="23"/>
  <c r="BP145" i="23"/>
  <c r="BO145" i="23"/>
  <c r="BN145" i="23"/>
  <c r="BM145" i="23"/>
  <c r="BL145" i="23"/>
  <c r="BK145" i="23"/>
  <c r="BJ145" i="23"/>
  <c r="BI145" i="23"/>
  <c r="AI145" i="23"/>
  <c r="AE145" i="23"/>
  <c r="AC145" i="23"/>
  <c r="AA145" i="23"/>
  <c r="Y145" i="23"/>
  <c r="W145" i="23"/>
  <c r="U145" i="23"/>
  <c r="S145" i="23"/>
  <c r="Q145" i="23"/>
  <c r="O145" i="23"/>
  <c r="M145" i="23"/>
  <c r="K145" i="23"/>
  <c r="I145" i="23"/>
  <c r="G145" i="23"/>
  <c r="CF143" i="23"/>
  <c r="CE143" i="23"/>
  <c r="CD143" i="23"/>
  <c r="CC143" i="23"/>
  <c r="CB143" i="23"/>
  <c r="CA143" i="23"/>
  <c r="BZ143" i="23"/>
  <c r="BY143" i="23"/>
  <c r="BX143" i="23"/>
  <c r="BW143" i="23"/>
  <c r="BV143" i="23"/>
  <c r="BU143" i="23"/>
  <c r="BT143" i="23"/>
  <c r="BS143" i="23"/>
  <c r="BR143" i="23"/>
  <c r="BQ143" i="23"/>
  <c r="BP143" i="23"/>
  <c r="BO143" i="23"/>
  <c r="BN143" i="23"/>
  <c r="BM143" i="23"/>
  <c r="BL143" i="23"/>
  <c r="BK143" i="23"/>
  <c r="BJ143" i="23"/>
  <c r="BI143" i="23"/>
  <c r="AI143" i="23"/>
  <c r="AE143" i="23"/>
  <c r="AC143" i="23"/>
  <c r="AA143" i="23"/>
  <c r="Y143" i="23"/>
  <c r="W143" i="23"/>
  <c r="U143" i="23"/>
  <c r="S143" i="23"/>
  <c r="Q143" i="23"/>
  <c r="O143" i="23"/>
  <c r="M143" i="23"/>
  <c r="K143" i="23"/>
  <c r="I143" i="23"/>
  <c r="G143" i="23"/>
  <c r="CF142" i="23"/>
  <c r="CE142" i="23"/>
  <c r="CD142" i="23"/>
  <c r="CC142" i="23"/>
  <c r="CB142" i="23"/>
  <c r="CA142" i="23"/>
  <c r="BZ142" i="23"/>
  <c r="BY142" i="23"/>
  <c r="BX142" i="23"/>
  <c r="BW142" i="23"/>
  <c r="BU142" i="23"/>
  <c r="BT142" i="23"/>
  <c r="BS142" i="23"/>
  <c r="BR142" i="23"/>
  <c r="BQ142" i="23"/>
  <c r="BP142" i="23"/>
  <c r="BO142" i="23"/>
  <c r="BN142" i="23"/>
  <c r="BM142" i="23"/>
  <c r="BL142" i="23"/>
  <c r="BK142" i="23"/>
  <c r="BJ142" i="23"/>
  <c r="BI142" i="23"/>
  <c r="AE142" i="23"/>
  <c r="AC142" i="23"/>
  <c r="AA142" i="23"/>
  <c r="Y142" i="23"/>
  <c r="W142" i="23"/>
  <c r="U142" i="23"/>
  <c r="S142" i="23"/>
  <c r="Q142" i="23"/>
  <c r="O142" i="23"/>
  <c r="M142" i="23"/>
  <c r="K142" i="23"/>
  <c r="I142" i="23"/>
  <c r="G142" i="23"/>
  <c r="CF141" i="23"/>
  <c r="CE141" i="23"/>
  <c r="CD141" i="23"/>
  <c r="CC141" i="23"/>
  <c r="CB141" i="23"/>
  <c r="CA141" i="23"/>
  <c r="BZ141" i="23"/>
  <c r="BY141" i="23"/>
  <c r="BX141" i="23"/>
  <c r="BW141" i="23"/>
  <c r="BU141" i="23"/>
  <c r="BT141" i="23"/>
  <c r="BS141" i="23"/>
  <c r="BR141" i="23"/>
  <c r="BQ141" i="23"/>
  <c r="BP141" i="23"/>
  <c r="BO141" i="23"/>
  <c r="BN141" i="23"/>
  <c r="BM141" i="23"/>
  <c r="BL141" i="23"/>
  <c r="BK141" i="23"/>
  <c r="BJ141" i="23"/>
  <c r="BI141" i="23"/>
  <c r="AE141" i="23"/>
  <c r="AC141" i="23"/>
  <c r="AA141" i="23"/>
  <c r="Y141" i="23"/>
  <c r="W141" i="23"/>
  <c r="U141" i="23"/>
  <c r="S141" i="23"/>
  <c r="Q141" i="23"/>
  <c r="O141" i="23"/>
  <c r="M141" i="23"/>
  <c r="K141" i="23"/>
  <c r="I141" i="23"/>
  <c r="G141" i="23"/>
  <c r="CF140" i="23"/>
  <c r="CE140" i="23"/>
  <c r="CD140" i="23"/>
  <c r="CC140" i="23"/>
  <c r="CB140" i="23"/>
  <c r="CA140" i="23"/>
  <c r="BZ140" i="23"/>
  <c r="BY140" i="23"/>
  <c r="BX140" i="23"/>
  <c r="BW140" i="23"/>
  <c r="BU140" i="23"/>
  <c r="BT140" i="23"/>
  <c r="BS140" i="23"/>
  <c r="BR140" i="23"/>
  <c r="BQ140" i="23"/>
  <c r="BP140" i="23"/>
  <c r="BO140" i="23"/>
  <c r="BN140" i="23"/>
  <c r="BM140" i="23"/>
  <c r="BL140" i="23"/>
  <c r="BK140" i="23"/>
  <c r="BJ140" i="23"/>
  <c r="BI140" i="23"/>
  <c r="AE140" i="23"/>
  <c r="AC140" i="23"/>
  <c r="AA140" i="23"/>
  <c r="Y140" i="23"/>
  <c r="W140" i="23"/>
  <c r="U140" i="23"/>
  <c r="S140" i="23"/>
  <c r="Q140" i="23"/>
  <c r="O140" i="23"/>
  <c r="M140" i="23"/>
  <c r="K140" i="23"/>
  <c r="I140" i="23"/>
  <c r="G140" i="23"/>
  <c r="CF139" i="23"/>
  <c r="CE139" i="23"/>
  <c r="CD139" i="23"/>
  <c r="CC139" i="23"/>
  <c r="CB139" i="23"/>
  <c r="CA139" i="23"/>
  <c r="BZ139" i="23"/>
  <c r="BY139" i="23"/>
  <c r="BX139" i="23"/>
  <c r="BW139" i="23"/>
  <c r="BU139" i="23"/>
  <c r="BT139" i="23"/>
  <c r="BS139" i="23"/>
  <c r="BR139" i="23"/>
  <c r="BQ139" i="23"/>
  <c r="BP139" i="23"/>
  <c r="BO139" i="23"/>
  <c r="BN139" i="23"/>
  <c r="BM139" i="23"/>
  <c r="BL139" i="23"/>
  <c r="BK139" i="23"/>
  <c r="BJ139" i="23"/>
  <c r="BI139" i="23"/>
  <c r="AE139" i="23"/>
  <c r="AC139" i="23"/>
  <c r="AA139" i="23"/>
  <c r="Y139" i="23"/>
  <c r="W139" i="23"/>
  <c r="U139" i="23"/>
  <c r="S139" i="23"/>
  <c r="Q139" i="23"/>
  <c r="O139" i="23"/>
  <c r="M139" i="23"/>
  <c r="K139" i="23"/>
  <c r="I139" i="23"/>
  <c r="G139" i="23"/>
  <c r="CF138" i="23"/>
  <c r="CE138" i="23"/>
  <c r="CD138" i="23"/>
  <c r="CC138" i="23"/>
  <c r="CB138" i="23"/>
  <c r="CA138" i="23"/>
  <c r="BZ138" i="23"/>
  <c r="BY138" i="23"/>
  <c r="BX138" i="23"/>
  <c r="BW138" i="23"/>
  <c r="BU138" i="23"/>
  <c r="BT138" i="23"/>
  <c r="BS138" i="23"/>
  <c r="BR138" i="23"/>
  <c r="BQ138" i="23"/>
  <c r="BP138" i="23"/>
  <c r="BO138" i="23"/>
  <c r="BN138" i="23"/>
  <c r="BM138" i="23"/>
  <c r="BL138" i="23"/>
  <c r="BK138" i="23"/>
  <c r="BJ138" i="23"/>
  <c r="BI138" i="23"/>
  <c r="AE138" i="23"/>
  <c r="AC138" i="23"/>
  <c r="AA138" i="23"/>
  <c r="Y138" i="23"/>
  <c r="W138" i="23"/>
  <c r="U138" i="23"/>
  <c r="S138" i="23"/>
  <c r="Q138" i="23"/>
  <c r="O138" i="23"/>
  <c r="M138" i="23"/>
  <c r="K138" i="23"/>
  <c r="I138" i="23"/>
  <c r="G138" i="23"/>
  <c r="CF137" i="23"/>
  <c r="CE137" i="23"/>
  <c r="CD137" i="23"/>
  <c r="CC137" i="23"/>
  <c r="CB137" i="23"/>
  <c r="CA137" i="23"/>
  <c r="BZ137" i="23"/>
  <c r="BY137" i="23"/>
  <c r="BX137" i="23"/>
  <c r="BW137" i="23"/>
  <c r="BU137" i="23"/>
  <c r="BT137" i="23"/>
  <c r="BS137" i="23"/>
  <c r="BR137" i="23"/>
  <c r="BQ137" i="23"/>
  <c r="BP137" i="23"/>
  <c r="BO137" i="23"/>
  <c r="BN137" i="23"/>
  <c r="BM137" i="23"/>
  <c r="BL137" i="23"/>
  <c r="BK137" i="23"/>
  <c r="BJ137" i="23"/>
  <c r="BI137" i="23"/>
  <c r="AE137" i="23"/>
  <c r="AC137" i="23"/>
  <c r="AA137" i="23"/>
  <c r="Y137" i="23"/>
  <c r="W137" i="23"/>
  <c r="U137" i="23"/>
  <c r="S137" i="23"/>
  <c r="Q137" i="23"/>
  <c r="O137" i="23"/>
  <c r="M137" i="23"/>
  <c r="K137" i="23"/>
  <c r="I137" i="23"/>
  <c r="G137" i="23"/>
  <c r="CF136" i="23"/>
  <c r="CE136" i="23"/>
  <c r="CD136" i="23"/>
  <c r="CC136" i="23"/>
  <c r="CB136" i="23"/>
  <c r="CA136" i="23"/>
  <c r="BZ136" i="23"/>
  <c r="BY136" i="23"/>
  <c r="BX136" i="23"/>
  <c r="BW136" i="23"/>
  <c r="BU136" i="23"/>
  <c r="BT136" i="23"/>
  <c r="BS136" i="23"/>
  <c r="BR136" i="23"/>
  <c r="BQ136" i="23"/>
  <c r="BP136" i="23"/>
  <c r="BO136" i="23"/>
  <c r="BN136" i="23"/>
  <c r="BM136" i="23"/>
  <c r="BL136" i="23"/>
  <c r="BK136" i="23"/>
  <c r="BJ136" i="23"/>
  <c r="BI136" i="23"/>
  <c r="AE136" i="23"/>
  <c r="AC136" i="23"/>
  <c r="AA136" i="23"/>
  <c r="Y136" i="23"/>
  <c r="W136" i="23"/>
  <c r="U136" i="23"/>
  <c r="S136" i="23"/>
  <c r="Q136" i="23"/>
  <c r="O136" i="23"/>
  <c r="M136" i="23"/>
  <c r="K136" i="23"/>
  <c r="I136" i="23"/>
  <c r="G136" i="23"/>
  <c r="CF135" i="23"/>
  <c r="CE135" i="23"/>
  <c r="CD135" i="23"/>
  <c r="CC135" i="23"/>
  <c r="CB135" i="23"/>
  <c r="CA135" i="23"/>
  <c r="BZ135" i="23"/>
  <c r="BY135" i="23"/>
  <c r="BX135" i="23"/>
  <c r="BW135" i="23"/>
  <c r="BU135" i="23"/>
  <c r="BT135" i="23"/>
  <c r="BS135" i="23"/>
  <c r="BR135" i="23"/>
  <c r="BQ135" i="23"/>
  <c r="BP135" i="23"/>
  <c r="BO135" i="23"/>
  <c r="BN135" i="23"/>
  <c r="BM135" i="23"/>
  <c r="BL135" i="23"/>
  <c r="BK135" i="23"/>
  <c r="BJ135" i="23"/>
  <c r="BI135" i="23"/>
  <c r="AE135" i="23"/>
  <c r="AC135" i="23"/>
  <c r="AA135" i="23"/>
  <c r="Y135" i="23"/>
  <c r="W135" i="23"/>
  <c r="U135" i="23"/>
  <c r="S135" i="23"/>
  <c r="Q135" i="23"/>
  <c r="O135" i="23"/>
  <c r="M135" i="23"/>
  <c r="K135" i="23"/>
  <c r="I135" i="23"/>
  <c r="G135" i="23"/>
  <c r="CF134" i="23"/>
  <c r="CE134" i="23"/>
  <c r="CD134" i="23"/>
  <c r="CC134" i="23"/>
  <c r="CB134" i="23"/>
  <c r="CA134" i="23"/>
  <c r="BZ134" i="23"/>
  <c r="BY134" i="23"/>
  <c r="BX134" i="23"/>
  <c r="BW134" i="23"/>
  <c r="BU134" i="23"/>
  <c r="BT134" i="23"/>
  <c r="BS134" i="23"/>
  <c r="BR134" i="23"/>
  <c r="BQ134" i="23"/>
  <c r="BP134" i="23"/>
  <c r="BO134" i="23"/>
  <c r="BN134" i="23"/>
  <c r="BM134" i="23"/>
  <c r="BL134" i="23"/>
  <c r="BK134" i="23"/>
  <c r="BJ134" i="23"/>
  <c r="BI134" i="23"/>
  <c r="AE134" i="23"/>
  <c r="AC134" i="23"/>
  <c r="AA134" i="23"/>
  <c r="Y134" i="23"/>
  <c r="W134" i="23"/>
  <c r="U134" i="23"/>
  <c r="S134" i="23"/>
  <c r="Q134" i="23"/>
  <c r="O134" i="23"/>
  <c r="M134" i="23"/>
  <c r="K134" i="23"/>
  <c r="I134" i="23"/>
  <c r="G134" i="23"/>
  <c r="CF133" i="23"/>
  <c r="CE133" i="23"/>
  <c r="CD133" i="23"/>
  <c r="CC133" i="23"/>
  <c r="CB133" i="23"/>
  <c r="CA133" i="23"/>
  <c r="BZ133" i="23"/>
  <c r="BY133" i="23"/>
  <c r="BX133" i="23"/>
  <c r="BW133" i="23"/>
  <c r="BU133" i="23"/>
  <c r="BT133" i="23"/>
  <c r="BS133" i="23"/>
  <c r="BR133" i="23"/>
  <c r="BQ133" i="23"/>
  <c r="BP133" i="23"/>
  <c r="BO133" i="23"/>
  <c r="BN133" i="23"/>
  <c r="BM133" i="23"/>
  <c r="BL133" i="23"/>
  <c r="BK133" i="23"/>
  <c r="BJ133" i="23"/>
  <c r="BI133" i="23"/>
  <c r="AE133" i="23"/>
  <c r="AC133" i="23"/>
  <c r="AA133" i="23"/>
  <c r="Y133" i="23"/>
  <c r="W133" i="23"/>
  <c r="U133" i="23"/>
  <c r="S133" i="23"/>
  <c r="Q133" i="23"/>
  <c r="O133" i="23"/>
  <c r="M133" i="23"/>
  <c r="K133" i="23"/>
  <c r="I133" i="23"/>
  <c r="G133" i="23"/>
  <c r="CF132" i="23"/>
  <c r="CE132" i="23"/>
  <c r="CD132" i="23"/>
  <c r="CC132" i="23"/>
  <c r="CB132" i="23"/>
  <c r="CA132" i="23"/>
  <c r="BZ132" i="23"/>
  <c r="BY132" i="23"/>
  <c r="BX132" i="23"/>
  <c r="BW132" i="23"/>
  <c r="BU132" i="23"/>
  <c r="BT132" i="23"/>
  <c r="BS132" i="23"/>
  <c r="BR132" i="23"/>
  <c r="BQ132" i="23"/>
  <c r="BP132" i="23"/>
  <c r="BO132" i="23"/>
  <c r="BN132" i="23"/>
  <c r="BM132" i="23"/>
  <c r="BL132" i="23"/>
  <c r="BK132" i="23"/>
  <c r="BJ132" i="23"/>
  <c r="BI132" i="23"/>
  <c r="AE132" i="23"/>
  <c r="AC132" i="23"/>
  <c r="AA132" i="23"/>
  <c r="Y132" i="23"/>
  <c r="W132" i="23"/>
  <c r="U132" i="23"/>
  <c r="S132" i="23"/>
  <c r="Q132" i="23"/>
  <c r="O132" i="23"/>
  <c r="M132" i="23"/>
  <c r="K132" i="23"/>
  <c r="I132" i="23"/>
  <c r="G132" i="23"/>
  <c r="CF131" i="23"/>
  <c r="CE131" i="23"/>
  <c r="CD131" i="23"/>
  <c r="CC131" i="23"/>
  <c r="CB131" i="23"/>
  <c r="CA131" i="23"/>
  <c r="BZ131" i="23"/>
  <c r="BY131" i="23"/>
  <c r="BX131" i="23"/>
  <c r="BW131" i="23"/>
  <c r="BU131" i="23"/>
  <c r="BT131" i="23"/>
  <c r="BS131" i="23"/>
  <c r="BR131" i="23"/>
  <c r="BQ131" i="23"/>
  <c r="BP131" i="23"/>
  <c r="BO131" i="23"/>
  <c r="BN131" i="23"/>
  <c r="BM131" i="23"/>
  <c r="BL131" i="23"/>
  <c r="BK131" i="23"/>
  <c r="BJ131" i="23"/>
  <c r="BI131" i="23"/>
  <c r="AE131" i="23"/>
  <c r="AC131" i="23"/>
  <c r="AA131" i="23"/>
  <c r="Y131" i="23"/>
  <c r="W131" i="23"/>
  <c r="U131" i="23"/>
  <c r="S131" i="23"/>
  <c r="Q131" i="23"/>
  <c r="O131" i="23"/>
  <c r="M131" i="23"/>
  <c r="K131" i="23"/>
  <c r="I131" i="23"/>
  <c r="G131" i="23"/>
  <c r="CF130" i="23"/>
  <c r="CE130" i="23"/>
  <c r="CD130" i="23"/>
  <c r="CC130" i="23"/>
  <c r="CB130" i="23"/>
  <c r="CA130" i="23"/>
  <c r="BZ130" i="23"/>
  <c r="BY130" i="23"/>
  <c r="BX130" i="23"/>
  <c r="BW130" i="23"/>
  <c r="BV130" i="23"/>
  <c r="BU130" i="23"/>
  <c r="BT130" i="23"/>
  <c r="BS130" i="23"/>
  <c r="BR130" i="23"/>
  <c r="BQ130" i="23"/>
  <c r="BP130" i="23"/>
  <c r="BO130" i="23"/>
  <c r="BN130" i="23"/>
  <c r="BM130" i="23"/>
  <c r="BL130" i="23"/>
  <c r="BK130" i="23"/>
  <c r="BJ130" i="23"/>
  <c r="BI130" i="23"/>
  <c r="AI130" i="23"/>
  <c r="AE130" i="23"/>
  <c r="AC130" i="23"/>
  <c r="AA130" i="23"/>
  <c r="Y130" i="23"/>
  <c r="W130" i="23"/>
  <c r="U130" i="23"/>
  <c r="S130" i="23"/>
  <c r="Q130" i="23"/>
  <c r="O130" i="23"/>
  <c r="M130" i="23"/>
  <c r="K130" i="23"/>
  <c r="I130" i="23"/>
  <c r="G130" i="23"/>
  <c r="CF129" i="23"/>
  <c r="CE129" i="23"/>
  <c r="CD129" i="23"/>
  <c r="CC129" i="23"/>
  <c r="CB129" i="23"/>
  <c r="CA129" i="23"/>
  <c r="BZ129" i="23"/>
  <c r="BY129" i="23"/>
  <c r="BX129" i="23"/>
  <c r="BW129" i="23"/>
  <c r="BV129" i="23"/>
  <c r="BU129" i="23"/>
  <c r="BT129" i="23"/>
  <c r="BS129" i="23"/>
  <c r="BR129" i="23"/>
  <c r="BQ129" i="23"/>
  <c r="BP129" i="23"/>
  <c r="BO129" i="23"/>
  <c r="BN129" i="23"/>
  <c r="BM129" i="23"/>
  <c r="BL129" i="23"/>
  <c r="BK129" i="23"/>
  <c r="BJ129" i="23"/>
  <c r="BI129" i="23"/>
  <c r="AI129" i="23"/>
  <c r="AE129" i="23"/>
  <c r="AC129" i="23"/>
  <c r="AA129" i="23"/>
  <c r="Y129" i="23"/>
  <c r="W129" i="23"/>
  <c r="U129" i="23"/>
  <c r="S129" i="23"/>
  <c r="Q129" i="23"/>
  <c r="O129" i="23"/>
  <c r="M129" i="23"/>
  <c r="K129" i="23"/>
  <c r="I129" i="23"/>
  <c r="G129" i="23"/>
  <c r="CF128" i="23"/>
  <c r="CE128" i="23"/>
  <c r="CD128" i="23"/>
  <c r="CC128" i="23"/>
  <c r="CB128" i="23"/>
  <c r="CA128" i="23"/>
  <c r="BZ128" i="23"/>
  <c r="BY128" i="23"/>
  <c r="BX128" i="23"/>
  <c r="BW128" i="23"/>
  <c r="BV128" i="23"/>
  <c r="BU128" i="23"/>
  <c r="BT128" i="23"/>
  <c r="BS128" i="23"/>
  <c r="BR128" i="23"/>
  <c r="BQ128" i="23"/>
  <c r="BP128" i="23"/>
  <c r="BO128" i="23"/>
  <c r="BN128" i="23"/>
  <c r="BM128" i="23"/>
  <c r="BL128" i="23"/>
  <c r="BK128" i="23"/>
  <c r="BJ128" i="23"/>
  <c r="BI128" i="23"/>
  <c r="AI128" i="23"/>
  <c r="AE128" i="23"/>
  <c r="AC128" i="23"/>
  <c r="AA128" i="23"/>
  <c r="Y128" i="23"/>
  <c r="W128" i="23"/>
  <c r="U128" i="23"/>
  <c r="S128" i="23"/>
  <c r="Q128" i="23"/>
  <c r="O128" i="23"/>
  <c r="M128" i="23"/>
  <c r="K128" i="23"/>
  <c r="I128" i="23"/>
  <c r="G128" i="23"/>
  <c r="CF127" i="23"/>
  <c r="CE127" i="23"/>
  <c r="CD127" i="23"/>
  <c r="CC127" i="23"/>
  <c r="CB127" i="23"/>
  <c r="CA127" i="23"/>
  <c r="BZ127" i="23"/>
  <c r="BY127" i="23"/>
  <c r="BX127" i="23"/>
  <c r="BW127" i="23"/>
  <c r="BV127" i="23"/>
  <c r="BU127" i="23"/>
  <c r="BT127" i="23"/>
  <c r="BS127" i="23"/>
  <c r="BR127" i="23"/>
  <c r="BQ127" i="23"/>
  <c r="BP127" i="23"/>
  <c r="BO127" i="23"/>
  <c r="BN127" i="23"/>
  <c r="BM127" i="23"/>
  <c r="BL127" i="23"/>
  <c r="BK127" i="23"/>
  <c r="BJ127" i="23"/>
  <c r="BI127" i="23"/>
  <c r="AI127" i="23"/>
  <c r="AE127" i="23"/>
  <c r="AC127" i="23"/>
  <c r="AA127" i="23"/>
  <c r="Y127" i="23"/>
  <c r="W127" i="23"/>
  <c r="U127" i="23"/>
  <c r="S127" i="23"/>
  <c r="Q127" i="23"/>
  <c r="O127" i="23"/>
  <c r="M127" i="23"/>
  <c r="K127" i="23"/>
  <c r="I127" i="23"/>
  <c r="G127" i="23"/>
  <c r="CF126" i="23"/>
  <c r="CE126" i="23"/>
  <c r="CD126" i="23"/>
  <c r="CC126" i="23"/>
  <c r="CB126" i="23"/>
  <c r="CA126" i="23"/>
  <c r="BZ126" i="23"/>
  <c r="BY126" i="23"/>
  <c r="BX126" i="23"/>
  <c r="BW126" i="23"/>
  <c r="BV126" i="23"/>
  <c r="BU126" i="23"/>
  <c r="BT126" i="23"/>
  <c r="BS126" i="23"/>
  <c r="BR126" i="23"/>
  <c r="BQ126" i="23"/>
  <c r="BP126" i="23"/>
  <c r="BO126" i="23"/>
  <c r="BN126" i="23"/>
  <c r="BM126" i="23"/>
  <c r="BL126" i="23"/>
  <c r="BK126" i="23"/>
  <c r="BJ126" i="23"/>
  <c r="BI126" i="23"/>
  <c r="AI126" i="23"/>
  <c r="AE126" i="23"/>
  <c r="AC126" i="23"/>
  <c r="AA126" i="23"/>
  <c r="Y126" i="23"/>
  <c r="W126" i="23"/>
  <c r="U126" i="23"/>
  <c r="S126" i="23"/>
  <c r="Q126" i="23"/>
  <c r="O126" i="23"/>
  <c r="M126" i="23"/>
  <c r="K126" i="23"/>
  <c r="I126" i="23"/>
  <c r="G126" i="23"/>
  <c r="CF125" i="23"/>
  <c r="CE125" i="23"/>
  <c r="CD125" i="23"/>
  <c r="CC125" i="23"/>
  <c r="CB125" i="23"/>
  <c r="CA125" i="23"/>
  <c r="BZ125" i="23"/>
  <c r="BY125" i="23"/>
  <c r="BX125" i="23"/>
  <c r="BW125" i="23"/>
  <c r="BV125" i="23"/>
  <c r="BU125" i="23"/>
  <c r="BT125" i="23"/>
  <c r="BS125" i="23"/>
  <c r="BR125" i="23"/>
  <c r="BQ125" i="23"/>
  <c r="BP125" i="23"/>
  <c r="BO125" i="23"/>
  <c r="BN125" i="23"/>
  <c r="BM125" i="23"/>
  <c r="BL125" i="23"/>
  <c r="BK125" i="23"/>
  <c r="BJ125" i="23"/>
  <c r="BI125" i="23"/>
  <c r="AI125" i="23"/>
  <c r="AE125" i="23"/>
  <c r="AC125" i="23"/>
  <c r="AA125" i="23"/>
  <c r="Y125" i="23"/>
  <c r="W125" i="23"/>
  <c r="U125" i="23"/>
  <c r="S125" i="23"/>
  <c r="Q125" i="23"/>
  <c r="O125" i="23"/>
  <c r="M125" i="23"/>
  <c r="K125" i="23"/>
  <c r="I125" i="23"/>
  <c r="G125" i="23"/>
  <c r="CF124" i="23"/>
  <c r="CE124" i="23"/>
  <c r="CD124" i="23"/>
  <c r="CC124" i="23"/>
  <c r="CB124" i="23"/>
  <c r="CA124" i="23"/>
  <c r="BZ124" i="23"/>
  <c r="BY124" i="23"/>
  <c r="BX124" i="23"/>
  <c r="BW124" i="23"/>
  <c r="BU124" i="23"/>
  <c r="BT124" i="23"/>
  <c r="BS124" i="23"/>
  <c r="BR124" i="23"/>
  <c r="BQ124" i="23"/>
  <c r="BP124" i="23"/>
  <c r="BO124" i="23"/>
  <c r="BN124" i="23"/>
  <c r="BM124" i="23"/>
  <c r="BL124" i="23"/>
  <c r="BK124" i="23"/>
  <c r="BJ124" i="23"/>
  <c r="BI124" i="23"/>
  <c r="AE124" i="23"/>
  <c r="AC124" i="23"/>
  <c r="AA124" i="23"/>
  <c r="Y124" i="23"/>
  <c r="W124" i="23"/>
  <c r="U124" i="23"/>
  <c r="S124" i="23"/>
  <c r="Q124" i="23"/>
  <c r="O124" i="23"/>
  <c r="M124" i="23"/>
  <c r="K124" i="23"/>
  <c r="I124" i="23"/>
  <c r="G124" i="23"/>
  <c r="CF123" i="23"/>
  <c r="CE123" i="23"/>
  <c r="CD123" i="23"/>
  <c r="CC123" i="23"/>
  <c r="CB123" i="23"/>
  <c r="CA123" i="23"/>
  <c r="BZ123" i="23"/>
  <c r="BY123" i="23"/>
  <c r="BX123" i="23"/>
  <c r="BW123" i="23"/>
  <c r="BU123" i="23"/>
  <c r="BT123" i="23"/>
  <c r="BS123" i="23"/>
  <c r="BR123" i="23"/>
  <c r="BQ123" i="23"/>
  <c r="BP123" i="23"/>
  <c r="BO123" i="23"/>
  <c r="BN123" i="23"/>
  <c r="BM123" i="23"/>
  <c r="BL123" i="23"/>
  <c r="BK123" i="23"/>
  <c r="BJ123" i="23"/>
  <c r="BI123" i="23"/>
  <c r="AE123" i="23"/>
  <c r="AC123" i="23"/>
  <c r="AA123" i="23"/>
  <c r="Y123" i="23"/>
  <c r="W123" i="23"/>
  <c r="U123" i="23"/>
  <c r="S123" i="23"/>
  <c r="Q123" i="23"/>
  <c r="O123" i="23"/>
  <c r="M123" i="23"/>
  <c r="K123" i="23"/>
  <c r="I123" i="23"/>
  <c r="G123" i="23"/>
  <c r="CF122" i="23"/>
  <c r="CE122" i="23"/>
  <c r="CD122" i="23"/>
  <c r="CC122" i="23"/>
  <c r="CB122" i="23"/>
  <c r="CA122" i="23"/>
  <c r="BZ122" i="23"/>
  <c r="BY122" i="23"/>
  <c r="BX122" i="23"/>
  <c r="BW122" i="23"/>
  <c r="BU122" i="23"/>
  <c r="BT122" i="23"/>
  <c r="BS122" i="23"/>
  <c r="BR122" i="23"/>
  <c r="BQ122" i="23"/>
  <c r="BP122" i="23"/>
  <c r="BO122" i="23"/>
  <c r="BN122" i="23"/>
  <c r="BM122" i="23"/>
  <c r="BL122" i="23"/>
  <c r="BK122" i="23"/>
  <c r="BJ122" i="23"/>
  <c r="BI122" i="23"/>
  <c r="AE122" i="23"/>
  <c r="AC122" i="23"/>
  <c r="AA122" i="23"/>
  <c r="Y122" i="23"/>
  <c r="W122" i="23"/>
  <c r="U122" i="23"/>
  <c r="S122" i="23"/>
  <c r="Q122" i="23"/>
  <c r="O122" i="23"/>
  <c r="M122" i="23"/>
  <c r="K122" i="23"/>
  <c r="I122" i="23"/>
  <c r="G122" i="23"/>
  <c r="CF121" i="23"/>
  <c r="CE121" i="23"/>
  <c r="CD121" i="23"/>
  <c r="CC121" i="23"/>
  <c r="CB121" i="23"/>
  <c r="CA121" i="23"/>
  <c r="BZ121" i="23"/>
  <c r="BY121" i="23"/>
  <c r="BX121" i="23"/>
  <c r="BW121" i="23"/>
  <c r="BU121" i="23"/>
  <c r="BT121" i="23"/>
  <c r="BS121" i="23"/>
  <c r="BR121" i="23"/>
  <c r="BQ121" i="23"/>
  <c r="BP121" i="23"/>
  <c r="BO121" i="23"/>
  <c r="BN121" i="23"/>
  <c r="BM121" i="23"/>
  <c r="BL121" i="23"/>
  <c r="BK121" i="23"/>
  <c r="BJ121" i="23"/>
  <c r="BI121" i="23"/>
  <c r="AE121" i="23"/>
  <c r="AC121" i="23"/>
  <c r="AA121" i="23"/>
  <c r="Y121" i="23"/>
  <c r="W121" i="23"/>
  <c r="U121" i="23"/>
  <c r="S121" i="23"/>
  <c r="Q121" i="23"/>
  <c r="O121" i="23"/>
  <c r="M121" i="23"/>
  <c r="K121" i="23"/>
  <c r="I121" i="23"/>
  <c r="G121" i="23"/>
  <c r="CF120" i="23"/>
  <c r="CE120" i="23"/>
  <c r="CD120" i="23"/>
  <c r="CC120" i="23"/>
  <c r="CB120" i="23"/>
  <c r="CA120" i="23"/>
  <c r="BZ120" i="23"/>
  <c r="BY120" i="23"/>
  <c r="BX120" i="23"/>
  <c r="BW120" i="23"/>
  <c r="BV120" i="23"/>
  <c r="BU120" i="23"/>
  <c r="BT120" i="23"/>
  <c r="BS120" i="23"/>
  <c r="BR120" i="23"/>
  <c r="BQ120" i="23"/>
  <c r="BP120" i="23"/>
  <c r="BO120" i="23"/>
  <c r="BN120" i="23"/>
  <c r="BM120" i="23"/>
  <c r="BL120" i="23"/>
  <c r="BK120" i="23"/>
  <c r="BJ120" i="23"/>
  <c r="BI120" i="23"/>
  <c r="AI120" i="23"/>
  <c r="AE120" i="23"/>
  <c r="AC120" i="23"/>
  <c r="AA120" i="23"/>
  <c r="Y120" i="23"/>
  <c r="W120" i="23"/>
  <c r="U120" i="23"/>
  <c r="S120" i="23"/>
  <c r="Q120" i="23"/>
  <c r="O120" i="23"/>
  <c r="M120" i="23"/>
  <c r="K120" i="23"/>
  <c r="I120" i="23"/>
  <c r="G120" i="23"/>
  <c r="CF119" i="23"/>
  <c r="CE119" i="23"/>
  <c r="CD119" i="23"/>
  <c r="CC119" i="23"/>
  <c r="CB119" i="23"/>
  <c r="CA119" i="23"/>
  <c r="BZ119" i="23"/>
  <c r="BY119" i="23"/>
  <c r="BX119" i="23"/>
  <c r="BW119" i="23"/>
  <c r="BU119" i="23"/>
  <c r="BT119" i="23"/>
  <c r="BS119" i="23"/>
  <c r="BR119" i="23"/>
  <c r="BQ119" i="23"/>
  <c r="BP119" i="23"/>
  <c r="BO119" i="23"/>
  <c r="BN119" i="23"/>
  <c r="BM119" i="23"/>
  <c r="BL119" i="23"/>
  <c r="BK119" i="23"/>
  <c r="BJ119" i="23"/>
  <c r="BI119" i="23"/>
  <c r="AE119" i="23"/>
  <c r="AC119" i="23"/>
  <c r="AA119" i="23"/>
  <c r="Y119" i="23"/>
  <c r="W119" i="23"/>
  <c r="U119" i="23"/>
  <c r="S119" i="23"/>
  <c r="Q119" i="23"/>
  <c r="O119" i="23"/>
  <c r="M119" i="23"/>
  <c r="K119" i="23"/>
  <c r="I119" i="23"/>
  <c r="G119" i="23"/>
  <c r="CF118" i="23"/>
  <c r="CE118" i="23"/>
  <c r="CD118" i="23"/>
  <c r="CC118" i="23"/>
  <c r="CB118" i="23"/>
  <c r="CA118" i="23"/>
  <c r="BZ118" i="23"/>
  <c r="BY118" i="23"/>
  <c r="BX118" i="23"/>
  <c r="BW118" i="23"/>
  <c r="BU118" i="23"/>
  <c r="BT118" i="23"/>
  <c r="BS118" i="23"/>
  <c r="BR118" i="23"/>
  <c r="BQ118" i="23"/>
  <c r="BP118" i="23"/>
  <c r="BO118" i="23"/>
  <c r="BN118" i="23"/>
  <c r="BM118" i="23"/>
  <c r="BL118" i="23"/>
  <c r="BK118" i="23"/>
  <c r="BJ118" i="23"/>
  <c r="BI118" i="23"/>
  <c r="AE118" i="23"/>
  <c r="AC118" i="23"/>
  <c r="AA118" i="23"/>
  <c r="Y118" i="23"/>
  <c r="W118" i="23"/>
  <c r="U118" i="23"/>
  <c r="S118" i="23"/>
  <c r="Q118" i="23"/>
  <c r="O118" i="23"/>
  <c r="M118" i="23"/>
  <c r="K118" i="23"/>
  <c r="I118" i="23"/>
  <c r="G118" i="23"/>
  <c r="CF117" i="23"/>
  <c r="CE117" i="23"/>
  <c r="CD117" i="23"/>
  <c r="CC117" i="23"/>
  <c r="CB117" i="23"/>
  <c r="CA117" i="23"/>
  <c r="BZ117" i="23"/>
  <c r="BY117" i="23"/>
  <c r="BX117" i="23"/>
  <c r="BW117" i="23"/>
  <c r="BU117" i="23"/>
  <c r="BT117" i="23"/>
  <c r="BS117" i="23"/>
  <c r="BR117" i="23"/>
  <c r="BQ117" i="23"/>
  <c r="BP117" i="23"/>
  <c r="BO117" i="23"/>
  <c r="BN117" i="23"/>
  <c r="BM117" i="23"/>
  <c r="BL117" i="23"/>
  <c r="BK117" i="23"/>
  <c r="BJ117" i="23"/>
  <c r="BI117" i="23"/>
  <c r="AE117" i="23"/>
  <c r="AC117" i="23"/>
  <c r="AA117" i="23"/>
  <c r="Y117" i="23"/>
  <c r="W117" i="23"/>
  <c r="U117" i="23"/>
  <c r="S117" i="23"/>
  <c r="Q117" i="23"/>
  <c r="O117" i="23"/>
  <c r="M117" i="23"/>
  <c r="K117" i="23"/>
  <c r="I117" i="23"/>
  <c r="G117" i="23"/>
  <c r="CF116" i="23"/>
  <c r="CE116" i="23"/>
  <c r="CD116" i="23"/>
  <c r="CC116" i="23"/>
  <c r="CB116" i="23"/>
  <c r="CA116" i="23"/>
  <c r="BZ116" i="23"/>
  <c r="BY116" i="23"/>
  <c r="BX116" i="23"/>
  <c r="BW116" i="23"/>
  <c r="BU116" i="23"/>
  <c r="BT116" i="23"/>
  <c r="BS116" i="23"/>
  <c r="BR116" i="23"/>
  <c r="BQ116" i="23"/>
  <c r="BP116" i="23"/>
  <c r="BO116" i="23"/>
  <c r="BN116" i="23"/>
  <c r="BM116" i="23"/>
  <c r="BL116" i="23"/>
  <c r="BK116" i="23"/>
  <c r="BJ116" i="23"/>
  <c r="BI116" i="23"/>
  <c r="AE116" i="23"/>
  <c r="AC116" i="23"/>
  <c r="AA116" i="23"/>
  <c r="Y116" i="23"/>
  <c r="W116" i="23"/>
  <c r="U116" i="23"/>
  <c r="S116" i="23"/>
  <c r="Q116" i="23"/>
  <c r="O116" i="23"/>
  <c r="M116" i="23"/>
  <c r="K116" i="23"/>
  <c r="I116" i="23"/>
  <c r="G116" i="23"/>
  <c r="CF115" i="23"/>
  <c r="CE115" i="23"/>
  <c r="CD115" i="23"/>
  <c r="CC115" i="23"/>
  <c r="CB115" i="23"/>
  <c r="CA115" i="23"/>
  <c r="BZ115" i="23"/>
  <c r="BY115" i="23"/>
  <c r="BX115" i="23"/>
  <c r="BW115" i="23"/>
  <c r="BU115" i="23"/>
  <c r="BT115" i="23"/>
  <c r="BS115" i="23"/>
  <c r="BR115" i="23"/>
  <c r="BQ115" i="23"/>
  <c r="BP115" i="23"/>
  <c r="BO115" i="23"/>
  <c r="BN115" i="23"/>
  <c r="BM115" i="23"/>
  <c r="BL115" i="23"/>
  <c r="BK115" i="23"/>
  <c r="BJ115" i="23"/>
  <c r="BI115" i="23"/>
  <c r="AE115" i="23"/>
  <c r="AC115" i="23"/>
  <c r="AA115" i="23"/>
  <c r="Y115" i="23"/>
  <c r="W115" i="23"/>
  <c r="U115" i="23"/>
  <c r="S115" i="23"/>
  <c r="Q115" i="23"/>
  <c r="O115" i="23"/>
  <c r="M115" i="23"/>
  <c r="K115" i="23"/>
  <c r="I115" i="23"/>
  <c r="G115" i="23"/>
  <c r="CF114" i="23"/>
  <c r="CE114" i="23"/>
  <c r="CD114" i="23"/>
  <c r="CC114" i="23"/>
  <c r="CB114" i="23"/>
  <c r="CA114" i="23"/>
  <c r="BZ114" i="23"/>
  <c r="BY114" i="23"/>
  <c r="BX114" i="23"/>
  <c r="BW114" i="23"/>
  <c r="BU114" i="23"/>
  <c r="BT114" i="23"/>
  <c r="BS114" i="23"/>
  <c r="BR114" i="23"/>
  <c r="BQ114" i="23"/>
  <c r="BP114" i="23"/>
  <c r="BO114" i="23"/>
  <c r="BN114" i="23"/>
  <c r="BM114" i="23"/>
  <c r="BL114" i="23"/>
  <c r="BK114" i="23"/>
  <c r="BJ114" i="23"/>
  <c r="BI114" i="23"/>
  <c r="AE114" i="23"/>
  <c r="AC114" i="23"/>
  <c r="AA114" i="23"/>
  <c r="Y114" i="23"/>
  <c r="W114" i="23"/>
  <c r="U114" i="23"/>
  <c r="S114" i="23"/>
  <c r="Q114" i="23"/>
  <c r="O114" i="23"/>
  <c r="M114" i="23"/>
  <c r="K114" i="23"/>
  <c r="I114" i="23"/>
  <c r="G114" i="23"/>
  <c r="CF113" i="23"/>
  <c r="CE113" i="23"/>
  <c r="CD113" i="23"/>
  <c r="CC113" i="23"/>
  <c r="CB113" i="23"/>
  <c r="CA113" i="23"/>
  <c r="BZ113" i="23"/>
  <c r="BY113" i="23"/>
  <c r="BX113" i="23"/>
  <c r="BW113" i="23"/>
  <c r="BU113" i="23"/>
  <c r="BT113" i="23"/>
  <c r="BS113" i="23"/>
  <c r="BR113" i="23"/>
  <c r="BQ113" i="23"/>
  <c r="BP113" i="23"/>
  <c r="BO113" i="23"/>
  <c r="BN113" i="23"/>
  <c r="BM113" i="23"/>
  <c r="BL113" i="23"/>
  <c r="BK113" i="23"/>
  <c r="BJ113" i="23"/>
  <c r="BI113" i="23"/>
  <c r="AE113" i="23"/>
  <c r="AC113" i="23"/>
  <c r="AA113" i="23"/>
  <c r="Y113" i="23"/>
  <c r="W113" i="23"/>
  <c r="U113" i="23"/>
  <c r="S113" i="23"/>
  <c r="Q113" i="23"/>
  <c r="O113" i="23"/>
  <c r="M113" i="23"/>
  <c r="K113" i="23"/>
  <c r="I113" i="23"/>
  <c r="G113" i="23"/>
  <c r="CF112" i="23"/>
  <c r="CE112" i="23"/>
  <c r="CD112" i="23"/>
  <c r="CC112" i="23"/>
  <c r="CB112" i="23"/>
  <c r="CA112" i="23"/>
  <c r="BZ112" i="23"/>
  <c r="BY112" i="23"/>
  <c r="BX112" i="23"/>
  <c r="BW112" i="23"/>
  <c r="BU112" i="23"/>
  <c r="BT112" i="23"/>
  <c r="BS112" i="23"/>
  <c r="BR112" i="23"/>
  <c r="BQ112" i="23"/>
  <c r="BP112" i="23"/>
  <c r="BO112" i="23"/>
  <c r="BN112" i="23"/>
  <c r="BM112" i="23"/>
  <c r="BL112" i="23"/>
  <c r="BK112" i="23"/>
  <c r="BJ112" i="23"/>
  <c r="BI112" i="23"/>
  <c r="AE112" i="23"/>
  <c r="AC112" i="23"/>
  <c r="AA112" i="23"/>
  <c r="Y112" i="23"/>
  <c r="W112" i="23"/>
  <c r="U112" i="23"/>
  <c r="S112" i="23"/>
  <c r="Q112" i="23"/>
  <c r="O112" i="23"/>
  <c r="M112" i="23"/>
  <c r="K112" i="23"/>
  <c r="I112" i="23"/>
  <c r="G112" i="23"/>
  <c r="CF111" i="23"/>
  <c r="CE111" i="23"/>
  <c r="CD111" i="23"/>
  <c r="CC111" i="23"/>
  <c r="CB111" i="23"/>
  <c r="CA111" i="23"/>
  <c r="BZ111" i="23"/>
  <c r="BY111" i="23"/>
  <c r="BX111" i="23"/>
  <c r="BW111" i="23"/>
  <c r="BU111" i="23"/>
  <c r="BT111" i="23"/>
  <c r="BS111" i="23"/>
  <c r="BR111" i="23"/>
  <c r="BQ111" i="23"/>
  <c r="BP111" i="23"/>
  <c r="BO111" i="23"/>
  <c r="BN111" i="23"/>
  <c r="BM111" i="23"/>
  <c r="BL111" i="23"/>
  <c r="BK111" i="23"/>
  <c r="BJ111" i="23"/>
  <c r="BI111" i="23"/>
  <c r="AE111" i="23"/>
  <c r="AC111" i="23"/>
  <c r="AA111" i="23"/>
  <c r="Y111" i="23"/>
  <c r="W111" i="23"/>
  <c r="U111" i="23"/>
  <c r="S111" i="23"/>
  <c r="Q111" i="23"/>
  <c r="O111" i="23"/>
  <c r="M111" i="23"/>
  <c r="K111" i="23"/>
  <c r="I111" i="23"/>
  <c r="G111" i="23"/>
  <c r="AD62" i="23"/>
  <c r="AE181" i="23" l="1"/>
  <c r="I181" i="23"/>
  <c r="AG107" i="23"/>
  <c r="AE266" i="23"/>
  <c r="K185" i="23"/>
  <c r="W189" i="23"/>
  <c r="O192" i="23"/>
  <c r="W197" i="23"/>
  <c r="AE202" i="23"/>
  <c r="AC189" i="23"/>
  <c r="AE144" i="23"/>
  <c r="S110" i="23"/>
  <c r="K181" i="23"/>
  <c r="O189" i="23"/>
  <c r="Q110" i="23"/>
  <c r="AC144" i="23"/>
  <c r="AC266" i="23"/>
  <c r="I185" i="23"/>
  <c r="AI185" i="23"/>
  <c r="U189" i="23"/>
  <c r="M192" i="23"/>
  <c r="U197" i="23"/>
  <c r="AC202" i="23"/>
  <c r="S266" i="23"/>
  <c r="K189" i="23"/>
  <c r="U266" i="23"/>
  <c r="M189" i="23"/>
  <c r="AA181" i="23"/>
  <c r="AG25" i="23"/>
  <c r="Q304" i="23"/>
  <c r="Q284" i="23"/>
  <c r="I266" i="23"/>
  <c r="M185" i="23"/>
  <c r="Y189" i="23"/>
  <c r="K266" i="23"/>
  <c r="AA189" i="23"/>
  <c r="S192" i="23"/>
  <c r="AA197" i="23"/>
  <c r="K202" i="23"/>
  <c r="O266" i="23"/>
  <c r="AE189" i="23"/>
  <c r="W192" i="23"/>
  <c r="AE197" i="23"/>
  <c r="O202" i="23"/>
  <c r="AG65" i="23"/>
  <c r="AG189" i="23"/>
  <c r="U181" i="23"/>
  <c r="Y181" i="23"/>
  <c r="O304" i="23"/>
  <c r="O284" i="23"/>
  <c r="U110" i="23"/>
  <c r="I144" i="23"/>
  <c r="Q192" i="23"/>
  <c r="Y197" i="23"/>
  <c r="I202" i="23"/>
  <c r="AG12" i="23"/>
  <c r="S304" i="23"/>
  <c r="S284" i="23"/>
  <c r="U304" i="23"/>
  <c r="U284" i="23"/>
  <c r="W110" i="23"/>
  <c r="Y110" i="23"/>
  <c r="M144" i="23"/>
  <c r="M181" i="23"/>
  <c r="Q185" i="23"/>
  <c r="U192" i="23"/>
  <c r="M202" i="23"/>
  <c r="W304" i="23"/>
  <c r="W284" i="23"/>
  <c r="O144" i="23"/>
  <c r="O181" i="23"/>
  <c r="Y304" i="23"/>
  <c r="Y284" i="23"/>
  <c r="AC110" i="23"/>
  <c r="Q144" i="23"/>
  <c r="Q181" i="23"/>
  <c r="Q266" i="23"/>
  <c r="AC181" i="23"/>
  <c r="U185" i="23"/>
  <c r="I189" i="23"/>
  <c r="Y192" i="23"/>
  <c r="I197" i="23"/>
  <c r="Q202" i="23"/>
  <c r="AA304" i="23"/>
  <c r="AA284" i="23"/>
  <c r="K144" i="23"/>
  <c r="AA110" i="23"/>
  <c r="AE110" i="23"/>
  <c r="S144" i="23"/>
  <c r="S181" i="23"/>
  <c r="AA192" i="23"/>
  <c r="K197" i="23"/>
  <c r="S202" i="23"/>
  <c r="AC304" i="23"/>
  <c r="AC284" i="23"/>
  <c r="U144" i="23"/>
  <c r="Y185" i="23"/>
  <c r="M197" i="23"/>
  <c r="U202" i="23"/>
  <c r="AG207" i="23"/>
  <c r="AE304" i="23"/>
  <c r="AE284" i="23"/>
  <c r="I110" i="23"/>
  <c r="K110" i="23"/>
  <c r="W144" i="23"/>
  <c r="W181" i="23"/>
  <c r="AE192" i="23"/>
  <c r="O197" i="23"/>
  <c r="W202" i="23"/>
  <c r="I304" i="23"/>
  <c r="I284" i="23"/>
  <c r="M110" i="23"/>
  <c r="Y144" i="23"/>
  <c r="Y266" i="23"/>
  <c r="AC185" i="23"/>
  <c r="Q189" i="23"/>
  <c r="I192" i="23"/>
  <c r="Q197" i="23"/>
  <c r="Y202" i="23"/>
  <c r="K304" i="23"/>
  <c r="K284" i="23"/>
  <c r="O110" i="23"/>
  <c r="AA144" i="23"/>
  <c r="AA266" i="23"/>
  <c r="AE185" i="23"/>
  <c r="S189" i="23"/>
  <c r="K192" i="23"/>
  <c r="S197" i="23"/>
  <c r="AA202" i="23"/>
  <c r="M304" i="23"/>
  <c r="M284" i="23"/>
  <c r="M207" i="23"/>
  <c r="O207" i="23"/>
  <c r="Q207" i="23"/>
  <c r="S207" i="23"/>
  <c r="AC197" i="23"/>
  <c r="U207" i="23"/>
  <c r="W207" i="23"/>
  <c r="Y207" i="23"/>
  <c r="AA207" i="23"/>
  <c r="AC192" i="23"/>
  <c r="AC207" i="23"/>
  <c r="AE207" i="23"/>
  <c r="I207" i="23"/>
  <c r="AI207" i="23"/>
  <c r="K207" i="23"/>
  <c r="M266" i="23"/>
  <c r="W266" i="23"/>
  <c r="AG185" i="23"/>
  <c r="O185" i="23"/>
  <c r="S185" i="23"/>
  <c r="W185" i="23"/>
  <c r="AA185" i="23"/>
  <c r="AG9" i="23"/>
  <c r="AG144" i="23"/>
  <c r="AG181" i="23"/>
  <c r="AG197" i="23"/>
  <c r="AG110" i="23"/>
  <c r="AG202" i="23"/>
  <c r="AG32" i="23"/>
  <c r="AG68" i="23"/>
  <c r="AG192" i="23"/>
  <c r="AG304" i="23"/>
  <c r="AG284" i="23"/>
  <c r="AG22" i="23"/>
  <c r="BC22" i="23"/>
  <c r="BD298" i="23"/>
  <c r="BF298" i="23" s="1"/>
  <c r="BG298" i="23" s="1"/>
  <c r="BD300" i="23"/>
  <c r="BD289" i="23"/>
  <c r="BF289" i="23" s="1"/>
  <c r="BG289" i="23" s="1"/>
  <c r="BD294" i="23"/>
  <c r="BD290" i="23"/>
  <c r="BF290" i="23" s="1"/>
  <c r="BG290" i="23" s="1"/>
  <c r="BD293" i="23"/>
  <c r="BF293" i="23" s="1"/>
  <c r="BG293" i="23" s="1"/>
  <c r="G284" i="23"/>
  <c r="BC284" i="23"/>
  <c r="BD303" i="23"/>
  <c r="BF303" i="23" s="1"/>
  <c r="BG303" i="23" s="1"/>
  <c r="BC304" i="23"/>
  <c r="BD324" i="23"/>
  <c r="BD315" i="23"/>
  <c r="BF315" i="23" s="1"/>
  <c r="BG315" i="23" s="1"/>
  <c r="BD292" i="23"/>
  <c r="BF292" i="23" s="1"/>
  <c r="BG292" i="23" s="1"/>
  <c r="BD297" i="23"/>
  <c r="BF297" i="23" s="1"/>
  <c r="BG297" i="23" s="1"/>
  <c r="BD302" i="23"/>
  <c r="BF302" i="23" s="1"/>
  <c r="BG302" i="23" s="1"/>
  <c r="BG285" i="23"/>
  <c r="BD288" i="23"/>
  <c r="BF288" i="23" s="1"/>
  <c r="BG288" i="23" s="1"/>
  <c r="BD296" i="23"/>
  <c r="BF296" i="23" s="1"/>
  <c r="BG296" i="23" s="1"/>
  <c r="BD299" i="23"/>
  <c r="BF299" i="23" s="1"/>
  <c r="BG299" i="23" s="1"/>
  <c r="BD321" i="23"/>
  <c r="BF321" i="23" s="1"/>
  <c r="BG321" i="23" s="1"/>
  <c r="BD291" i="23"/>
  <c r="BF291" i="23" s="1"/>
  <c r="BG291" i="23" s="1"/>
  <c r="BG301" i="23"/>
  <c r="BD287" i="23"/>
  <c r="BF287" i="23" s="1"/>
  <c r="BG287" i="23" s="1"/>
  <c r="G304" i="23"/>
  <c r="AM284" i="23"/>
  <c r="AO284" i="23"/>
  <c r="AI284" i="23"/>
  <c r="AQ284" i="23"/>
  <c r="AK284" i="23"/>
  <c r="AS284" i="23"/>
  <c r="AW284" i="23"/>
  <c r="AY284" i="23"/>
  <c r="BA284" i="23"/>
  <c r="AU284" i="23"/>
  <c r="BA304" i="23"/>
  <c r="BD309" i="23"/>
  <c r="BF309" i="23" s="1"/>
  <c r="BG309" i="23" s="1"/>
  <c r="AI304" i="23"/>
  <c r="BD316" i="23"/>
  <c r="BF316" i="23" s="1"/>
  <c r="BG316" i="23" s="1"/>
  <c r="BD306" i="23"/>
  <c r="BF306" i="23" s="1"/>
  <c r="BG306" i="23" s="1"/>
  <c r="BD318" i="23"/>
  <c r="BD326" i="23"/>
  <c r="AK304" i="23"/>
  <c r="BD308" i="23"/>
  <c r="BD320" i="23"/>
  <c r="BD305" i="23"/>
  <c r="BF305" i="23" s="1"/>
  <c r="BG305" i="23" s="1"/>
  <c r="AM304" i="23"/>
  <c r="BD314" i="23"/>
  <c r="BF314" i="23" s="1"/>
  <c r="BG314" i="23" s="1"/>
  <c r="BD317" i="23"/>
  <c r="BF317" i="23" s="1"/>
  <c r="BG317" i="23" s="1"/>
  <c r="AQ304" i="23"/>
  <c r="AO304" i="23"/>
  <c r="BD310" i="23"/>
  <c r="BF310" i="23" s="1"/>
  <c r="BG310" i="23" s="1"/>
  <c r="AS304" i="23"/>
  <c r="BD311" i="23"/>
  <c r="BD322" i="23"/>
  <c r="BF322" i="23" s="1"/>
  <c r="BG322" i="23" s="1"/>
  <c r="AU304" i="23"/>
  <c r="BD312" i="23"/>
  <c r="BF312" i="23" s="1"/>
  <c r="BG312" i="23" s="1"/>
  <c r="BD323" i="23"/>
  <c r="AW304" i="23"/>
  <c r="BD307" i="23"/>
  <c r="BF307" i="23" s="1"/>
  <c r="BG307" i="23" s="1"/>
  <c r="BD313" i="23"/>
  <c r="BF313" i="23" s="1"/>
  <c r="BG313" i="23" s="1"/>
  <c r="BD319" i="23"/>
  <c r="BF319" i="23" s="1"/>
  <c r="BG319" i="23" s="1"/>
  <c r="AY304" i="23"/>
  <c r="BD325" i="23"/>
  <c r="BF325" i="23" s="1"/>
  <c r="BG325" i="23" s="1"/>
  <c r="BA107" i="23"/>
  <c r="AK189" i="23"/>
  <c r="AK185" i="23" s="1"/>
  <c r="AM9" i="23"/>
  <c r="AO22" i="23"/>
  <c r="AQ107" i="23"/>
  <c r="AU65" i="23"/>
  <c r="BA22" i="23"/>
  <c r="BC181" i="23"/>
  <c r="AO202" i="23"/>
  <c r="AY9" i="23"/>
  <c r="AK202" i="23"/>
  <c r="AM189" i="23"/>
  <c r="AM185" i="23" s="1"/>
  <c r="AO65" i="23"/>
  <c r="AU22" i="23"/>
  <c r="AW9" i="23"/>
  <c r="AW181" i="23"/>
  <c r="AW197" i="23"/>
  <c r="AG266" i="23"/>
  <c r="AS9" i="23"/>
  <c r="BD251" i="23"/>
  <c r="BE251" i="23" s="1"/>
  <c r="BD191" i="23"/>
  <c r="BF191" i="23" s="1"/>
  <c r="BG191" i="23" s="1"/>
  <c r="BD247" i="23"/>
  <c r="BE247" i="23" s="1"/>
  <c r="BD256" i="23"/>
  <c r="BF256" i="23" s="1"/>
  <c r="BG256" i="23" s="1"/>
  <c r="BD199" i="23"/>
  <c r="BF199" i="23" s="1"/>
  <c r="BG199" i="23" s="1"/>
  <c r="BD206" i="23"/>
  <c r="BF206" i="23" s="1"/>
  <c r="BG206" i="23" s="1"/>
  <c r="BD213" i="23"/>
  <c r="BF213" i="23" s="1"/>
  <c r="BG213" i="23" s="1"/>
  <c r="BD224" i="23"/>
  <c r="BF224" i="23" s="1"/>
  <c r="BG224" i="23" s="1"/>
  <c r="BD235" i="23"/>
  <c r="BF235" i="23" s="1"/>
  <c r="BG235" i="23" s="1"/>
  <c r="AS107" i="23"/>
  <c r="BD268" i="23"/>
  <c r="BF268" i="23" s="1"/>
  <c r="BG268" i="23" s="1"/>
  <c r="BD208" i="23"/>
  <c r="BF208" i="23" s="1"/>
  <c r="BG208" i="23" s="1"/>
  <c r="BD230" i="23"/>
  <c r="BF230" i="23" s="1"/>
  <c r="BG230" i="23" s="1"/>
  <c r="BD261" i="23"/>
  <c r="BF261" i="23" s="1"/>
  <c r="BG261" i="23" s="1"/>
  <c r="BD252" i="23"/>
  <c r="BE252" i="23" s="1"/>
  <c r="BD263" i="23"/>
  <c r="BF263" i="23" s="1"/>
  <c r="BG263" i="23" s="1"/>
  <c r="BD220" i="23"/>
  <c r="BF220" i="23" s="1"/>
  <c r="BG220" i="23" s="1"/>
  <c r="BD231" i="23"/>
  <c r="BE231" i="23" s="1"/>
  <c r="BD242" i="23"/>
  <c r="BF242" i="23" s="1"/>
  <c r="BG242" i="23" s="1"/>
  <c r="BD241" i="23"/>
  <c r="BF241" i="23" s="1"/>
  <c r="BG241" i="23" s="1"/>
  <c r="BD226" i="23"/>
  <c r="BE226" i="23" s="1"/>
  <c r="BD190" i="23"/>
  <c r="BE190" i="23" s="1"/>
  <c r="AY25" i="23"/>
  <c r="BC189" i="23"/>
  <c r="BC185" i="23" s="1"/>
  <c r="BD219" i="23"/>
  <c r="BF219" i="23" s="1"/>
  <c r="BG219" i="23" s="1"/>
  <c r="BD248" i="23"/>
  <c r="BF248" i="23" s="1"/>
  <c r="BG248" i="23" s="1"/>
  <c r="BD259" i="23"/>
  <c r="BF259" i="23" s="1"/>
  <c r="BG259" i="23" s="1"/>
  <c r="BD195" i="23"/>
  <c r="BE195" i="23" s="1"/>
  <c r="BD216" i="23"/>
  <c r="BF216" i="23" s="1"/>
  <c r="BG216" i="23" s="1"/>
  <c r="BD227" i="23"/>
  <c r="BF227" i="23" s="1"/>
  <c r="BG227" i="23" s="1"/>
  <c r="BD238" i="23"/>
  <c r="BF238" i="23" s="1"/>
  <c r="BG238" i="23" s="1"/>
  <c r="BC192" i="23"/>
  <c r="BD221" i="23"/>
  <c r="BF221" i="23" s="1"/>
  <c r="BG221" i="23" s="1"/>
  <c r="BD257" i="23"/>
  <c r="BE257" i="23" s="1"/>
  <c r="BD209" i="23"/>
  <c r="BE209" i="23" s="1"/>
  <c r="BC9" i="23"/>
  <c r="BC65" i="23"/>
  <c r="BD244" i="23"/>
  <c r="BF244" i="23" s="1"/>
  <c r="BG244" i="23" s="1"/>
  <c r="BD255" i="23"/>
  <c r="BE255" i="23" s="1"/>
  <c r="BD188" i="23"/>
  <c r="BF188" i="23" s="1"/>
  <c r="BG188" i="23" s="1"/>
  <c r="BD198" i="23"/>
  <c r="BF198" i="23" s="1"/>
  <c r="BG198" i="23" s="1"/>
  <c r="BD205" i="23"/>
  <c r="BF205" i="23" s="1"/>
  <c r="BG205" i="23" s="1"/>
  <c r="BD212" i="23"/>
  <c r="BE212" i="23" s="1"/>
  <c r="BD223" i="23"/>
  <c r="BF223" i="23" s="1"/>
  <c r="BG223" i="23" s="1"/>
  <c r="BD234" i="23"/>
  <c r="BE234" i="23" s="1"/>
  <c r="AO107" i="23"/>
  <c r="AU107" i="23"/>
  <c r="BD237" i="23"/>
  <c r="BF237" i="23" s="1"/>
  <c r="BG237" i="23" s="1"/>
  <c r="AY189" i="23"/>
  <c r="AY185" i="23" s="1"/>
  <c r="BD245" i="23"/>
  <c r="BE245" i="23" s="1"/>
  <c r="AM65" i="23"/>
  <c r="AM192" i="23"/>
  <c r="BD187" i="23"/>
  <c r="BF187" i="23" s="1"/>
  <c r="BG187" i="23" s="1"/>
  <c r="BD243" i="23"/>
  <c r="BE243" i="23" s="1"/>
  <c r="BD254" i="23"/>
  <c r="BF254" i="23" s="1"/>
  <c r="BG254" i="23" s="1"/>
  <c r="BD265" i="23"/>
  <c r="BE265" i="23" s="1"/>
  <c r="BD204" i="23"/>
  <c r="BE204" i="23" s="1"/>
  <c r="BD211" i="23"/>
  <c r="BE211" i="23" s="1"/>
  <c r="BD222" i="23"/>
  <c r="BF222" i="23" s="1"/>
  <c r="BG222" i="23" s="1"/>
  <c r="AQ202" i="23"/>
  <c r="BC107" i="23"/>
  <c r="BD218" i="23"/>
  <c r="BF218" i="23" s="1"/>
  <c r="BG218" i="23" s="1"/>
  <c r="BD229" i="23"/>
  <c r="BF229" i="23" s="1"/>
  <c r="BG229" i="23" s="1"/>
  <c r="BD240" i="23"/>
  <c r="BF240" i="23" s="1"/>
  <c r="BG240" i="23" s="1"/>
  <c r="BD262" i="23"/>
  <c r="BF262" i="23" s="1"/>
  <c r="BG262" i="23" s="1"/>
  <c r="BD233" i="23"/>
  <c r="BF233" i="23" s="1"/>
  <c r="BG233" i="23" s="1"/>
  <c r="AM266" i="23"/>
  <c r="BD193" i="23"/>
  <c r="BF193" i="23" s="1"/>
  <c r="BG193" i="23" s="1"/>
  <c r="BD194" i="23"/>
  <c r="BF194" i="23" s="1"/>
  <c r="BG194" i="23" s="1"/>
  <c r="BD200" i="23"/>
  <c r="BF200" i="23" s="1"/>
  <c r="BG200" i="23" s="1"/>
  <c r="BD214" i="23"/>
  <c r="BE214" i="23" s="1"/>
  <c r="BD225" i="23"/>
  <c r="BF225" i="23" s="1"/>
  <c r="BG225" i="23" s="1"/>
  <c r="BD236" i="23"/>
  <c r="BF236" i="23" s="1"/>
  <c r="BG236" i="23" s="1"/>
  <c r="AS266" i="23"/>
  <c r="AW22" i="23"/>
  <c r="BD258" i="23"/>
  <c r="BF258" i="23" s="1"/>
  <c r="BG258" i="23" s="1"/>
  <c r="BD201" i="23"/>
  <c r="BE201" i="23" s="1"/>
  <c r="BD215" i="23"/>
  <c r="BF215" i="23" s="1"/>
  <c r="BG215" i="23" s="1"/>
  <c r="BD250" i="23"/>
  <c r="BF250" i="23" s="1"/>
  <c r="BG250" i="23" s="1"/>
  <c r="BD246" i="23"/>
  <c r="BF246" i="23" s="1"/>
  <c r="BG246" i="23" s="1"/>
  <c r="BD253" i="23"/>
  <c r="BF253" i="23" s="1"/>
  <c r="BG253" i="23" s="1"/>
  <c r="BD264" i="23"/>
  <c r="BF264" i="23" s="1"/>
  <c r="BG264" i="23" s="1"/>
  <c r="BD203" i="23"/>
  <c r="BF203" i="23" s="1"/>
  <c r="BG203" i="23" s="1"/>
  <c r="BD232" i="23"/>
  <c r="BF232" i="23" s="1"/>
  <c r="BG232" i="23" s="1"/>
  <c r="AK22" i="23"/>
  <c r="AW25" i="23"/>
  <c r="AQ181" i="23"/>
  <c r="BD186" i="23"/>
  <c r="BE186" i="23" s="1"/>
  <c r="BD210" i="23"/>
  <c r="BE210" i="23" s="1"/>
  <c r="BD249" i="23"/>
  <c r="BF249" i="23" s="1"/>
  <c r="BG249" i="23" s="1"/>
  <c r="BD260" i="23"/>
  <c r="BF260" i="23" s="1"/>
  <c r="BG260" i="23" s="1"/>
  <c r="BD267" i="23"/>
  <c r="BF267" i="23" s="1"/>
  <c r="BG267" i="23" s="1"/>
  <c r="BD196" i="23"/>
  <c r="BE196" i="23" s="1"/>
  <c r="BD217" i="23"/>
  <c r="BF217" i="23" s="1"/>
  <c r="BG217" i="23" s="1"/>
  <c r="BD228" i="23"/>
  <c r="BF228" i="23" s="1"/>
  <c r="BG228" i="23" s="1"/>
  <c r="BD239" i="23"/>
  <c r="BF239" i="23" s="1"/>
  <c r="BG239" i="23" s="1"/>
  <c r="AO9" i="23"/>
  <c r="AY107" i="23"/>
  <c r="AW207" i="23"/>
  <c r="AI181" i="23"/>
  <c r="AK9" i="23"/>
  <c r="AK25" i="23"/>
  <c r="AM22" i="23"/>
  <c r="AO32" i="23"/>
  <c r="AO189" i="23"/>
  <c r="AO185" i="23" s="1"/>
  <c r="AO266" i="23"/>
  <c r="AU197" i="23"/>
  <c r="AW107" i="23"/>
  <c r="BA9" i="23"/>
  <c r="AU110" i="23"/>
  <c r="AK107" i="23"/>
  <c r="AK181" i="23"/>
  <c r="AY181" i="23"/>
  <c r="BA197" i="23"/>
  <c r="AS202" i="23"/>
  <c r="AU202" i="23"/>
  <c r="AM197" i="23"/>
  <c r="AQ22" i="23"/>
  <c r="AS110" i="23"/>
  <c r="AQ9" i="23"/>
  <c r="AS192" i="23"/>
  <c r="AW266" i="23"/>
  <c r="AQ192" i="23"/>
  <c r="AM202" i="23"/>
  <c r="AQ25" i="23"/>
  <c r="AW192" i="23"/>
  <c r="BA202" i="23"/>
  <c r="AU9" i="23"/>
  <c r="AU192" i="23"/>
  <c r="AY68" i="23"/>
  <c r="AY266" i="23"/>
  <c r="BA65" i="23"/>
  <c r="G185" i="23"/>
  <c r="AI189" i="23"/>
  <c r="AK12" i="23"/>
  <c r="AK144" i="23"/>
  <c r="AK197" i="23"/>
  <c r="AK207" i="23"/>
  <c r="AO181" i="23"/>
  <c r="AQ189" i="23"/>
  <c r="AQ185" i="23" s="1"/>
  <c r="AS25" i="23"/>
  <c r="AS32" i="23"/>
  <c r="AU25" i="23"/>
  <c r="AY197" i="23"/>
  <c r="AO144" i="23"/>
  <c r="AO197" i="23"/>
  <c r="AU12" i="23"/>
  <c r="AY110" i="23"/>
  <c r="BA25" i="23"/>
  <c r="BA68" i="23"/>
  <c r="BA207" i="23"/>
  <c r="AK32" i="23"/>
  <c r="AM12" i="23"/>
  <c r="AM181" i="23"/>
  <c r="AQ68" i="23"/>
  <c r="AQ266" i="23"/>
  <c r="AU181" i="23"/>
  <c r="AW68" i="23"/>
  <c r="AY144" i="23"/>
  <c r="BA12" i="23"/>
  <c r="BA192" i="23"/>
  <c r="BC110" i="23"/>
  <c r="AK110" i="23"/>
  <c r="AM107" i="23"/>
  <c r="AM144" i="23"/>
  <c r="AM207" i="23"/>
  <c r="AO110" i="23"/>
  <c r="AQ12" i="23"/>
  <c r="AQ207" i="23"/>
  <c r="AS65" i="23"/>
  <c r="AS189" i="23"/>
  <c r="AS185" i="23" s="1"/>
  <c r="AU144" i="23"/>
  <c r="AY22" i="23"/>
  <c r="AY65" i="23"/>
  <c r="AY202" i="23"/>
  <c r="BC197" i="23"/>
  <c r="G192" i="23"/>
  <c r="AM25" i="23"/>
  <c r="AU32" i="23"/>
  <c r="AW12" i="23"/>
  <c r="BA181" i="23"/>
  <c r="BC68" i="23"/>
  <c r="BC144" i="23"/>
  <c r="G181" i="23"/>
  <c r="G197" i="23"/>
  <c r="AM32" i="23"/>
  <c r="AS207" i="23"/>
  <c r="AY32" i="23"/>
  <c r="BA32" i="23"/>
  <c r="BA144" i="23"/>
  <c r="BC25" i="23"/>
  <c r="BC202" i="23"/>
  <c r="G266" i="23"/>
  <c r="AI192" i="23"/>
  <c r="G202" i="23"/>
  <c r="AK65" i="23"/>
  <c r="AK266" i="23"/>
  <c r="AO68" i="23"/>
  <c r="AQ197" i="23"/>
  <c r="AS22" i="23"/>
  <c r="AS68" i="23"/>
  <c r="AU189" i="23"/>
  <c r="AU185" i="23" s="1"/>
  <c r="AW32" i="23"/>
  <c r="AW110" i="23"/>
  <c r="AY12" i="23"/>
  <c r="AY207" i="23"/>
  <c r="BA110" i="23"/>
  <c r="BC12" i="23"/>
  <c r="AI197" i="23"/>
  <c r="G207" i="23"/>
  <c r="AK68" i="23"/>
  <c r="AO12" i="23"/>
  <c r="AO25" i="23"/>
  <c r="AI266" i="23"/>
  <c r="AI202" i="23"/>
  <c r="AM110" i="23"/>
  <c r="AQ110" i="23"/>
  <c r="AS12" i="23"/>
  <c r="AS144" i="23"/>
  <c r="AS181" i="23"/>
  <c r="AU68" i="23"/>
  <c r="AU266" i="23"/>
  <c r="AY192" i="23"/>
  <c r="BC32" i="23"/>
  <c r="BC266" i="23"/>
  <c r="G189" i="23"/>
  <c r="AK192" i="23"/>
  <c r="AM68" i="23"/>
  <c r="AO192" i="23"/>
  <c r="AO207" i="23"/>
  <c r="AQ32" i="23"/>
  <c r="AQ65" i="23"/>
  <c r="AS197" i="23"/>
  <c r="AW65" i="23"/>
  <c r="AW144" i="23"/>
  <c r="AW189" i="23"/>
  <c r="AW185" i="23" s="1"/>
  <c r="AW202" i="23"/>
  <c r="BA189" i="23"/>
  <c r="BA185" i="23" s="1"/>
  <c r="BC207" i="23"/>
  <c r="AQ144" i="23"/>
  <c r="AU207" i="23"/>
  <c r="BA266" i="23"/>
  <c r="BD184" i="23"/>
  <c r="BE184" i="23" s="1"/>
  <c r="BD183" i="23"/>
  <c r="BE183" i="23" s="1"/>
  <c r="BD270" i="23"/>
  <c r="BF270" i="23" s="1"/>
  <c r="BG270" i="23" s="1"/>
  <c r="BG269" i="23" s="1"/>
  <c r="G144" i="23"/>
  <c r="BD182" i="23"/>
  <c r="BE182" i="23" s="1"/>
  <c r="BD156" i="23"/>
  <c r="BF156" i="23" s="1"/>
  <c r="BG156" i="23" s="1"/>
  <c r="BD158" i="23"/>
  <c r="BF158" i="23" s="1"/>
  <c r="BG158" i="23" s="1"/>
  <c r="BD170" i="23"/>
  <c r="BF170" i="23" s="1"/>
  <c r="BG170" i="23" s="1"/>
  <c r="BD180" i="23"/>
  <c r="BF180" i="23" s="1"/>
  <c r="BG180" i="23" s="1"/>
  <c r="BD148" i="23"/>
  <c r="BE148" i="23" s="1"/>
  <c r="BD125" i="23"/>
  <c r="BF125" i="23" s="1"/>
  <c r="BG125" i="23" s="1"/>
  <c r="BD126" i="23"/>
  <c r="BE126" i="23" s="1"/>
  <c r="BD159" i="23"/>
  <c r="BE159" i="23" s="1"/>
  <c r="BD173" i="23"/>
  <c r="BE173" i="23" s="1"/>
  <c r="BD128" i="23"/>
  <c r="BF128" i="23" s="1"/>
  <c r="BG128" i="23" s="1"/>
  <c r="BD176" i="23"/>
  <c r="BF176" i="23" s="1"/>
  <c r="BG176" i="23" s="1"/>
  <c r="BD129" i="23"/>
  <c r="BF129" i="23" s="1"/>
  <c r="BG129" i="23" s="1"/>
  <c r="BD175" i="23"/>
  <c r="BE175" i="23" s="1"/>
  <c r="BD130" i="23"/>
  <c r="BF130" i="23" s="1"/>
  <c r="BG130" i="23" s="1"/>
  <c r="BD154" i="23"/>
  <c r="BE154" i="23" s="1"/>
  <c r="BD165" i="23"/>
  <c r="BE165" i="23" s="1"/>
  <c r="BD172" i="23"/>
  <c r="BF172" i="23" s="1"/>
  <c r="BG172" i="23" s="1"/>
  <c r="BD155" i="23"/>
  <c r="BE155" i="23" s="1"/>
  <c r="BD164" i="23"/>
  <c r="BF164" i="23" s="1"/>
  <c r="BG164" i="23" s="1"/>
  <c r="BD127" i="23"/>
  <c r="BE127" i="23" s="1"/>
  <c r="BD167" i="23"/>
  <c r="BF167" i="23" s="1"/>
  <c r="BG167" i="23" s="1"/>
  <c r="BD171" i="23"/>
  <c r="BE171" i="23" s="1"/>
  <c r="BD179" i="23"/>
  <c r="BE179" i="23" s="1"/>
  <c r="BD147" i="23"/>
  <c r="BE147" i="23" s="1"/>
  <c r="BD143" i="23"/>
  <c r="BF143" i="23" s="1"/>
  <c r="BG143" i="23" s="1"/>
  <c r="BD120" i="23"/>
  <c r="BF120" i="23" s="1"/>
  <c r="BG120" i="23" s="1"/>
  <c r="G110" i="23"/>
  <c r="BD145" i="23"/>
  <c r="BF145" i="23" s="1"/>
  <c r="BG145" i="23" s="1"/>
  <c r="BD168" i="23"/>
  <c r="BF168" i="23" s="1"/>
  <c r="BG168" i="23" s="1"/>
  <c r="BD177" i="23"/>
  <c r="BE177" i="23" s="1"/>
  <c r="BD157" i="23"/>
  <c r="BF157" i="23" s="1"/>
  <c r="BG157" i="23" s="1"/>
  <c r="BD169" i="23"/>
  <c r="BF169" i="23" s="1"/>
  <c r="BG169" i="23" s="1"/>
  <c r="BD174" i="23"/>
  <c r="BF174" i="23" s="1"/>
  <c r="BG174" i="23" s="1"/>
  <c r="BD160" i="23"/>
  <c r="BF160" i="23" s="1"/>
  <c r="BG160" i="23" s="1"/>
  <c r="BD146" i="23"/>
  <c r="BF146" i="23" s="1"/>
  <c r="BG146" i="23" s="1"/>
  <c r="BD166" i="23"/>
  <c r="BD178" i="23"/>
  <c r="CF108" i="23"/>
  <c r="CE108" i="23"/>
  <c r="CD108" i="23"/>
  <c r="CC108" i="23"/>
  <c r="CB108" i="23"/>
  <c r="CA108" i="23"/>
  <c r="BZ108" i="23"/>
  <c r="BY108" i="23"/>
  <c r="BX108" i="23"/>
  <c r="BW108" i="23"/>
  <c r="BV108" i="23"/>
  <c r="BU108" i="23"/>
  <c r="BT108" i="23"/>
  <c r="BS108" i="23"/>
  <c r="BR108" i="23"/>
  <c r="BQ108" i="23"/>
  <c r="BP108" i="23"/>
  <c r="BO108" i="23"/>
  <c r="BN108" i="23"/>
  <c r="BM108" i="23"/>
  <c r="BL108" i="23"/>
  <c r="BK108" i="23"/>
  <c r="BJ108" i="23"/>
  <c r="BI108" i="23"/>
  <c r="G108" i="23"/>
  <c r="AI108" i="23"/>
  <c r="AE108" i="23"/>
  <c r="AC108" i="23"/>
  <c r="AA108" i="23"/>
  <c r="Y108" i="23"/>
  <c r="W108" i="23"/>
  <c r="U108" i="23"/>
  <c r="S108" i="23"/>
  <c r="Q108" i="23"/>
  <c r="O108" i="23"/>
  <c r="M108" i="23"/>
  <c r="K108" i="23"/>
  <c r="I108" i="23"/>
  <c r="CF109" i="23"/>
  <c r="CE109" i="23"/>
  <c r="CD109" i="23"/>
  <c r="CC109" i="23"/>
  <c r="CB109" i="23"/>
  <c r="CA109" i="23"/>
  <c r="BZ109" i="23"/>
  <c r="BY109" i="23"/>
  <c r="BX109" i="23"/>
  <c r="BW109" i="23"/>
  <c r="BV109" i="23"/>
  <c r="BU109" i="23"/>
  <c r="BT109" i="23"/>
  <c r="BS109" i="23"/>
  <c r="BR109" i="23"/>
  <c r="BQ109" i="23"/>
  <c r="BP109" i="23"/>
  <c r="BO109" i="23"/>
  <c r="BN109" i="23"/>
  <c r="BM109" i="23"/>
  <c r="BL109" i="23"/>
  <c r="BK109" i="23"/>
  <c r="BJ109" i="23"/>
  <c r="BI109" i="23"/>
  <c r="AI109" i="23"/>
  <c r="AE109" i="23"/>
  <c r="AC109" i="23"/>
  <c r="AA109" i="23"/>
  <c r="Y109" i="23"/>
  <c r="W109" i="23"/>
  <c r="U109" i="23"/>
  <c r="S109" i="23"/>
  <c r="Q109" i="23"/>
  <c r="O109" i="23"/>
  <c r="M109" i="23"/>
  <c r="K109" i="23"/>
  <c r="I109" i="23"/>
  <c r="G109" i="23"/>
  <c r="AB62" i="23"/>
  <c r="BS62" i="23" s="1"/>
  <c r="CF62" i="23"/>
  <c r="CE62" i="23"/>
  <c r="CD62" i="23"/>
  <c r="CC62" i="23"/>
  <c r="CB62" i="23"/>
  <c r="CA62" i="23"/>
  <c r="BZ62" i="23"/>
  <c r="BY62" i="23"/>
  <c r="BX62" i="23"/>
  <c r="BW62" i="23"/>
  <c r="BV62" i="23"/>
  <c r="BU62" i="23"/>
  <c r="BT62" i="23"/>
  <c r="BR62" i="23"/>
  <c r="BQ62" i="23"/>
  <c r="BP62" i="23"/>
  <c r="BM62" i="23"/>
  <c r="BL62" i="23"/>
  <c r="BK62" i="23"/>
  <c r="BJ62" i="23"/>
  <c r="BI62" i="23"/>
  <c r="AI62" i="23"/>
  <c r="AI61" i="23" s="1"/>
  <c r="AE62" i="23"/>
  <c r="AE61" i="23" s="1"/>
  <c r="AA62" i="23"/>
  <c r="AA61" i="23" s="1"/>
  <c r="Y62" i="23"/>
  <c r="Y61" i="23" s="1"/>
  <c r="W62" i="23"/>
  <c r="W61" i="23" s="1"/>
  <c r="U62" i="23"/>
  <c r="U61" i="23" s="1"/>
  <c r="BN62" i="23"/>
  <c r="Q62" i="23"/>
  <c r="Q61" i="23" s="1"/>
  <c r="O62" i="23"/>
  <c r="O61" i="23" s="1"/>
  <c r="M62" i="23"/>
  <c r="M61" i="23" s="1"/>
  <c r="K62" i="23"/>
  <c r="K61" i="23" s="1"/>
  <c r="I62" i="23"/>
  <c r="I61" i="23" s="1"/>
  <c r="G62" i="23"/>
  <c r="G61" i="23" s="1"/>
  <c r="BE240" i="23" l="1"/>
  <c r="AG6" i="23"/>
  <c r="BE323" i="23"/>
  <c r="BF323" i="23"/>
  <c r="BG323" i="23" s="1"/>
  <c r="BE311" i="23"/>
  <c r="BF311" i="23"/>
  <c r="BG311" i="23" s="1"/>
  <c r="BE320" i="23"/>
  <c r="BF320" i="23"/>
  <c r="BG320" i="23" s="1"/>
  <c r="BE308" i="23"/>
  <c r="BF308" i="23"/>
  <c r="BG308" i="23" s="1"/>
  <c r="BE326" i="23"/>
  <c r="BF326" i="23"/>
  <c r="BG326" i="23" s="1"/>
  <c r="BE318" i="23"/>
  <c r="BF318" i="23"/>
  <c r="BG318" i="23" s="1"/>
  <c r="BE324" i="23"/>
  <c r="BF324" i="23"/>
  <c r="BG324" i="23" s="1"/>
  <c r="BE295" i="23"/>
  <c r="BG295" i="23"/>
  <c r="BE294" i="23"/>
  <c r="BF294" i="23"/>
  <c r="BG294" i="23" s="1"/>
  <c r="BE286" i="23"/>
  <c r="BG286" i="23"/>
  <c r="BE300" i="23"/>
  <c r="BF300" i="23"/>
  <c r="BG300" i="23" s="1"/>
  <c r="BE315" i="23"/>
  <c r="BE298" i="23"/>
  <c r="BE321" i="23"/>
  <c r="BE305" i="23"/>
  <c r="BE313" i="23"/>
  <c r="BE289" i="23"/>
  <c r="BE297" i="23"/>
  <c r="BE325" i="23"/>
  <c r="BE303" i="23"/>
  <c r="BE291" i="23"/>
  <c r="BE309" i="23"/>
  <c r="BE293" i="23"/>
  <c r="BE287" i="23"/>
  <c r="BE292" i="23"/>
  <c r="BE319" i="23"/>
  <c r="BE288" i="23"/>
  <c r="BE317" i="23"/>
  <c r="BE290" i="23"/>
  <c r="BE314" i="23"/>
  <c r="BE301" i="23"/>
  <c r="BE181" i="23"/>
  <c r="BE322" i="23"/>
  <c r="BE302" i="23"/>
  <c r="BE310" i="23"/>
  <c r="BF212" i="23"/>
  <c r="BG212" i="23" s="1"/>
  <c r="BE299" i="23"/>
  <c r="BE239" i="23"/>
  <c r="BE296" i="23"/>
  <c r="BE285" i="23"/>
  <c r="BE307" i="23"/>
  <c r="BE306" i="23"/>
  <c r="BE193" i="23"/>
  <c r="BE236" i="23"/>
  <c r="BE312" i="23"/>
  <c r="BE316" i="23"/>
  <c r="BE260" i="23"/>
  <c r="BE229" i="23"/>
  <c r="BF214" i="23"/>
  <c r="BG214" i="23" s="1"/>
  <c r="BE206" i="23"/>
  <c r="BE156" i="23"/>
  <c r="BE199" i="23"/>
  <c r="BE254" i="23"/>
  <c r="BG266" i="23"/>
  <c r="BF190" i="23"/>
  <c r="BG190" i="23" s="1"/>
  <c r="BG189" i="23" s="1"/>
  <c r="BF209" i="23"/>
  <c r="BG209" i="23" s="1"/>
  <c r="Y107" i="23"/>
  <c r="BE237" i="23"/>
  <c r="BE219" i="23"/>
  <c r="BF211" i="23"/>
  <c r="BG211" i="23" s="1"/>
  <c r="BE246" i="23"/>
  <c r="BE222" i="23"/>
  <c r="BF196" i="23"/>
  <c r="BG196" i="23" s="1"/>
  <c r="BE205" i="23"/>
  <c r="AK6" i="23"/>
  <c r="BE216" i="23"/>
  <c r="BE242" i="23"/>
  <c r="BE241" i="23"/>
  <c r="BF231" i="23"/>
  <c r="BG231" i="23" s="1"/>
  <c r="BE120" i="23"/>
  <c r="AM6" i="23"/>
  <c r="BC6" i="23"/>
  <c r="AS6" i="23"/>
  <c r="AY6" i="23"/>
  <c r="AQ6" i="23"/>
  <c r="BA6" i="23"/>
  <c r="AW6" i="23"/>
  <c r="AU6" i="23"/>
  <c r="AO6" i="23"/>
  <c r="BF184" i="23"/>
  <c r="BG184" i="23" s="1"/>
  <c r="BE262" i="23"/>
  <c r="BE268" i="23"/>
  <c r="BE215" i="23"/>
  <c r="BE228" i="23"/>
  <c r="BE264" i="23"/>
  <c r="BF186" i="23"/>
  <c r="BG186" i="23" s="1"/>
  <c r="BG185" i="23" s="1"/>
  <c r="BE233" i="23"/>
  <c r="BE250" i="23"/>
  <c r="BF201" i="23"/>
  <c r="BG201" i="23" s="1"/>
  <c r="BG197" i="23" s="1"/>
  <c r="BE198" i="23"/>
  <c r="BE191" i="23"/>
  <c r="BE189" i="23" s="1"/>
  <c r="BF255" i="23"/>
  <c r="BG255" i="23" s="1"/>
  <c r="BF195" i="23"/>
  <c r="BG195" i="23" s="1"/>
  <c r="BF183" i="23"/>
  <c r="BG183" i="23" s="1"/>
  <c r="BF204" i="23"/>
  <c r="BG204" i="23" s="1"/>
  <c r="BG202" i="23" s="1"/>
  <c r="BE220" i="23"/>
  <c r="BF234" i="23"/>
  <c r="BG234" i="23" s="1"/>
  <c r="BF210" i="23"/>
  <c r="BG210" i="23" s="1"/>
  <c r="BF251" i="23"/>
  <c r="BG251" i="23" s="1"/>
  <c r="BF226" i="23"/>
  <c r="BG226" i="23" s="1"/>
  <c r="BE224" i="23"/>
  <c r="BF243" i="23"/>
  <c r="BG243" i="23" s="1"/>
  <c r="BE203" i="23"/>
  <c r="BE259" i="23"/>
  <c r="BE225" i="23"/>
  <c r="BE208" i="23"/>
  <c r="BF245" i="23"/>
  <c r="BG245" i="23" s="1"/>
  <c r="BE188" i="23"/>
  <c r="BE232" i="23"/>
  <c r="BF247" i="23"/>
  <c r="BG247" i="23" s="1"/>
  <c r="BE213" i="23"/>
  <c r="BE223" i="23"/>
  <c r="BE270" i="23"/>
  <c r="BE269" i="23" s="1"/>
  <c r="BF265" i="23"/>
  <c r="BG265" i="23" s="1"/>
  <c r="BF257" i="23"/>
  <c r="BG257" i="23" s="1"/>
  <c r="BF252" i="23"/>
  <c r="BG252" i="23" s="1"/>
  <c r="BE249" i="23"/>
  <c r="BE218" i="23"/>
  <c r="BE194" i="23"/>
  <c r="BE187" i="23"/>
  <c r="BE230" i="23"/>
  <c r="BF165" i="23"/>
  <c r="BG165" i="23" s="1"/>
  <c r="BF127" i="23"/>
  <c r="BG127" i="23" s="1"/>
  <c r="BE267" i="23"/>
  <c r="BE227" i="23"/>
  <c r="BE200" i="23"/>
  <c r="BE238" i="23"/>
  <c r="BE221" i="23"/>
  <c r="BE258" i="23"/>
  <c r="BE235" i="23"/>
  <c r="BE217" i="23"/>
  <c r="BE129" i="23"/>
  <c r="BE248" i="23"/>
  <c r="BE256" i="23"/>
  <c r="BE263" i="23"/>
  <c r="BE253" i="23"/>
  <c r="BE244" i="23"/>
  <c r="BE261" i="23"/>
  <c r="BF148" i="23"/>
  <c r="BG148" i="23" s="1"/>
  <c r="BE180" i="23"/>
  <c r="BE157" i="23"/>
  <c r="BF182" i="23"/>
  <c r="BG182" i="23" s="1"/>
  <c r="BF173" i="23"/>
  <c r="BG173" i="23" s="1"/>
  <c r="BE170" i="23"/>
  <c r="BE158" i="23"/>
  <c r="BF147" i="23"/>
  <c r="BG147" i="23" s="1"/>
  <c r="BF155" i="23"/>
  <c r="BG155" i="23" s="1"/>
  <c r="BE145" i="23"/>
  <c r="BF177" i="23"/>
  <c r="BG177" i="23" s="1"/>
  <c r="BF175" i="23"/>
  <c r="BG175" i="23" s="1"/>
  <c r="BE125" i="23"/>
  <c r="BE176" i="23"/>
  <c r="BE164" i="23"/>
  <c r="BE174" i="23"/>
  <c r="BE169" i="23"/>
  <c r="BE143" i="23"/>
  <c r="BE128" i="23"/>
  <c r="BE172" i="23"/>
  <c r="BE167" i="23"/>
  <c r="BE146" i="23"/>
  <c r="BE160" i="23"/>
  <c r="BF171" i="23"/>
  <c r="BG171" i="23" s="1"/>
  <c r="BE130" i="23"/>
  <c r="BF159" i="23"/>
  <c r="BG159" i="23" s="1"/>
  <c r="BE168" i="23"/>
  <c r="BF154" i="23"/>
  <c r="BG154" i="23" s="1"/>
  <c r="BF126" i="23"/>
  <c r="BG126" i="23" s="1"/>
  <c r="BF179" i="23"/>
  <c r="BG179" i="23" s="1"/>
  <c r="BF178" i="23"/>
  <c r="BG178" i="23" s="1"/>
  <c r="BE178" i="23"/>
  <c r="BF166" i="23"/>
  <c r="BG166" i="23" s="1"/>
  <c r="BE166" i="23"/>
  <c r="K107" i="23"/>
  <c r="AI107" i="23"/>
  <c r="M107" i="23"/>
  <c r="AA107" i="23"/>
  <c r="S107" i="23"/>
  <c r="U107" i="23"/>
  <c r="W107" i="23"/>
  <c r="AC107" i="23"/>
  <c r="G107" i="23"/>
  <c r="AE107" i="23"/>
  <c r="I107" i="23"/>
  <c r="O107" i="23"/>
  <c r="Q107" i="23"/>
  <c r="BD108" i="23"/>
  <c r="BE108" i="23" s="1"/>
  <c r="BD109" i="23"/>
  <c r="BF109" i="23" s="1"/>
  <c r="BG109" i="23" s="1"/>
  <c r="AC62" i="23"/>
  <c r="AC61" i="23" s="1"/>
  <c r="BO62" i="23"/>
  <c r="BD62" i="23" s="1"/>
  <c r="S62" i="23"/>
  <c r="S61" i="23" s="1"/>
  <c r="BE185" i="23" l="1"/>
  <c r="BE207" i="23"/>
  <c r="BG207" i="23"/>
  <c r="BG284" i="23"/>
  <c r="BE284" i="23"/>
  <c r="BG304" i="23"/>
  <c r="BE304" i="23"/>
  <c r="BE192" i="23"/>
  <c r="BG192" i="23"/>
  <c r="BE197" i="23"/>
  <c r="BE202" i="23"/>
  <c r="BG181" i="23"/>
  <c r="BE266" i="23"/>
  <c r="BF108" i="23"/>
  <c r="BG108" i="23" s="1"/>
  <c r="BG107" i="23" s="1"/>
  <c r="BE109" i="23"/>
  <c r="BE107" i="23" s="1"/>
  <c r="BE62" i="23"/>
  <c r="BE61" i="23" s="1"/>
  <c r="BF62" i="23"/>
  <c r="BG62" i="23" s="1"/>
  <c r="BG61" i="23" s="1"/>
  <c r="CF97" i="23" l="1"/>
  <c r="CE97" i="23"/>
  <c r="CD97" i="23"/>
  <c r="CC97" i="23"/>
  <c r="CB97" i="23"/>
  <c r="CA97" i="23"/>
  <c r="BZ97" i="23"/>
  <c r="BY97" i="23"/>
  <c r="BX97" i="23"/>
  <c r="BW97" i="23"/>
  <c r="BV97" i="23"/>
  <c r="BU97" i="23"/>
  <c r="BT97" i="23"/>
  <c r="BS97" i="23"/>
  <c r="BR97" i="23"/>
  <c r="BQ97" i="23"/>
  <c r="BP97" i="23"/>
  <c r="BO97" i="23"/>
  <c r="BN97" i="23"/>
  <c r="BM97" i="23"/>
  <c r="BL97" i="23"/>
  <c r="BK97" i="23"/>
  <c r="BJ97" i="23"/>
  <c r="BI97" i="23"/>
  <c r="CF79" i="23"/>
  <c r="CE79" i="23"/>
  <c r="CD79" i="23"/>
  <c r="CC79" i="23"/>
  <c r="CB79" i="23"/>
  <c r="CA79" i="23"/>
  <c r="BZ79" i="23"/>
  <c r="BY79" i="23"/>
  <c r="BX79" i="23"/>
  <c r="BW79" i="23"/>
  <c r="BV79" i="23"/>
  <c r="BU79" i="23"/>
  <c r="BT79" i="23"/>
  <c r="BS79" i="23"/>
  <c r="BR79" i="23"/>
  <c r="BQ79" i="23"/>
  <c r="BP79" i="23"/>
  <c r="BO79" i="23"/>
  <c r="BN79" i="23"/>
  <c r="BM79" i="23"/>
  <c r="BL79" i="23"/>
  <c r="BK79" i="23"/>
  <c r="BJ79" i="23"/>
  <c r="BI79" i="23"/>
  <c r="AI79" i="23"/>
  <c r="AE79" i="23"/>
  <c r="AC79" i="23"/>
  <c r="AA79" i="23"/>
  <c r="Y79" i="23"/>
  <c r="W79" i="23"/>
  <c r="U79" i="23"/>
  <c r="S79" i="23"/>
  <c r="Q79" i="23"/>
  <c r="O79" i="23"/>
  <c r="M79" i="23"/>
  <c r="K79" i="23"/>
  <c r="I79" i="23"/>
  <c r="G79" i="23"/>
  <c r="V71" i="23"/>
  <c r="V72" i="23"/>
  <c r="V73" i="23"/>
  <c r="V70" i="23"/>
  <c r="V91" i="23"/>
  <c r="V92" i="23"/>
  <c r="V93" i="23"/>
  <c r="V90" i="23"/>
  <c r="T58" i="23"/>
  <c r="T60" i="23"/>
  <c r="T56" i="23"/>
  <c r="T55" i="23"/>
  <c r="T53" i="23"/>
  <c r="T52" i="23"/>
  <c r="T43" i="23"/>
  <c r="T44" i="23"/>
  <c r="T45" i="23"/>
  <c r="T46" i="23"/>
  <c r="T47" i="23"/>
  <c r="T48" i="23"/>
  <c r="T49" i="23"/>
  <c r="T50" i="23"/>
  <c r="T42" i="23"/>
  <c r="T31" i="23"/>
  <c r="T30" i="23"/>
  <c r="T29" i="23"/>
  <c r="T28" i="23"/>
  <c r="R56" i="23"/>
  <c r="R55" i="23"/>
  <c r="R53" i="23"/>
  <c r="R52" i="23"/>
  <c r="R50" i="23"/>
  <c r="R49" i="23"/>
  <c r="R48" i="23"/>
  <c r="R47" i="23"/>
  <c r="R46" i="23"/>
  <c r="R45" i="23"/>
  <c r="R44" i="23"/>
  <c r="R43" i="23"/>
  <c r="R42" i="23"/>
  <c r="P56" i="23"/>
  <c r="P55" i="23"/>
  <c r="P53" i="23"/>
  <c r="P52" i="23"/>
  <c r="P50" i="23"/>
  <c r="P49" i="23"/>
  <c r="P48" i="23"/>
  <c r="P47" i="23"/>
  <c r="P46" i="23"/>
  <c r="P45" i="23"/>
  <c r="P44" i="23"/>
  <c r="P43" i="23"/>
  <c r="P42" i="23"/>
  <c r="Q40" i="23"/>
  <c r="Q39" i="23"/>
  <c r="CF106" i="23"/>
  <c r="CE106" i="23"/>
  <c r="CD106" i="23"/>
  <c r="CC106" i="23"/>
  <c r="CB106" i="23"/>
  <c r="CA106" i="23"/>
  <c r="BZ106" i="23"/>
  <c r="BY106" i="23"/>
  <c r="BX106" i="23"/>
  <c r="BW106" i="23"/>
  <c r="BV106" i="23"/>
  <c r="BU106" i="23"/>
  <c r="BT106" i="23"/>
  <c r="BS106" i="23"/>
  <c r="BR106" i="23"/>
  <c r="BQ106" i="23"/>
  <c r="BP106" i="23"/>
  <c r="BO106" i="23"/>
  <c r="BN106" i="23"/>
  <c r="BM106" i="23"/>
  <c r="BL106" i="23"/>
  <c r="BK106" i="23"/>
  <c r="BJ106" i="23"/>
  <c r="BI106" i="23"/>
  <c r="AI106" i="23"/>
  <c r="AI105" i="23" s="1"/>
  <c r="AE106" i="23"/>
  <c r="AE105" i="23" s="1"/>
  <c r="AC106" i="23"/>
  <c r="AC105" i="23" s="1"/>
  <c r="AA106" i="23"/>
  <c r="AA105" i="23" s="1"/>
  <c r="Y106" i="23"/>
  <c r="Y105" i="23" s="1"/>
  <c r="W106" i="23"/>
  <c r="W105" i="23" s="1"/>
  <c r="U106" i="23"/>
  <c r="U105" i="23" s="1"/>
  <c r="S106" i="23"/>
  <c r="S105" i="23" s="1"/>
  <c r="Q106" i="23"/>
  <c r="Q105" i="23" s="1"/>
  <c r="O106" i="23"/>
  <c r="O105" i="23" s="1"/>
  <c r="M106" i="23"/>
  <c r="M105" i="23" s="1"/>
  <c r="K106" i="23"/>
  <c r="K105" i="23" s="1"/>
  <c r="I106" i="23"/>
  <c r="I105" i="23" s="1"/>
  <c r="G106" i="23"/>
  <c r="G105" i="23" s="1"/>
  <c r="BD97" i="23" l="1"/>
  <c r="BE97" i="23" s="1"/>
  <c r="BD79" i="23"/>
  <c r="BE79" i="23" s="1"/>
  <c r="BD106" i="23"/>
  <c r="BE106" i="23" s="1"/>
  <c r="BE105" i="23" s="1"/>
  <c r="BF79" i="23" l="1"/>
  <c r="BG79" i="23" s="1"/>
  <c r="BF97" i="23"/>
  <c r="BG97" i="23" s="1"/>
  <c r="BF106" i="23"/>
  <c r="BG106" i="23" s="1"/>
  <c r="BG105" i="23" s="1"/>
  <c r="G34" i="23"/>
  <c r="G35" i="23"/>
  <c r="G36" i="23"/>
  <c r="G37" i="23"/>
  <c r="G38" i="23"/>
  <c r="G39" i="23"/>
  <c r="S35" i="23"/>
  <c r="BN38" i="23"/>
  <c r="BL35" i="23"/>
  <c r="O36" i="23"/>
  <c r="BL37" i="23"/>
  <c r="O38" i="23"/>
  <c r="CF40" i="23"/>
  <c r="CE40" i="23"/>
  <c r="CD40" i="23"/>
  <c r="CC40" i="23"/>
  <c r="CB40" i="23"/>
  <c r="CA40" i="23"/>
  <c r="BZ40" i="23"/>
  <c r="BY40" i="23"/>
  <c r="BX40" i="23"/>
  <c r="BW40" i="23"/>
  <c r="BV40" i="23"/>
  <c r="BU40" i="23"/>
  <c r="BT40" i="23"/>
  <c r="BS40" i="23"/>
  <c r="BR40" i="23"/>
  <c r="BQ40" i="23"/>
  <c r="BP40" i="23"/>
  <c r="BO40" i="23"/>
  <c r="BM40" i="23"/>
  <c r="BK40" i="23"/>
  <c r="BJ40" i="23"/>
  <c r="BI40" i="23"/>
  <c r="AI40" i="23"/>
  <c r="AE40" i="23"/>
  <c r="AC40" i="23"/>
  <c r="AA40" i="23"/>
  <c r="Y40" i="23"/>
  <c r="W40" i="23"/>
  <c r="U40" i="23"/>
  <c r="BN40" i="23"/>
  <c r="O40" i="23"/>
  <c r="M40" i="23"/>
  <c r="K40" i="23"/>
  <c r="I40" i="23"/>
  <c r="G40" i="23"/>
  <c r="CF39" i="23"/>
  <c r="CE39" i="23"/>
  <c r="CD39" i="23"/>
  <c r="CC39" i="23"/>
  <c r="CB39" i="23"/>
  <c r="CA39" i="23"/>
  <c r="BZ39" i="23"/>
  <c r="BY39" i="23"/>
  <c r="BX39" i="23"/>
  <c r="BW39" i="23"/>
  <c r="BV39" i="23"/>
  <c r="BU39" i="23"/>
  <c r="BT39" i="23"/>
  <c r="BS39" i="23"/>
  <c r="BR39" i="23"/>
  <c r="BQ39" i="23"/>
  <c r="BP39" i="23"/>
  <c r="BO39" i="23"/>
  <c r="BM39" i="23"/>
  <c r="BK39" i="23"/>
  <c r="BJ39" i="23"/>
  <c r="BI39" i="23"/>
  <c r="AI39" i="23"/>
  <c r="AE39" i="23"/>
  <c r="AC39" i="23"/>
  <c r="AA39" i="23"/>
  <c r="Y39" i="23"/>
  <c r="W39" i="23"/>
  <c r="U39" i="23"/>
  <c r="S39" i="23"/>
  <c r="BL39" i="23"/>
  <c r="M39" i="23"/>
  <c r="K39" i="23"/>
  <c r="I39" i="23"/>
  <c r="CF38" i="23"/>
  <c r="CE38" i="23"/>
  <c r="CD38" i="23"/>
  <c r="CC38" i="23"/>
  <c r="CB38" i="23"/>
  <c r="CA38" i="23"/>
  <c r="BZ38" i="23"/>
  <c r="BY38" i="23"/>
  <c r="BX38" i="23"/>
  <c r="BW38" i="23"/>
  <c r="BV38" i="23"/>
  <c r="BU38" i="23"/>
  <c r="BT38" i="23"/>
  <c r="BS38" i="23"/>
  <c r="BR38" i="23"/>
  <c r="BQ38" i="23"/>
  <c r="BP38" i="23"/>
  <c r="BO38" i="23"/>
  <c r="BM38" i="23"/>
  <c r="BL38" i="23"/>
  <c r="BK38" i="23"/>
  <c r="BJ38" i="23"/>
  <c r="BI38" i="23"/>
  <c r="AI38" i="23"/>
  <c r="AE38" i="23"/>
  <c r="AC38" i="23"/>
  <c r="AA38" i="23"/>
  <c r="Y38" i="23"/>
  <c r="W38" i="23"/>
  <c r="U38" i="23"/>
  <c r="Q38" i="23"/>
  <c r="M38" i="23"/>
  <c r="K38" i="23"/>
  <c r="I38" i="23"/>
  <c r="CF37" i="23"/>
  <c r="CE37" i="23"/>
  <c r="CD37" i="23"/>
  <c r="CC37" i="23"/>
  <c r="CB37" i="23"/>
  <c r="CA37" i="23"/>
  <c r="BZ37" i="23"/>
  <c r="BY37" i="23"/>
  <c r="BX37" i="23"/>
  <c r="BW37" i="23"/>
  <c r="BV37" i="23"/>
  <c r="BU37" i="23"/>
  <c r="BT37" i="23"/>
  <c r="BS37" i="23"/>
  <c r="BR37" i="23"/>
  <c r="BQ37" i="23"/>
  <c r="BP37" i="23"/>
  <c r="BO37" i="23"/>
  <c r="BN37" i="23"/>
  <c r="BM37" i="23"/>
  <c r="BK37" i="23"/>
  <c r="BJ37" i="23"/>
  <c r="BI37" i="23"/>
  <c r="AI37" i="23"/>
  <c r="AE37" i="23"/>
  <c r="AC37" i="23"/>
  <c r="AA37" i="23"/>
  <c r="Y37" i="23"/>
  <c r="W37" i="23"/>
  <c r="U37" i="23"/>
  <c r="S37" i="23"/>
  <c r="Q37" i="23"/>
  <c r="M37" i="23"/>
  <c r="K37" i="23"/>
  <c r="I37" i="23"/>
  <c r="CF36" i="23"/>
  <c r="CE36" i="23"/>
  <c r="CD36" i="23"/>
  <c r="CC36" i="23"/>
  <c r="CB36" i="23"/>
  <c r="CA36" i="23"/>
  <c r="BZ36" i="23"/>
  <c r="BY36" i="23"/>
  <c r="BX36" i="23"/>
  <c r="BW36" i="23"/>
  <c r="BV36" i="23"/>
  <c r="BU36" i="23"/>
  <c r="BT36" i="23"/>
  <c r="BS36" i="23"/>
  <c r="BR36" i="23"/>
  <c r="BQ36" i="23"/>
  <c r="BP36" i="23"/>
  <c r="BO36" i="23"/>
  <c r="BM36" i="23"/>
  <c r="BK36" i="23"/>
  <c r="BJ36" i="23"/>
  <c r="BI36" i="23"/>
  <c r="AI36" i="23"/>
  <c r="AE36" i="23"/>
  <c r="AC36" i="23"/>
  <c r="AA36" i="23"/>
  <c r="Y36" i="23"/>
  <c r="W36" i="23"/>
  <c r="U36" i="23"/>
  <c r="BN36" i="23"/>
  <c r="Q36" i="23"/>
  <c r="M36" i="23"/>
  <c r="K36" i="23"/>
  <c r="I36" i="23"/>
  <c r="CF35" i="23"/>
  <c r="CE35" i="23"/>
  <c r="CD35" i="23"/>
  <c r="CC35" i="23"/>
  <c r="CB35" i="23"/>
  <c r="CA35" i="23"/>
  <c r="BZ35" i="23"/>
  <c r="BY35" i="23"/>
  <c r="BX35" i="23"/>
  <c r="BW35" i="23"/>
  <c r="BV35" i="23"/>
  <c r="BU35" i="23"/>
  <c r="BT35" i="23"/>
  <c r="BS35" i="23"/>
  <c r="BR35" i="23"/>
  <c r="BQ35" i="23"/>
  <c r="BP35" i="23"/>
  <c r="BO35" i="23"/>
  <c r="BM35" i="23"/>
  <c r="BK35" i="23"/>
  <c r="BJ35" i="23"/>
  <c r="BI35" i="23"/>
  <c r="AI35" i="23"/>
  <c r="AE35" i="23"/>
  <c r="AC35" i="23"/>
  <c r="AA35" i="23"/>
  <c r="Y35" i="23"/>
  <c r="W35" i="23"/>
  <c r="U35" i="23"/>
  <c r="Q35" i="23"/>
  <c r="M35" i="23"/>
  <c r="K35" i="23"/>
  <c r="I35" i="23"/>
  <c r="CF34" i="23"/>
  <c r="CE34" i="23"/>
  <c r="CD34" i="23"/>
  <c r="CC34" i="23"/>
  <c r="CB34" i="23"/>
  <c r="CA34" i="23"/>
  <c r="BZ34" i="23"/>
  <c r="BY34" i="23"/>
  <c r="BX34" i="23"/>
  <c r="BW34" i="23"/>
  <c r="BV34" i="23"/>
  <c r="BU34" i="23"/>
  <c r="BT34" i="23"/>
  <c r="BS34" i="23"/>
  <c r="BR34" i="23"/>
  <c r="BQ34" i="23"/>
  <c r="BP34" i="23"/>
  <c r="BO34" i="23"/>
  <c r="BN34" i="23"/>
  <c r="BM34" i="23"/>
  <c r="BK34" i="23"/>
  <c r="BJ34" i="23"/>
  <c r="BI34" i="23"/>
  <c r="AI34" i="23"/>
  <c r="AE34" i="23"/>
  <c r="AC34" i="23"/>
  <c r="AA34" i="23"/>
  <c r="Y34" i="23"/>
  <c r="W34" i="23"/>
  <c r="U34" i="23"/>
  <c r="S34" i="23"/>
  <c r="Q34" i="23"/>
  <c r="O34" i="23"/>
  <c r="M34" i="23"/>
  <c r="K34" i="23"/>
  <c r="I34" i="23"/>
  <c r="CF48" i="23"/>
  <c r="CE48" i="23"/>
  <c r="CD48" i="23"/>
  <c r="CC48" i="23"/>
  <c r="CB48" i="23"/>
  <c r="CA48" i="23"/>
  <c r="BZ48" i="23"/>
  <c r="BY48" i="23"/>
  <c r="BX48" i="23"/>
  <c r="BW48" i="23"/>
  <c r="BV48" i="23"/>
  <c r="BU48" i="23"/>
  <c r="BT48" i="23"/>
  <c r="BS48" i="23"/>
  <c r="BR48" i="23"/>
  <c r="BQ48" i="23"/>
  <c r="BP48" i="23"/>
  <c r="BO48" i="23"/>
  <c r="BM48" i="23"/>
  <c r="BK48" i="23"/>
  <c r="BJ48" i="23"/>
  <c r="BI48" i="23"/>
  <c r="AI48" i="23"/>
  <c r="AE48" i="23"/>
  <c r="AC48" i="23"/>
  <c r="AA48" i="23"/>
  <c r="Y48" i="23"/>
  <c r="W48" i="23"/>
  <c r="U48" i="23"/>
  <c r="S48" i="23"/>
  <c r="Q48" i="23"/>
  <c r="O48" i="23"/>
  <c r="M48" i="23"/>
  <c r="K48" i="23"/>
  <c r="I48" i="23"/>
  <c r="G48" i="23"/>
  <c r="CF47" i="23"/>
  <c r="CE47" i="23"/>
  <c r="CD47" i="23"/>
  <c r="CC47" i="23"/>
  <c r="CB47" i="23"/>
  <c r="CA47" i="23"/>
  <c r="BZ47" i="23"/>
  <c r="BY47" i="23"/>
  <c r="BX47" i="23"/>
  <c r="BW47" i="23"/>
  <c r="BV47" i="23"/>
  <c r="BU47" i="23"/>
  <c r="BT47" i="23"/>
  <c r="BS47" i="23"/>
  <c r="BR47" i="23"/>
  <c r="BQ47" i="23"/>
  <c r="BP47" i="23"/>
  <c r="BO47" i="23"/>
  <c r="BN47" i="23"/>
  <c r="BM47" i="23"/>
  <c r="BK47" i="23"/>
  <c r="BJ47" i="23"/>
  <c r="BI47" i="23"/>
  <c r="AI47" i="23"/>
  <c r="AE47" i="23"/>
  <c r="AC47" i="23"/>
  <c r="AA47" i="23"/>
  <c r="Y47" i="23"/>
  <c r="W47" i="23"/>
  <c r="U47" i="23"/>
  <c r="S47" i="23"/>
  <c r="Q47" i="23"/>
  <c r="BL47" i="23"/>
  <c r="M47" i="23"/>
  <c r="K47" i="23"/>
  <c r="I47" i="23"/>
  <c r="G47" i="23"/>
  <c r="CF46" i="23"/>
  <c r="CE46" i="23"/>
  <c r="CD46" i="23"/>
  <c r="CC46" i="23"/>
  <c r="CB46" i="23"/>
  <c r="CA46" i="23"/>
  <c r="BZ46" i="23"/>
  <c r="BY46" i="23"/>
  <c r="BX46" i="23"/>
  <c r="BW46" i="23"/>
  <c r="BV46" i="23"/>
  <c r="BU46" i="23"/>
  <c r="BT46" i="23"/>
  <c r="BS46" i="23"/>
  <c r="BR46" i="23"/>
  <c r="BQ46" i="23"/>
  <c r="BP46" i="23"/>
  <c r="BO46" i="23"/>
  <c r="BM46" i="23"/>
  <c r="BK46" i="23"/>
  <c r="BJ46" i="23"/>
  <c r="BI46" i="23"/>
  <c r="AI46" i="23"/>
  <c r="AE46" i="23"/>
  <c r="AC46" i="23"/>
  <c r="AA46" i="23"/>
  <c r="Y46" i="23"/>
  <c r="W46" i="23"/>
  <c r="U46" i="23"/>
  <c r="S46" i="23"/>
  <c r="Q46" i="23"/>
  <c r="O46" i="23"/>
  <c r="M46" i="23"/>
  <c r="K46" i="23"/>
  <c r="I46" i="23"/>
  <c r="G46" i="23"/>
  <c r="CF45" i="23"/>
  <c r="CE45" i="23"/>
  <c r="CD45" i="23"/>
  <c r="CC45" i="23"/>
  <c r="CB45" i="23"/>
  <c r="CA45" i="23"/>
  <c r="BZ45" i="23"/>
  <c r="BY45" i="23"/>
  <c r="BX45" i="23"/>
  <c r="BW45" i="23"/>
  <c r="BV45" i="23"/>
  <c r="BU45" i="23"/>
  <c r="BT45" i="23"/>
  <c r="BS45" i="23"/>
  <c r="BR45" i="23"/>
  <c r="BQ45" i="23"/>
  <c r="BP45" i="23"/>
  <c r="BO45" i="23"/>
  <c r="BM45" i="23"/>
  <c r="BK45" i="23"/>
  <c r="BJ45" i="23"/>
  <c r="BI45" i="23"/>
  <c r="AI45" i="23"/>
  <c r="AE45" i="23"/>
  <c r="AC45" i="23"/>
  <c r="AA45" i="23"/>
  <c r="Y45" i="23"/>
  <c r="W45" i="23"/>
  <c r="U45" i="23"/>
  <c r="BN45" i="23"/>
  <c r="Q45" i="23"/>
  <c r="BL45" i="23"/>
  <c r="M45" i="23"/>
  <c r="K45" i="23"/>
  <c r="I45" i="23"/>
  <c r="G45" i="23"/>
  <c r="CF44" i="23"/>
  <c r="CE44" i="23"/>
  <c r="CD44" i="23"/>
  <c r="CC44" i="23"/>
  <c r="CB44" i="23"/>
  <c r="CA44" i="23"/>
  <c r="BZ44" i="23"/>
  <c r="BY44" i="23"/>
  <c r="BX44" i="23"/>
  <c r="BW44" i="23"/>
  <c r="BV44" i="23"/>
  <c r="BU44" i="23"/>
  <c r="BT44" i="23"/>
  <c r="BS44" i="23"/>
  <c r="BR44" i="23"/>
  <c r="BQ44" i="23"/>
  <c r="BP44" i="23"/>
  <c r="BO44" i="23"/>
  <c r="BN44" i="23"/>
  <c r="BM44" i="23"/>
  <c r="BK44" i="23"/>
  <c r="BJ44" i="23"/>
  <c r="BI44" i="23"/>
  <c r="AI44" i="23"/>
  <c r="AE44" i="23"/>
  <c r="AC44" i="23"/>
  <c r="AA44" i="23"/>
  <c r="Y44" i="23"/>
  <c r="W44" i="23"/>
  <c r="U44" i="23"/>
  <c r="S44" i="23"/>
  <c r="Q44" i="23"/>
  <c r="O44" i="23"/>
  <c r="M44" i="23"/>
  <c r="K44" i="23"/>
  <c r="I44" i="23"/>
  <c r="G44" i="23"/>
  <c r="CF43" i="23"/>
  <c r="CE43" i="23"/>
  <c r="CD43" i="23"/>
  <c r="CC43" i="23"/>
  <c r="CB43" i="23"/>
  <c r="CA43" i="23"/>
  <c r="BZ43" i="23"/>
  <c r="BY43" i="23"/>
  <c r="BX43" i="23"/>
  <c r="BW43" i="23"/>
  <c r="BV43" i="23"/>
  <c r="BU43" i="23"/>
  <c r="BT43" i="23"/>
  <c r="BS43" i="23"/>
  <c r="BR43" i="23"/>
  <c r="BQ43" i="23"/>
  <c r="BP43" i="23"/>
  <c r="BO43" i="23"/>
  <c r="BM43" i="23"/>
  <c r="BK43" i="23"/>
  <c r="BJ43" i="23"/>
  <c r="BI43" i="23"/>
  <c r="AI43" i="23"/>
  <c r="AE43" i="23"/>
  <c r="AC43" i="23"/>
  <c r="AA43" i="23"/>
  <c r="Y43" i="23"/>
  <c r="W43" i="23"/>
  <c r="U43" i="23"/>
  <c r="S43" i="23"/>
  <c r="Q43" i="23"/>
  <c r="BL43" i="23"/>
  <c r="M43" i="23"/>
  <c r="K43" i="23"/>
  <c r="I43" i="23"/>
  <c r="G43" i="23"/>
  <c r="CF42" i="23"/>
  <c r="CE42" i="23"/>
  <c r="CD42" i="23"/>
  <c r="CC42" i="23"/>
  <c r="CB42" i="23"/>
  <c r="CA42" i="23"/>
  <c r="BZ42" i="23"/>
  <c r="BY42" i="23"/>
  <c r="BX42" i="23"/>
  <c r="BW42" i="23"/>
  <c r="BV42" i="23"/>
  <c r="BU42" i="23"/>
  <c r="BT42" i="23"/>
  <c r="BS42" i="23"/>
  <c r="BR42" i="23"/>
  <c r="BQ42" i="23"/>
  <c r="BP42" i="23"/>
  <c r="BO42" i="23"/>
  <c r="BM42" i="23"/>
  <c r="BK42" i="23"/>
  <c r="BJ42" i="23"/>
  <c r="BI42" i="23"/>
  <c r="AI42" i="23"/>
  <c r="AE42" i="23"/>
  <c r="AC42" i="23"/>
  <c r="AA42" i="23"/>
  <c r="Y42" i="23"/>
  <c r="W42" i="23"/>
  <c r="U42" i="23"/>
  <c r="S42" i="23"/>
  <c r="Q42" i="23"/>
  <c r="O42" i="23"/>
  <c r="M42" i="23"/>
  <c r="K42" i="23"/>
  <c r="I42" i="23"/>
  <c r="G42" i="23"/>
  <c r="CF56" i="23"/>
  <c r="CE56" i="23"/>
  <c r="CD56" i="23"/>
  <c r="CC56" i="23"/>
  <c r="CB56" i="23"/>
  <c r="CA56" i="23"/>
  <c r="BZ56" i="23"/>
  <c r="BY56" i="23"/>
  <c r="BX56" i="23"/>
  <c r="BW56" i="23"/>
  <c r="BV56" i="23"/>
  <c r="BU56" i="23"/>
  <c r="BT56" i="23"/>
  <c r="BS56" i="23"/>
  <c r="BR56" i="23"/>
  <c r="BQ56" i="23"/>
  <c r="BP56" i="23"/>
  <c r="BO56" i="23"/>
  <c r="BM56" i="23"/>
  <c r="BK56" i="23"/>
  <c r="BJ56" i="23"/>
  <c r="BI56" i="23"/>
  <c r="AI56" i="23"/>
  <c r="AE56" i="23"/>
  <c r="AC56" i="23"/>
  <c r="AA56" i="23"/>
  <c r="Y56" i="23"/>
  <c r="W56" i="23"/>
  <c r="U56" i="23"/>
  <c r="S56" i="23"/>
  <c r="Q56" i="23"/>
  <c r="O56" i="23"/>
  <c r="M56" i="23"/>
  <c r="K56" i="23"/>
  <c r="I56" i="23"/>
  <c r="G56" i="23"/>
  <c r="CF55" i="23"/>
  <c r="CE55" i="23"/>
  <c r="CD55" i="23"/>
  <c r="CC55" i="23"/>
  <c r="CB55" i="23"/>
  <c r="CA55" i="23"/>
  <c r="BZ55" i="23"/>
  <c r="BY55" i="23"/>
  <c r="BX55" i="23"/>
  <c r="BW55" i="23"/>
  <c r="BV55" i="23"/>
  <c r="BU55" i="23"/>
  <c r="BT55" i="23"/>
  <c r="BS55" i="23"/>
  <c r="BR55" i="23"/>
  <c r="BQ55" i="23"/>
  <c r="BP55" i="23"/>
  <c r="BO55" i="23"/>
  <c r="BN55" i="23"/>
  <c r="BM55" i="23"/>
  <c r="BK55" i="23"/>
  <c r="BJ55" i="23"/>
  <c r="BI55" i="23"/>
  <c r="AI55" i="23"/>
  <c r="AE55" i="23"/>
  <c r="AC55" i="23"/>
  <c r="AA55" i="23"/>
  <c r="Y55" i="23"/>
  <c r="W55" i="23"/>
  <c r="U55" i="23"/>
  <c r="S55" i="23"/>
  <c r="Q55" i="23"/>
  <c r="BL55" i="23"/>
  <c r="M55" i="23"/>
  <c r="K55" i="23"/>
  <c r="I55" i="23"/>
  <c r="G55" i="23"/>
  <c r="CF53" i="23"/>
  <c r="CE53" i="23"/>
  <c r="CD53" i="23"/>
  <c r="CC53" i="23"/>
  <c r="CB53" i="23"/>
  <c r="CA53" i="23"/>
  <c r="BZ53" i="23"/>
  <c r="BY53" i="23"/>
  <c r="BX53" i="23"/>
  <c r="BW53" i="23"/>
  <c r="BV53" i="23"/>
  <c r="BU53" i="23"/>
  <c r="BT53" i="23"/>
  <c r="BS53" i="23"/>
  <c r="BR53" i="23"/>
  <c r="BQ53" i="23"/>
  <c r="BP53" i="23"/>
  <c r="BO53" i="23"/>
  <c r="BM53" i="23"/>
  <c r="BK53" i="23"/>
  <c r="BJ53" i="23"/>
  <c r="BI53" i="23"/>
  <c r="AI53" i="23"/>
  <c r="AE53" i="23"/>
  <c r="AC53" i="23"/>
  <c r="AA53" i="23"/>
  <c r="Y53" i="23"/>
  <c r="W53" i="23"/>
  <c r="U53" i="23"/>
  <c r="BN53" i="23"/>
  <c r="Q53" i="23"/>
  <c r="BL53" i="23"/>
  <c r="M53" i="23"/>
  <c r="K53" i="23"/>
  <c r="I53" i="23"/>
  <c r="G53" i="23"/>
  <c r="CF52" i="23"/>
  <c r="CE52" i="23"/>
  <c r="CD52" i="23"/>
  <c r="CC52" i="23"/>
  <c r="CB52" i="23"/>
  <c r="CA52" i="23"/>
  <c r="BZ52" i="23"/>
  <c r="BY52" i="23"/>
  <c r="BX52" i="23"/>
  <c r="BW52" i="23"/>
  <c r="BV52" i="23"/>
  <c r="BU52" i="23"/>
  <c r="BT52" i="23"/>
  <c r="BS52" i="23"/>
  <c r="BR52" i="23"/>
  <c r="BQ52" i="23"/>
  <c r="BP52" i="23"/>
  <c r="BO52" i="23"/>
  <c r="BN52" i="23"/>
  <c r="BM52" i="23"/>
  <c r="BK52" i="23"/>
  <c r="BJ52" i="23"/>
  <c r="BI52" i="23"/>
  <c r="AI52" i="23"/>
  <c r="AE52" i="23"/>
  <c r="AC52" i="23"/>
  <c r="AA52" i="23"/>
  <c r="Y52" i="23"/>
  <c r="W52" i="23"/>
  <c r="U52" i="23"/>
  <c r="S52" i="23"/>
  <c r="Q52" i="23"/>
  <c r="BL52" i="23"/>
  <c r="M52" i="23"/>
  <c r="K52" i="23"/>
  <c r="I52" i="23"/>
  <c r="G52" i="23"/>
  <c r="CF50" i="23"/>
  <c r="CE50" i="23"/>
  <c r="CD50" i="23"/>
  <c r="CC50" i="23"/>
  <c r="CB50" i="23"/>
  <c r="CA50" i="23"/>
  <c r="BZ50" i="23"/>
  <c r="BY50" i="23"/>
  <c r="BX50" i="23"/>
  <c r="BW50" i="23"/>
  <c r="BV50" i="23"/>
  <c r="BU50" i="23"/>
  <c r="BT50" i="23"/>
  <c r="BS50" i="23"/>
  <c r="BR50" i="23"/>
  <c r="BQ50" i="23"/>
  <c r="BP50" i="23"/>
  <c r="BO50" i="23"/>
  <c r="BM50" i="23"/>
  <c r="BK50" i="23"/>
  <c r="BJ50" i="23"/>
  <c r="BI50" i="23"/>
  <c r="AI50" i="23"/>
  <c r="AE50" i="23"/>
  <c r="AC50" i="23"/>
  <c r="AA50" i="23"/>
  <c r="Y50" i="23"/>
  <c r="W50" i="23"/>
  <c r="U50" i="23"/>
  <c r="S50" i="23"/>
  <c r="Q50" i="23"/>
  <c r="BL50" i="23"/>
  <c r="M50" i="23"/>
  <c r="K50" i="23"/>
  <c r="I50" i="23"/>
  <c r="G50" i="23"/>
  <c r="CF49" i="23"/>
  <c r="CE49" i="23"/>
  <c r="CD49" i="23"/>
  <c r="CC49" i="23"/>
  <c r="CB49" i="23"/>
  <c r="CA49" i="23"/>
  <c r="BZ49" i="23"/>
  <c r="BY49" i="23"/>
  <c r="BX49" i="23"/>
  <c r="BW49" i="23"/>
  <c r="BV49" i="23"/>
  <c r="BU49" i="23"/>
  <c r="BT49" i="23"/>
  <c r="BS49" i="23"/>
  <c r="BR49" i="23"/>
  <c r="BQ49" i="23"/>
  <c r="BP49" i="23"/>
  <c r="BO49" i="23"/>
  <c r="BN49" i="23"/>
  <c r="BM49" i="23"/>
  <c r="BK49" i="23"/>
  <c r="BJ49" i="23"/>
  <c r="BI49" i="23"/>
  <c r="AI49" i="23"/>
  <c r="AE49" i="23"/>
  <c r="AC49" i="23"/>
  <c r="AA49" i="23"/>
  <c r="Y49" i="23"/>
  <c r="W49" i="23"/>
  <c r="U49" i="23"/>
  <c r="S49" i="23"/>
  <c r="Q49" i="23"/>
  <c r="BL49" i="23"/>
  <c r="M49" i="23"/>
  <c r="K49" i="23"/>
  <c r="I49" i="23"/>
  <c r="G49" i="23"/>
  <c r="BD38" i="23" l="1"/>
  <c r="BE38" i="23" s="1"/>
  <c r="BD47" i="23"/>
  <c r="BF47" i="23" s="1"/>
  <c r="BG47" i="23" s="1"/>
  <c r="BL42" i="23"/>
  <c r="BN35" i="23"/>
  <c r="BD35" i="23" s="1"/>
  <c r="O39" i="23"/>
  <c r="S38" i="23"/>
  <c r="BL34" i="23"/>
  <c r="BD34" i="23" s="1"/>
  <c r="BF34" i="23" s="1"/>
  <c r="BG34" i="23" s="1"/>
  <c r="S36" i="23"/>
  <c r="BL36" i="23"/>
  <c r="BD36" i="23" s="1"/>
  <c r="BF36" i="23" s="1"/>
  <c r="BG36" i="23" s="1"/>
  <c r="BN39" i="23"/>
  <c r="BD39" i="23" s="1"/>
  <c r="BN46" i="23"/>
  <c r="BL44" i="23"/>
  <c r="BD44" i="23" s="1"/>
  <c r="BD37" i="23"/>
  <c r="BF37" i="23" s="1"/>
  <c r="BG37" i="23" s="1"/>
  <c r="BN48" i="23"/>
  <c r="O35" i="23"/>
  <c r="O37" i="23"/>
  <c r="BN43" i="23"/>
  <c r="BD43" i="23" s="1"/>
  <c r="S40" i="23"/>
  <c r="BN42" i="23"/>
  <c r="BL40" i="23"/>
  <c r="BD40" i="23" s="1"/>
  <c r="O43" i="23"/>
  <c r="BL46" i="23"/>
  <c r="BD45" i="23"/>
  <c r="BL48" i="23"/>
  <c r="BD52" i="23"/>
  <c r="BE52" i="23" s="1"/>
  <c r="BL56" i="23"/>
  <c r="O52" i="23"/>
  <c r="BN56" i="23"/>
  <c r="O45" i="23"/>
  <c r="O47" i="23"/>
  <c r="BD49" i="23"/>
  <c r="BF49" i="23" s="1"/>
  <c r="BG49" i="23" s="1"/>
  <c r="O53" i="23"/>
  <c r="S45" i="23"/>
  <c r="O49" i="23"/>
  <c r="BD53" i="23"/>
  <c r="BF53" i="23" s="1"/>
  <c r="BG53" i="23" s="1"/>
  <c r="O50" i="23"/>
  <c r="BN50" i="23"/>
  <c r="BD50" i="23" s="1"/>
  <c r="O55" i="23"/>
  <c r="BD55" i="23"/>
  <c r="BF55" i="23" s="1"/>
  <c r="BG55" i="23" s="1"/>
  <c r="S53" i="23"/>
  <c r="Q32" i="23"/>
  <c r="W32" i="23"/>
  <c r="K32" i="23"/>
  <c r="U32" i="23"/>
  <c r="AC32" i="23"/>
  <c r="Y32" i="23"/>
  <c r="M32" i="23"/>
  <c r="AI32" i="23"/>
  <c r="AA32" i="23"/>
  <c r="I32" i="23"/>
  <c r="AE32" i="23"/>
  <c r="BD42" i="23" l="1"/>
  <c r="BF42" i="23" s="1"/>
  <c r="BG42" i="23" s="1"/>
  <c r="BE47" i="23"/>
  <c r="BF38" i="23"/>
  <c r="BG38" i="23" s="1"/>
  <c r="BD48" i="23"/>
  <c r="BE48" i="23" s="1"/>
  <c r="BD46" i="23"/>
  <c r="BF46" i="23" s="1"/>
  <c r="BG46" i="23" s="1"/>
  <c r="BF35" i="23"/>
  <c r="BG35" i="23" s="1"/>
  <c r="BE35" i="23"/>
  <c r="BF44" i="23"/>
  <c r="BG44" i="23" s="1"/>
  <c r="BE44" i="23"/>
  <c r="BF39" i="23"/>
  <c r="BG39" i="23" s="1"/>
  <c r="BE39" i="23"/>
  <c r="BE37" i="23"/>
  <c r="BE36" i="23"/>
  <c r="BE34" i="23"/>
  <c r="BF40" i="23"/>
  <c r="BG40" i="23" s="1"/>
  <c r="BE40" i="23"/>
  <c r="BD56" i="23"/>
  <c r="BE56" i="23" s="1"/>
  <c r="BF52" i="23"/>
  <c r="BG52" i="23" s="1"/>
  <c r="BE50" i="23"/>
  <c r="BF50" i="23"/>
  <c r="BG50" i="23" s="1"/>
  <c r="BF45" i="23"/>
  <c r="BG45" i="23" s="1"/>
  <c r="BE45" i="23"/>
  <c r="BE49" i="23"/>
  <c r="BE55" i="23"/>
  <c r="BE43" i="23"/>
  <c r="BF43" i="23"/>
  <c r="BG43" i="23" s="1"/>
  <c r="BE53" i="23"/>
  <c r="S32" i="23"/>
  <c r="O32" i="23"/>
  <c r="BE42" i="23" l="1"/>
  <c r="BF48" i="23"/>
  <c r="BG48" i="23" s="1"/>
  <c r="BE46" i="23"/>
  <c r="BF56" i="23"/>
  <c r="BG56" i="23" s="1"/>
  <c r="R60" i="23"/>
  <c r="R31" i="23"/>
  <c r="R30" i="23"/>
  <c r="R29" i="23"/>
  <c r="R28" i="23"/>
  <c r="N31" i="23"/>
  <c r="N30" i="23"/>
  <c r="N29" i="23"/>
  <c r="N28" i="23"/>
  <c r="BE32" i="23" l="1"/>
  <c r="H8" i="23"/>
  <c r="AI104" i="23" l="1"/>
  <c r="AI103" i="23"/>
  <c r="AI102" i="23"/>
  <c r="AI101" i="23"/>
  <c r="AI100" i="23"/>
  <c r="AI99" i="23"/>
  <c r="AI97" i="23"/>
  <c r="AI96" i="23"/>
  <c r="AI94" i="23"/>
  <c r="AI93" i="23"/>
  <c r="AI92" i="23"/>
  <c r="AI91" i="23"/>
  <c r="AI90" i="23"/>
  <c r="AI88" i="23"/>
  <c r="AI87" i="23"/>
  <c r="AI85" i="23"/>
  <c r="AI84" i="23"/>
  <c r="AI83" i="23"/>
  <c r="AI82" i="23"/>
  <c r="AI80" i="23"/>
  <c r="AI77" i="23"/>
  <c r="AI76" i="23"/>
  <c r="AI75" i="23"/>
  <c r="AI73" i="23"/>
  <c r="AI72" i="23"/>
  <c r="AI71" i="23"/>
  <c r="AI70" i="23"/>
  <c r="AI67" i="23"/>
  <c r="AI66" i="23"/>
  <c r="AI64" i="23"/>
  <c r="AI63" i="23" s="1"/>
  <c r="AI60" i="23"/>
  <c r="AI59" i="23" s="1"/>
  <c r="AI58" i="23"/>
  <c r="AI57" i="23" s="1"/>
  <c r="AI31" i="23"/>
  <c r="AI30" i="23"/>
  <c r="AI29" i="23"/>
  <c r="AI28" i="23"/>
  <c r="AI27" i="23"/>
  <c r="AI24" i="23"/>
  <c r="AI23" i="23"/>
  <c r="AI21" i="23"/>
  <c r="AI20" i="23"/>
  <c r="AI19" i="23"/>
  <c r="AI18" i="23"/>
  <c r="AI17" i="23"/>
  <c r="AI16" i="23"/>
  <c r="AI15" i="23"/>
  <c r="AI14" i="23"/>
  <c r="AI13" i="23"/>
  <c r="AI11" i="23"/>
  <c r="AI10" i="23"/>
  <c r="AI8" i="23"/>
  <c r="AI7" i="23" s="1"/>
  <c r="AE104" i="23"/>
  <c r="AE103" i="23"/>
  <c r="AE102" i="23"/>
  <c r="AE101" i="23"/>
  <c r="AE100" i="23"/>
  <c r="AE99" i="23"/>
  <c r="AE97" i="23"/>
  <c r="AE96" i="23"/>
  <c r="AE94" i="23"/>
  <c r="AE93" i="23"/>
  <c r="AE92" i="23"/>
  <c r="AE91" i="23"/>
  <c r="AE90" i="23"/>
  <c r="AE88" i="23"/>
  <c r="AE87" i="23"/>
  <c r="AE85" i="23"/>
  <c r="AE84" i="23"/>
  <c r="AE83" i="23"/>
  <c r="AE82" i="23"/>
  <c r="AE80" i="23"/>
  <c r="AE77" i="23"/>
  <c r="AE76" i="23"/>
  <c r="AE75" i="23"/>
  <c r="AE73" i="23"/>
  <c r="AE72" i="23"/>
  <c r="AE71" i="23"/>
  <c r="AE70" i="23"/>
  <c r="AE67" i="23"/>
  <c r="AE66" i="23"/>
  <c r="AE64" i="23"/>
  <c r="AE63" i="23" s="1"/>
  <c r="AE60" i="23"/>
  <c r="AE59" i="23" s="1"/>
  <c r="AE58" i="23"/>
  <c r="AE57" i="23" s="1"/>
  <c r="AE31" i="23"/>
  <c r="AE30" i="23"/>
  <c r="AE29" i="23"/>
  <c r="AE28" i="23"/>
  <c r="AE27" i="23"/>
  <c r="AE24" i="23"/>
  <c r="AE23" i="23"/>
  <c r="AE21" i="23"/>
  <c r="AE20" i="23"/>
  <c r="AE19" i="23"/>
  <c r="AE18" i="23"/>
  <c r="AE17" i="23"/>
  <c r="AE16" i="23"/>
  <c r="AE15" i="23"/>
  <c r="AE14" i="23"/>
  <c r="AE13" i="23"/>
  <c r="AE11" i="23"/>
  <c r="AE10" i="23"/>
  <c r="AE8" i="23"/>
  <c r="AE7" i="23" s="1"/>
  <c r="AC104" i="23"/>
  <c r="AC103" i="23"/>
  <c r="AC102" i="23"/>
  <c r="AC101" i="23"/>
  <c r="AC100" i="23"/>
  <c r="AC99" i="23"/>
  <c r="AC97" i="23"/>
  <c r="AC96" i="23"/>
  <c r="AC94" i="23"/>
  <c r="AC93" i="23"/>
  <c r="AC92" i="23"/>
  <c r="AC91" i="23"/>
  <c r="AC90" i="23"/>
  <c r="AC88" i="23"/>
  <c r="AC87" i="23"/>
  <c r="AC85" i="23"/>
  <c r="AC84" i="23"/>
  <c r="AC83" i="23"/>
  <c r="AC82" i="23"/>
  <c r="AC80" i="23"/>
  <c r="AC77" i="23"/>
  <c r="AC76" i="23"/>
  <c r="AC75" i="23"/>
  <c r="AC73" i="23"/>
  <c r="AC72" i="23"/>
  <c r="AC71" i="23"/>
  <c r="AC70" i="23"/>
  <c r="AC67" i="23"/>
  <c r="AC66" i="23"/>
  <c r="AC64" i="23"/>
  <c r="AC63" i="23" s="1"/>
  <c r="AC60" i="23"/>
  <c r="AC59" i="23" s="1"/>
  <c r="AC58" i="23"/>
  <c r="AC57" i="23" s="1"/>
  <c r="AC31" i="23"/>
  <c r="AC30" i="23"/>
  <c r="AC29" i="23"/>
  <c r="AC28" i="23"/>
  <c r="AC27" i="23"/>
  <c r="AC24" i="23"/>
  <c r="AC23" i="23"/>
  <c r="AC21" i="23"/>
  <c r="AC20" i="23"/>
  <c r="AC19" i="23"/>
  <c r="AC18" i="23"/>
  <c r="AC17" i="23"/>
  <c r="AC16" i="23"/>
  <c r="AC15" i="23"/>
  <c r="AC14" i="23"/>
  <c r="AC13" i="23"/>
  <c r="AC11" i="23"/>
  <c r="AC10" i="23"/>
  <c r="AC8" i="23"/>
  <c r="AC7" i="23" s="1"/>
  <c r="AA104" i="23"/>
  <c r="AA103" i="23"/>
  <c r="AA102" i="23"/>
  <c r="AA101" i="23"/>
  <c r="AA100" i="23"/>
  <c r="AA99" i="23"/>
  <c r="AA97" i="23"/>
  <c r="AA96" i="23"/>
  <c r="AA94" i="23"/>
  <c r="AA93" i="23"/>
  <c r="AA92" i="23"/>
  <c r="AA91" i="23"/>
  <c r="AA90" i="23"/>
  <c r="AA88" i="23"/>
  <c r="AA87" i="23"/>
  <c r="AA85" i="23"/>
  <c r="AA84" i="23"/>
  <c r="AA83" i="23"/>
  <c r="AA82" i="23"/>
  <c r="AA80" i="23"/>
  <c r="AA77" i="23"/>
  <c r="AA76" i="23"/>
  <c r="AA75" i="23"/>
  <c r="AA73" i="23"/>
  <c r="AA72" i="23"/>
  <c r="AA71" i="23"/>
  <c r="AA70" i="23"/>
  <c r="AA67" i="23"/>
  <c r="AA66" i="23"/>
  <c r="AA64" i="23"/>
  <c r="AA63" i="23" s="1"/>
  <c r="AA60" i="23"/>
  <c r="AA59" i="23" s="1"/>
  <c r="AA58" i="23"/>
  <c r="AA57" i="23" s="1"/>
  <c r="AA31" i="23"/>
  <c r="AA30" i="23"/>
  <c r="AA29" i="23"/>
  <c r="AA28" i="23"/>
  <c r="AA27" i="23"/>
  <c r="AA24" i="23"/>
  <c r="AA23" i="23"/>
  <c r="AA21" i="23"/>
  <c r="AA20" i="23"/>
  <c r="AA19" i="23"/>
  <c r="AA18" i="23"/>
  <c r="AA17" i="23"/>
  <c r="AA16" i="23"/>
  <c r="AA15" i="23"/>
  <c r="AA14" i="23"/>
  <c r="AA13" i="23"/>
  <c r="AA11" i="23"/>
  <c r="AA10" i="23"/>
  <c r="AA8" i="23"/>
  <c r="AA7" i="23" s="1"/>
  <c r="Y104" i="23"/>
  <c r="Y103" i="23"/>
  <c r="Y102" i="23"/>
  <c r="Y101" i="23"/>
  <c r="Y100" i="23"/>
  <c r="Y99" i="23"/>
  <c r="Y97" i="23"/>
  <c r="Y96" i="23"/>
  <c r="Y94" i="23"/>
  <c r="Y93" i="23"/>
  <c r="Y92" i="23"/>
  <c r="Y91" i="23"/>
  <c r="Y90" i="23"/>
  <c r="Y88" i="23"/>
  <c r="Y87" i="23"/>
  <c r="Y85" i="23"/>
  <c r="Y84" i="23"/>
  <c r="Y83" i="23"/>
  <c r="Y82" i="23"/>
  <c r="Y80" i="23"/>
  <c r="Y77" i="23"/>
  <c r="Y76" i="23"/>
  <c r="Y75" i="23"/>
  <c r="Y73" i="23"/>
  <c r="Y72" i="23"/>
  <c r="Y71" i="23"/>
  <c r="Y70" i="23"/>
  <c r="Y67" i="23"/>
  <c r="Y66" i="23"/>
  <c r="Y64" i="23"/>
  <c r="Y63" i="23" s="1"/>
  <c r="Y60" i="23"/>
  <c r="Y59" i="23" s="1"/>
  <c r="Y58" i="23"/>
  <c r="Y57" i="23" s="1"/>
  <c r="Y31" i="23"/>
  <c r="Y30" i="23"/>
  <c r="Y29" i="23"/>
  <c r="Y28" i="23"/>
  <c r="Y27" i="23"/>
  <c r="Y24" i="23"/>
  <c r="Y23" i="23"/>
  <c r="Y21" i="23"/>
  <c r="Y20" i="23"/>
  <c r="Y19" i="23"/>
  <c r="Y18" i="23"/>
  <c r="Y17" i="23"/>
  <c r="Y16" i="23"/>
  <c r="Y15" i="23"/>
  <c r="Y14" i="23"/>
  <c r="Y13" i="23"/>
  <c r="Y11" i="23"/>
  <c r="Y10" i="23"/>
  <c r="Y8" i="23"/>
  <c r="Y7" i="23" s="1"/>
  <c r="W104" i="23"/>
  <c r="W103" i="23"/>
  <c r="W102" i="23"/>
  <c r="W101" i="23"/>
  <c r="W100" i="23"/>
  <c r="W99" i="23"/>
  <c r="W97" i="23"/>
  <c r="W96" i="23"/>
  <c r="W94" i="23"/>
  <c r="W93" i="23"/>
  <c r="W92" i="23"/>
  <c r="W91" i="23"/>
  <c r="W90" i="23"/>
  <c r="W88" i="23"/>
  <c r="W87" i="23"/>
  <c r="W85" i="23"/>
  <c r="W84" i="23"/>
  <c r="W83" i="23"/>
  <c r="W82" i="23"/>
  <c r="W80" i="23"/>
  <c r="W77" i="23"/>
  <c r="W76" i="23"/>
  <c r="W75" i="23"/>
  <c r="W73" i="23"/>
  <c r="W72" i="23"/>
  <c r="W71" i="23"/>
  <c r="W70" i="23"/>
  <c r="W67" i="23"/>
  <c r="W66" i="23"/>
  <c r="W64" i="23"/>
  <c r="W63" i="23" s="1"/>
  <c r="W60" i="23"/>
  <c r="W59" i="23" s="1"/>
  <c r="W58" i="23"/>
  <c r="W57" i="23" s="1"/>
  <c r="W31" i="23"/>
  <c r="W30" i="23"/>
  <c r="W29" i="23"/>
  <c r="W28" i="23"/>
  <c r="W27" i="23"/>
  <c r="W24" i="23"/>
  <c r="W23" i="23"/>
  <c r="W21" i="23"/>
  <c r="W20" i="23"/>
  <c r="W19" i="23"/>
  <c r="W18" i="23"/>
  <c r="W17" i="23"/>
  <c r="W16" i="23"/>
  <c r="W15" i="23"/>
  <c r="W14" i="23"/>
  <c r="W13" i="23"/>
  <c r="W11" i="23"/>
  <c r="W10" i="23"/>
  <c r="W8" i="23"/>
  <c r="W7" i="23" s="1"/>
  <c r="U104" i="23"/>
  <c r="U103" i="23"/>
  <c r="U102" i="23"/>
  <c r="U101" i="23"/>
  <c r="U100" i="23"/>
  <c r="U99" i="23"/>
  <c r="U97" i="23"/>
  <c r="U96" i="23"/>
  <c r="U94" i="23"/>
  <c r="U93" i="23"/>
  <c r="U92" i="23"/>
  <c r="U91" i="23"/>
  <c r="U90" i="23"/>
  <c r="U88" i="23"/>
  <c r="U87" i="23"/>
  <c r="U85" i="23"/>
  <c r="U84" i="23"/>
  <c r="U83" i="23"/>
  <c r="U82" i="23"/>
  <c r="U80" i="23"/>
  <c r="U77" i="23"/>
  <c r="U76" i="23"/>
  <c r="U75" i="23"/>
  <c r="U73" i="23"/>
  <c r="U72" i="23"/>
  <c r="U71" i="23"/>
  <c r="U70" i="23"/>
  <c r="U67" i="23"/>
  <c r="U66" i="23"/>
  <c r="U64" i="23"/>
  <c r="U63" i="23" s="1"/>
  <c r="U60" i="23"/>
  <c r="U59" i="23" s="1"/>
  <c r="U58" i="23"/>
  <c r="U57" i="23" s="1"/>
  <c r="U31" i="23"/>
  <c r="U30" i="23"/>
  <c r="U29" i="23"/>
  <c r="U28" i="23"/>
  <c r="U27" i="23"/>
  <c r="U24" i="23"/>
  <c r="U23" i="23"/>
  <c r="U21" i="23"/>
  <c r="U20" i="23"/>
  <c r="U19" i="23"/>
  <c r="U18" i="23"/>
  <c r="U17" i="23"/>
  <c r="U16" i="23"/>
  <c r="U15" i="23"/>
  <c r="U14" i="23"/>
  <c r="U13" i="23"/>
  <c r="U11" i="23"/>
  <c r="U10" i="23"/>
  <c r="U8" i="23"/>
  <c r="U7" i="23" s="1"/>
  <c r="S104" i="23"/>
  <c r="S103" i="23"/>
  <c r="S102" i="23"/>
  <c r="S101" i="23"/>
  <c r="S100" i="23"/>
  <c r="S99" i="23"/>
  <c r="S97" i="23"/>
  <c r="S96" i="23"/>
  <c r="S94" i="23"/>
  <c r="S93" i="23"/>
  <c r="S92" i="23"/>
  <c r="S91" i="23"/>
  <c r="S90" i="23"/>
  <c r="S88" i="23"/>
  <c r="S87" i="23"/>
  <c r="S85" i="23"/>
  <c r="S84" i="23"/>
  <c r="S83" i="23"/>
  <c r="S82" i="23"/>
  <c r="S80" i="23"/>
  <c r="S77" i="23"/>
  <c r="S76" i="23"/>
  <c r="S75" i="23"/>
  <c r="S73" i="23"/>
  <c r="S72" i="23"/>
  <c r="S71" i="23"/>
  <c r="S70" i="23"/>
  <c r="S67" i="23"/>
  <c r="S66" i="23"/>
  <c r="S64" i="23"/>
  <c r="S63" i="23" s="1"/>
  <c r="S60" i="23"/>
  <c r="S59" i="23" s="1"/>
  <c r="S58" i="23"/>
  <c r="S57" i="23" s="1"/>
  <c r="S31" i="23"/>
  <c r="S30" i="23"/>
  <c r="S29" i="23"/>
  <c r="S28" i="23"/>
  <c r="S27" i="23"/>
  <c r="S24" i="23"/>
  <c r="S23" i="23"/>
  <c r="S21" i="23"/>
  <c r="S20" i="23"/>
  <c r="S19" i="23"/>
  <c r="S18" i="23"/>
  <c r="S17" i="23"/>
  <c r="S16" i="23"/>
  <c r="S15" i="23"/>
  <c r="S14" i="23"/>
  <c r="S13" i="23"/>
  <c r="S11" i="23"/>
  <c r="S10" i="23"/>
  <c r="S8" i="23"/>
  <c r="S7" i="23" s="1"/>
  <c r="Q104" i="23"/>
  <c r="Q103" i="23"/>
  <c r="Q102" i="23"/>
  <c r="Q101" i="23"/>
  <c r="Q100" i="23"/>
  <c r="Q99" i="23"/>
  <c r="Q97" i="23"/>
  <c r="Q96" i="23"/>
  <c r="Q94" i="23"/>
  <c r="Q93" i="23"/>
  <c r="Q92" i="23"/>
  <c r="Q91" i="23"/>
  <c r="Q90" i="23"/>
  <c r="Q88" i="23"/>
  <c r="Q87" i="23"/>
  <c r="Q85" i="23"/>
  <c r="Q84" i="23"/>
  <c r="Q83" i="23"/>
  <c r="Q82" i="23"/>
  <c r="Q80" i="23"/>
  <c r="Q77" i="23"/>
  <c r="Q76" i="23"/>
  <c r="Q75" i="23"/>
  <c r="Q73" i="23"/>
  <c r="Q72" i="23"/>
  <c r="Q71" i="23"/>
  <c r="Q70" i="23"/>
  <c r="Q67" i="23"/>
  <c r="Q66" i="23"/>
  <c r="Q64" i="23"/>
  <c r="Q63" i="23" s="1"/>
  <c r="Q60" i="23"/>
  <c r="Q59" i="23" s="1"/>
  <c r="Q58" i="23"/>
  <c r="Q57" i="23" s="1"/>
  <c r="Q31" i="23"/>
  <c r="Q30" i="23"/>
  <c r="Q29" i="23"/>
  <c r="Q28" i="23"/>
  <c r="Q27" i="23"/>
  <c r="Q24" i="23"/>
  <c r="Q23" i="23"/>
  <c r="Q21" i="23"/>
  <c r="Q20" i="23"/>
  <c r="Q19" i="23"/>
  <c r="Q18" i="23"/>
  <c r="Q17" i="23"/>
  <c r="Q16" i="23"/>
  <c r="Q15" i="23"/>
  <c r="Q14" i="23"/>
  <c r="Q13" i="23"/>
  <c r="Q11" i="23"/>
  <c r="Q10" i="23"/>
  <c r="Q8" i="23"/>
  <c r="Q7" i="23" s="1"/>
  <c r="O104" i="23"/>
  <c r="O103" i="23"/>
  <c r="O102" i="23"/>
  <c r="O101" i="23"/>
  <c r="O100" i="23"/>
  <c r="O99" i="23"/>
  <c r="O97" i="23"/>
  <c r="O96" i="23"/>
  <c r="O94" i="23"/>
  <c r="O93" i="23"/>
  <c r="O92" i="23"/>
  <c r="O91" i="23"/>
  <c r="O90" i="23"/>
  <c r="O88" i="23"/>
  <c r="O87" i="23"/>
  <c r="O85" i="23"/>
  <c r="O84" i="23"/>
  <c r="O83" i="23"/>
  <c r="O82" i="23"/>
  <c r="O80" i="23"/>
  <c r="O77" i="23"/>
  <c r="O76" i="23"/>
  <c r="O75" i="23"/>
  <c r="O73" i="23"/>
  <c r="O72" i="23"/>
  <c r="O71" i="23"/>
  <c r="O70" i="23"/>
  <c r="O67" i="23"/>
  <c r="O66" i="23"/>
  <c r="O64" i="23"/>
  <c r="O63" i="23" s="1"/>
  <c r="O60" i="23"/>
  <c r="O59" i="23" s="1"/>
  <c r="O58" i="23"/>
  <c r="O57" i="23" s="1"/>
  <c r="O31" i="23"/>
  <c r="O30" i="23"/>
  <c r="O29" i="23"/>
  <c r="O28" i="23"/>
  <c r="O27" i="23"/>
  <c r="O24" i="23"/>
  <c r="O23" i="23"/>
  <c r="O21" i="23"/>
  <c r="O20" i="23"/>
  <c r="O19" i="23"/>
  <c r="O18" i="23"/>
  <c r="O17" i="23"/>
  <c r="O16" i="23"/>
  <c r="O15" i="23"/>
  <c r="O14" i="23"/>
  <c r="O13" i="23"/>
  <c r="O11" i="23"/>
  <c r="O10" i="23"/>
  <c r="O8" i="23"/>
  <c r="O7" i="23" s="1"/>
  <c r="M104" i="23"/>
  <c r="M103" i="23"/>
  <c r="M102" i="23"/>
  <c r="M101" i="23"/>
  <c r="M100" i="23"/>
  <c r="M99" i="23"/>
  <c r="M97" i="23"/>
  <c r="M96" i="23"/>
  <c r="M94" i="23"/>
  <c r="M93" i="23"/>
  <c r="M92" i="23"/>
  <c r="M91" i="23"/>
  <c r="M90" i="23"/>
  <c r="M88" i="23"/>
  <c r="M87" i="23"/>
  <c r="M85" i="23"/>
  <c r="M84" i="23"/>
  <c r="M83" i="23"/>
  <c r="M82" i="23"/>
  <c r="M80" i="23"/>
  <c r="M77" i="23"/>
  <c r="M76" i="23"/>
  <c r="M75" i="23"/>
  <c r="M73" i="23"/>
  <c r="M72" i="23"/>
  <c r="M71" i="23"/>
  <c r="M70" i="23"/>
  <c r="M67" i="23"/>
  <c r="M66" i="23"/>
  <c r="M64" i="23"/>
  <c r="M63" i="23" s="1"/>
  <c r="M60" i="23"/>
  <c r="M59" i="23" s="1"/>
  <c r="M58" i="23"/>
  <c r="M57" i="23" s="1"/>
  <c r="M31" i="23"/>
  <c r="M30" i="23"/>
  <c r="M29" i="23"/>
  <c r="M28" i="23"/>
  <c r="M27" i="23"/>
  <c r="M24" i="23"/>
  <c r="M23" i="23"/>
  <c r="M21" i="23"/>
  <c r="M20" i="23"/>
  <c r="M19" i="23"/>
  <c r="M18" i="23"/>
  <c r="M17" i="23"/>
  <c r="M16" i="23"/>
  <c r="M15" i="23"/>
  <c r="M14" i="23"/>
  <c r="M13" i="23"/>
  <c r="M11" i="23"/>
  <c r="M10" i="23"/>
  <c r="M8" i="23"/>
  <c r="M7" i="23" s="1"/>
  <c r="G97" i="23"/>
  <c r="I97" i="23"/>
  <c r="K97" i="23"/>
  <c r="S22" i="23" l="1"/>
  <c r="AA65" i="23"/>
  <c r="AE65" i="23"/>
  <c r="AC22" i="23"/>
  <c r="Y9" i="23"/>
  <c r="U9" i="23"/>
  <c r="U65" i="23"/>
  <c r="S9" i="23"/>
  <c r="M12" i="23"/>
  <c r="W12" i="23"/>
  <c r="O65" i="23"/>
  <c r="S65" i="23"/>
  <c r="AE22" i="23"/>
  <c r="AI22" i="23"/>
  <c r="AA22" i="23"/>
  <c r="AC12" i="23"/>
  <c r="W25" i="23"/>
  <c r="AA25" i="23"/>
  <c r="AI65" i="23"/>
  <c r="Y12" i="23"/>
  <c r="W65" i="23"/>
  <c r="M9" i="23"/>
  <c r="AI12" i="23"/>
  <c r="W9" i="23"/>
  <c r="AA9" i="23"/>
  <c r="Q25" i="23"/>
  <c r="Y25" i="23"/>
  <c r="M22" i="23"/>
  <c r="Q9" i="23"/>
  <c r="Q65" i="23"/>
  <c r="U22" i="23"/>
  <c r="Q12" i="23"/>
  <c r="U25" i="23"/>
  <c r="U12" i="23"/>
  <c r="AA12" i="23"/>
  <c r="O9" i="23"/>
  <c r="AE9" i="23"/>
  <c r="AE25" i="23"/>
  <c r="O25" i="23"/>
  <c r="O12" i="23"/>
  <c r="Y65" i="23"/>
  <c r="M65" i="23"/>
  <c r="S12" i="23"/>
  <c r="AC9" i="23"/>
  <c r="AI9" i="23"/>
  <c r="AI25" i="23"/>
  <c r="O68" i="23"/>
  <c r="AC25" i="23"/>
  <c r="AC65" i="23"/>
  <c r="AE12" i="23"/>
  <c r="M68" i="23"/>
  <c r="Q68" i="23"/>
  <c r="O22" i="23"/>
  <c r="W68" i="23"/>
  <c r="M25" i="23"/>
  <c r="Q22" i="23"/>
  <c r="S68" i="23"/>
  <c r="Y68" i="23"/>
  <c r="U68" i="23"/>
  <c r="AC68" i="23"/>
  <c r="S25" i="23"/>
  <c r="W22" i="23"/>
  <c r="Y22" i="23"/>
  <c r="AA68" i="23"/>
  <c r="AE68" i="23"/>
  <c r="AI68" i="23"/>
  <c r="CF88" i="23"/>
  <c r="CE88" i="23"/>
  <c r="CD88" i="23"/>
  <c r="CC88" i="23"/>
  <c r="CB88" i="23"/>
  <c r="CA88" i="23"/>
  <c r="BZ88" i="23"/>
  <c r="BY88" i="23"/>
  <c r="BX88" i="23"/>
  <c r="BW88" i="23"/>
  <c r="BV88" i="23"/>
  <c r="BU88" i="23"/>
  <c r="BT88" i="23"/>
  <c r="BS88" i="23"/>
  <c r="BR88" i="23"/>
  <c r="BQ88" i="23"/>
  <c r="BP88" i="23"/>
  <c r="BO88" i="23"/>
  <c r="BN88" i="23"/>
  <c r="BM88" i="23"/>
  <c r="BL88" i="23"/>
  <c r="BK88" i="23"/>
  <c r="BJ88" i="23"/>
  <c r="BI88" i="23"/>
  <c r="K88" i="23"/>
  <c r="I88" i="23"/>
  <c r="G88" i="23"/>
  <c r="CF87" i="23"/>
  <c r="CE87" i="23"/>
  <c r="CD87" i="23"/>
  <c r="CC87" i="23"/>
  <c r="CB87" i="23"/>
  <c r="CA87" i="23"/>
  <c r="BZ87" i="23"/>
  <c r="BY87" i="23"/>
  <c r="BX87" i="23"/>
  <c r="BW87" i="23"/>
  <c r="BV87" i="23"/>
  <c r="BU87" i="23"/>
  <c r="BT87" i="23"/>
  <c r="BS87" i="23"/>
  <c r="BR87" i="23"/>
  <c r="BQ87" i="23"/>
  <c r="BP87" i="23"/>
  <c r="BO87" i="23"/>
  <c r="BN87" i="23"/>
  <c r="BM87" i="23"/>
  <c r="BL87" i="23"/>
  <c r="BK87" i="23"/>
  <c r="BJ87" i="23"/>
  <c r="BI87" i="23"/>
  <c r="K87" i="23"/>
  <c r="I87" i="23"/>
  <c r="G87" i="23"/>
  <c r="CF85" i="23"/>
  <c r="CE85" i="23"/>
  <c r="CD85" i="23"/>
  <c r="CC85" i="23"/>
  <c r="CB85" i="23"/>
  <c r="CA85" i="23"/>
  <c r="BZ85" i="23"/>
  <c r="BY85" i="23"/>
  <c r="BX85" i="23"/>
  <c r="BW85" i="23"/>
  <c r="BV85" i="23"/>
  <c r="BU85" i="23"/>
  <c r="BT85" i="23"/>
  <c r="BS85" i="23"/>
  <c r="BR85" i="23"/>
  <c r="BQ85" i="23"/>
  <c r="BP85" i="23"/>
  <c r="BO85" i="23"/>
  <c r="BN85" i="23"/>
  <c r="BM85" i="23"/>
  <c r="BL85" i="23"/>
  <c r="BK85" i="23"/>
  <c r="BJ85" i="23"/>
  <c r="BI85" i="23"/>
  <c r="K85" i="23"/>
  <c r="I85" i="23"/>
  <c r="G85" i="23"/>
  <c r="CF84" i="23"/>
  <c r="CE84" i="23"/>
  <c r="CD84" i="23"/>
  <c r="CC84" i="23"/>
  <c r="CB84" i="23"/>
  <c r="CA84" i="23"/>
  <c r="BZ84" i="23"/>
  <c r="BY84" i="23"/>
  <c r="BX84" i="23"/>
  <c r="BW84" i="23"/>
  <c r="BV84" i="23"/>
  <c r="BU84" i="23"/>
  <c r="BT84" i="23"/>
  <c r="BS84" i="23"/>
  <c r="BR84" i="23"/>
  <c r="BQ84" i="23"/>
  <c r="BP84" i="23"/>
  <c r="BO84" i="23"/>
  <c r="BN84" i="23"/>
  <c r="BM84" i="23"/>
  <c r="BL84" i="23"/>
  <c r="BK84" i="23"/>
  <c r="BJ84" i="23"/>
  <c r="BI84" i="23"/>
  <c r="K84" i="23"/>
  <c r="I84" i="23"/>
  <c r="G84" i="23"/>
  <c r="CF83" i="23"/>
  <c r="CE83" i="23"/>
  <c r="CD83" i="23"/>
  <c r="CC83" i="23"/>
  <c r="CB83" i="23"/>
  <c r="CA83" i="23"/>
  <c r="BZ83" i="23"/>
  <c r="BY83" i="23"/>
  <c r="BX83" i="23"/>
  <c r="BW83" i="23"/>
  <c r="BV83" i="23"/>
  <c r="BU83" i="23"/>
  <c r="BT83" i="23"/>
  <c r="BS83" i="23"/>
  <c r="BR83" i="23"/>
  <c r="BQ83" i="23"/>
  <c r="BP83" i="23"/>
  <c r="BO83" i="23"/>
  <c r="BN83" i="23"/>
  <c r="BM83" i="23"/>
  <c r="BL83" i="23"/>
  <c r="BK83" i="23"/>
  <c r="BJ83" i="23"/>
  <c r="BI83" i="23"/>
  <c r="K83" i="23"/>
  <c r="I83" i="23"/>
  <c r="G83" i="23"/>
  <c r="CF82" i="23"/>
  <c r="CE82" i="23"/>
  <c r="CD82" i="23"/>
  <c r="CC82" i="23"/>
  <c r="CB82" i="23"/>
  <c r="CA82" i="23"/>
  <c r="BZ82" i="23"/>
  <c r="BY82" i="23"/>
  <c r="BX82" i="23"/>
  <c r="BW82" i="23"/>
  <c r="BV82" i="23"/>
  <c r="BU82" i="23"/>
  <c r="BT82" i="23"/>
  <c r="BS82" i="23"/>
  <c r="BR82" i="23"/>
  <c r="BQ82" i="23"/>
  <c r="BP82" i="23"/>
  <c r="BO82" i="23"/>
  <c r="BN82" i="23"/>
  <c r="BM82" i="23"/>
  <c r="BL82" i="23"/>
  <c r="BK82" i="23"/>
  <c r="BJ82" i="23"/>
  <c r="BI82" i="23"/>
  <c r="K82" i="23"/>
  <c r="I82" i="23"/>
  <c r="G82" i="23"/>
  <c r="CF80" i="23"/>
  <c r="CE80" i="23"/>
  <c r="CD80" i="23"/>
  <c r="CC80" i="23"/>
  <c r="CB80" i="23"/>
  <c r="CA80" i="23"/>
  <c r="BZ80" i="23"/>
  <c r="BY80" i="23"/>
  <c r="BX80" i="23"/>
  <c r="BW80" i="23"/>
  <c r="BV80" i="23"/>
  <c r="BU80" i="23"/>
  <c r="BT80" i="23"/>
  <c r="BS80" i="23"/>
  <c r="BR80" i="23"/>
  <c r="BQ80" i="23"/>
  <c r="BP80" i="23"/>
  <c r="BO80" i="23"/>
  <c r="BN80" i="23"/>
  <c r="BM80" i="23"/>
  <c r="BL80" i="23"/>
  <c r="BK80" i="23"/>
  <c r="BJ80" i="23"/>
  <c r="BI80" i="23"/>
  <c r="K80" i="23"/>
  <c r="I80" i="23"/>
  <c r="G80" i="23"/>
  <c r="CF77" i="23"/>
  <c r="CE77" i="23"/>
  <c r="CD77" i="23"/>
  <c r="CC77" i="23"/>
  <c r="CB77" i="23"/>
  <c r="CA77" i="23"/>
  <c r="BZ77" i="23"/>
  <c r="BY77" i="23"/>
  <c r="BX77" i="23"/>
  <c r="BW77" i="23"/>
  <c r="BV77" i="23"/>
  <c r="BU77" i="23"/>
  <c r="BT77" i="23"/>
  <c r="BS77" i="23"/>
  <c r="BR77" i="23"/>
  <c r="BQ77" i="23"/>
  <c r="BP77" i="23"/>
  <c r="BO77" i="23"/>
  <c r="BN77" i="23"/>
  <c r="BM77" i="23"/>
  <c r="BL77" i="23"/>
  <c r="BK77" i="23"/>
  <c r="BJ77" i="23"/>
  <c r="BI77" i="23"/>
  <c r="K77" i="23"/>
  <c r="I77" i="23"/>
  <c r="G77" i="23"/>
  <c r="CF76" i="23"/>
  <c r="CE76" i="23"/>
  <c r="CD76" i="23"/>
  <c r="CC76" i="23"/>
  <c r="CB76" i="23"/>
  <c r="CA76" i="23"/>
  <c r="BZ76" i="23"/>
  <c r="BY76" i="23"/>
  <c r="BX76" i="23"/>
  <c r="BW76" i="23"/>
  <c r="BV76" i="23"/>
  <c r="BU76" i="23"/>
  <c r="BT76" i="23"/>
  <c r="BS76" i="23"/>
  <c r="BR76" i="23"/>
  <c r="BQ76" i="23"/>
  <c r="BP76" i="23"/>
  <c r="BO76" i="23"/>
  <c r="BN76" i="23"/>
  <c r="BM76" i="23"/>
  <c r="BL76" i="23"/>
  <c r="BK76" i="23"/>
  <c r="BJ76" i="23"/>
  <c r="BI76" i="23"/>
  <c r="K76" i="23"/>
  <c r="I76" i="23"/>
  <c r="G76" i="23"/>
  <c r="CF75" i="23"/>
  <c r="CE75" i="23"/>
  <c r="CD75" i="23"/>
  <c r="CC75" i="23"/>
  <c r="CB75" i="23"/>
  <c r="CA75" i="23"/>
  <c r="BZ75" i="23"/>
  <c r="BY75" i="23"/>
  <c r="BX75" i="23"/>
  <c r="BW75" i="23"/>
  <c r="BV75" i="23"/>
  <c r="BU75" i="23"/>
  <c r="BT75" i="23"/>
  <c r="BS75" i="23"/>
  <c r="BR75" i="23"/>
  <c r="BQ75" i="23"/>
  <c r="BP75" i="23"/>
  <c r="BO75" i="23"/>
  <c r="BN75" i="23"/>
  <c r="BM75" i="23"/>
  <c r="BL75" i="23"/>
  <c r="BK75" i="23"/>
  <c r="BJ75" i="23"/>
  <c r="BI75" i="23"/>
  <c r="K75" i="23"/>
  <c r="I75" i="23"/>
  <c r="G75" i="23"/>
  <c r="CF73" i="23"/>
  <c r="CE73" i="23"/>
  <c r="CD73" i="23"/>
  <c r="CC73" i="23"/>
  <c r="CB73" i="23"/>
  <c r="CA73" i="23"/>
  <c r="BZ73" i="23"/>
  <c r="BY73" i="23"/>
  <c r="BX73" i="23"/>
  <c r="BW73" i="23"/>
  <c r="BV73" i="23"/>
  <c r="BU73" i="23"/>
  <c r="BT73" i="23"/>
  <c r="BS73" i="23"/>
  <c r="BR73" i="23"/>
  <c r="BQ73" i="23"/>
  <c r="BP73" i="23"/>
  <c r="BO73" i="23"/>
  <c r="BN73" i="23"/>
  <c r="BM73" i="23"/>
  <c r="BL73" i="23"/>
  <c r="BK73" i="23"/>
  <c r="BJ73" i="23"/>
  <c r="BI73" i="23"/>
  <c r="K73" i="23"/>
  <c r="I73" i="23"/>
  <c r="G73" i="23"/>
  <c r="CF72" i="23"/>
  <c r="CE72" i="23"/>
  <c r="CD72" i="23"/>
  <c r="CC72" i="23"/>
  <c r="CB72" i="23"/>
  <c r="CA72" i="23"/>
  <c r="BZ72" i="23"/>
  <c r="BY72" i="23"/>
  <c r="BX72" i="23"/>
  <c r="BW72" i="23"/>
  <c r="BV72" i="23"/>
  <c r="BU72" i="23"/>
  <c r="BT72" i="23"/>
  <c r="BS72" i="23"/>
  <c r="BR72" i="23"/>
  <c r="BQ72" i="23"/>
  <c r="BP72" i="23"/>
  <c r="BO72" i="23"/>
  <c r="BN72" i="23"/>
  <c r="BM72" i="23"/>
  <c r="BL72" i="23"/>
  <c r="BK72" i="23"/>
  <c r="BJ72" i="23"/>
  <c r="BI72" i="23"/>
  <c r="K72" i="23"/>
  <c r="I72" i="23"/>
  <c r="G72" i="23"/>
  <c r="CF71" i="23"/>
  <c r="CE71" i="23"/>
  <c r="CD71" i="23"/>
  <c r="CC71" i="23"/>
  <c r="CB71" i="23"/>
  <c r="CA71" i="23"/>
  <c r="BZ71" i="23"/>
  <c r="BY71" i="23"/>
  <c r="BX71" i="23"/>
  <c r="BW71" i="23"/>
  <c r="BV71" i="23"/>
  <c r="BU71" i="23"/>
  <c r="BT71" i="23"/>
  <c r="BS71" i="23"/>
  <c r="BR71" i="23"/>
  <c r="BQ71" i="23"/>
  <c r="BP71" i="23"/>
  <c r="BO71" i="23"/>
  <c r="BN71" i="23"/>
  <c r="BM71" i="23"/>
  <c r="BL71" i="23"/>
  <c r="BK71" i="23"/>
  <c r="BJ71" i="23"/>
  <c r="BI71" i="23"/>
  <c r="K71" i="23"/>
  <c r="I71" i="23"/>
  <c r="G71" i="23"/>
  <c r="CF93" i="23"/>
  <c r="CE93" i="23"/>
  <c r="CD93" i="23"/>
  <c r="CC93" i="23"/>
  <c r="CB93" i="23"/>
  <c r="CA93" i="23"/>
  <c r="BZ93" i="23"/>
  <c r="BY93" i="23"/>
  <c r="BX93" i="23"/>
  <c r="BW93" i="23"/>
  <c r="BV93" i="23"/>
  <c r="BU93" i="23"/>
  <c r="BT93" i="23"/>
  <c r="BS93" i="23"/>
  <c r="BR93" i="23"/>
  <c r="BQ93" i="23"/>
  <c r="BP93" i="23"/>
  <c r="BO93" i="23"/>
  <c r="BN93" i="23"/>
  <c r="BM93" i="23"/>
  <c r="BL93" i="23"/>
  <c r="BK93" i="23"/>
  <c r="BJ93" i="23"/>
  <c r="BI93" i="23"/>
  <c r="K93" i="23"/>
  <c r="I93" i="23"/>
  <c r="G93" i="23"/>
  <c r="CF92" i="23"/>
  <c r="CE92" i="23"/>
  <c r="CD92" i="23"/>
  <c r="CC92" i="23"/>
  <c r="CB92" i="23"/>
  <c r="CA92" i="23"/>
  <c r="BZ92" i="23"/>
  <c r="BY92" i="23"/>
  <c r="BX92" i="23"/>
  <c r="BW92" i="23"/>
  <c r="BV92" i="23"/>
  <c r="BU92" i="23"/>
  <c r="BT92" i="23"/>
  <c r="BS92" i="23"/>
  <c r="BR92" i="23"/>
  <c r="BQ92" i="23"/>
  <c r="BP92" i="23"/>
  <c r="BO92" i="23"/>
  <c r="BN92" i="23"/>
  <c r="BM92" i="23"/>
  <c r="BL92" i="23"/>
  <c r="BK92" i="23"/>
  <c r="BJ92" i="23"/>
  <c r="BI92" i="23"/>
  <c r="K92" i="23"/>
  <c r="I92" i="23"/>
  <c r="G92" i="23"/>
  <c r="CF91" i="23"/>
  <c r="CE91" i="23"/>
  <c r="CD91" i="23"/>
  <c r="CC91" i="23"/>
  <c r="CB91" i="23"/>
  <c r="CA91" i="23"/>
  <c r="BZ91" i="23"/>
  <c r="BY91" i="23"/>
  <c r="BX91" i="23"/>
  <c r="BW91" i="23"/>
  <c r="BV91" i="23"/>
  <c r="BU91" i="23"/>
  <c r="BT91" i="23"/>
  <c r="BS91" i="23"/>
  <c r="BR91" i="23"/>
  <c r="BQ91" i="23"/>
  <c r="BP91" i="23"/>
  <c r="BO91" i="23"/>
  <c r="BN91" i="23"/>
  <c r="BM91" i="23"/>
  <c r="BL91" i="23"/>
  <c r="BK91" i="23"/>
  <c r="BJ91" i="23"/>
  <c r="BI91" i="23"/>
  <c r="K91" i="23"/>
  <c r="I91" i="23"/>
  <c r="G91" i="23"/>
  <c r="CF90" i="23"/>
  <c r="CE90" i="23"/>
  <c r="CD90" i="23"/>
  <c r="CC90" i="23"/>
  <c r="CB90" i="23"/>
  <c r="CA90" i="23"/>
  <c r="BZ90" i="23"/>
  <c r="BY90" i="23"/>
  <c r="BX90" i="23"/>
  <c r="BW90" i="23"/>
  <c r="BV90" i="23"/>
  <c r="BU90" i="23"/>
  <c r="BT90" i="23"/>
  <c r="BS90" i="23"/>
  <c r="BR90" i="23"/>
  <c r="BQ90" i="23"/>
  <c r="BP90" i="23"/>
  <c r="BO90" i="23"/>
  <c r="BN90" i="23"/>
  <c r="BM90" i="23"/>
  <c r="BL90" i="23"/>
  <c r="BK90" i="23"/>
  <c r="BJ90" i="23"/>
  <c r="BI90" i="23"/>
  <c r="K90" i="23"/>
  <c r="I90" i="23"/>
  <c r="G90" i="23"/>
  <c r="CF70" i="23"/>
  <c r="CE70" i="23"/>
  <c r="CD70" i="23"/>
  <c r="CC70" i="23"/>
  <c r="CB70" i="23"/>
  <c r="CA70" i="23"/>
  <c r="BZ70" i="23"/>
  <c r="BY70" i="23"/>
  <c r="BX70" i="23"/>
  <c r="BW70" i="23"/>
  <c r="BV70" i="23"/>
  <c r="BU70" i="23"/>
  <c r="BT70" i="23"/>
  <c r="BS70" i="23"/>
  <c r="BR70" i="23"/>
  <c r="BQ70" i="23"/>
  <c r="BP70" i="23"/>
  <c r="BO70" i="23"/>
  <c r="BN70" i="23"/>
  <c r="BM70" i="23"/>
  <c r="BL70" i="23"/>
  <c r="BK70" i="23"/>
  <c r="BJ70" i="23"/>
  <c r="BI70" i="23"/>
  <c r="K70" i="23"/>
  <c r="I70" i="23"/>
  <c r="G70" i="23"/>
  <c r="CF100" i="23"/>
  <c r="CE100" i="23"/>
  <c r="CD100" i="23"/>
  <c r="CC100" i="23"/>
  <c r="CB100" i="23"/>
  <c r="CA100" i="23"/>
  <c r="BZ100" i="23"/>
  <c r="BY100" i="23"/>
  <c r="BX100" i="23"/>
  <c r="BW100" i="23"/>
  <c r="BV100" i="23"/>
  <c r="BU100" i="23"/>
  <c r="BT100" i="23"/>
  <c r="BS100" i="23"/>
  <c r="BR100" i="23"/>
  <c r="BQ100" i="23"/>
  <c r="BP100" i="23"/>
  <c r="BO100" i="23"/>
  <c r="BN100" i="23"/>
  <c r="BM100" i="23"/>
  <c r="BL100" i="23"/>
  <c r="BK100" i="23"/>
  <c r="BJ100" i="23"/>
  <c r="BI100" i="23"/>
  <c r="K100" i="23"/>
  <c r="I100" i="23"/>
  <c r="G100" i="23"/>
  <c r="CF99" i="23"/>
  <c r="CE99" i="23"/>
  <c r="CD99" i="23"/>
  <c r="CC99" i="23"/>
  <c r="CB99" i="23"/>
  <c r="CA99" i="23"/>
  <c r="BZ99" i="23"/>
  <c r="BY99" i="23"/>
  <c r="BX99" i="23"/>
  <c r="BW99" i="23"/>
  <c r="BV99" i="23"/>
  <c r="BU99" i="23"/>
  <c r="BT99" i="23"/>
  <c r="BS99" i="23"/>
  <c r="BR99" i="23"/>
  <c r="BQ99" i="23"/>
  <c r="BP99" i="23"/>
  <c r="BO99" i="23"/>
  <c r="BN99" i="23"/>
  <c r="BM99" i="23"/>
  <c r="BL99" i="23"/>
  <c r="BK99" i="23"/>
  <c r="BJ99" i="23"/>
  <c r="BI99" i="23"/>
  <c r="K99" i="23"/>
  <c r="I99" i="23"/>
  <c r="G99" i="23"/>
  <c r="CF96" i="23"/>
  <c r="CE96" i="23"/>
  <c r="CD96" i="23"/>
  <c r="CC96" i="23"/>
  <c r="CB96" i="23"/>
  <c r="CA96" i="23"/>
  <c r="BZ96" i="23"/>
  <c r="BY96" i="23"/>
  <c r="BX96" i="23"/>
  <c r="BW96" i="23"/>
  <c r="BV96" i="23"/>
  <c r="BU96" i="23"/>
  <c r="BT96" i="23"/>
  <c r="BS96" i="23"/>
  <c r="BR96" i="23"/>
  <c r="BQ96" i="23"/>
  <c r="BP96" i="23"/>
  <c r="BO96" i="23"/>
  <c r="BN96" i="23"/>
  <c r="BM96" i="23"/>
  <c r="BL96" i="23"/>
  <c r="BK96" i="23"/>
  <c r="BJ96" i="23"/>
  <c r="BI96" i="23"/>
  <c r="K96" i="23"/>
  <c r="I96" i="23"/>
  <c r="G96" i="23"/>
  <c r="CF94" i="23"/>
  <c r="CE94" i="23"/>
  <c r="CD94" i="23"/>
  <c r="CC94" i="23"/>
  <c r="CB94" i="23"/>
  <c r="CA94" i="23"/>
  <c r="BZ94" i="23"/>
  <c r="BY94" i="23"/>
  <c r="BX94" i="23"/>
  <c r="BW94" i="23"/>
  <c r="BV94" i="23"/>
  <c r="BU94" i="23"/>
  <c r="BT94" i="23"/>
  <c r="BS94" i="23"/>
  <c r="BR94" i="23"/>
  <c r="BQ94" i="23"/>
  <c r="BP94" i="23"/>
  <c r="BO94" i="23"/>
  <c r="BN94" i="23"/>
  <c r="BM94" i="23"/>
  <c r="BL94" i="23"/>
  <c r="BK94" i="23"/>
  <c r="BJ94" i="23"/>
  <c r="BI94" i="23"/>
  <c r="K94" i="23"/>
  <c r="I94" i="23"/>
  <c r="G94" i="23"/>
  <c r="CF104" i="23"/>
  <c r="CE104" i="23"/>
  <c r="CD104" i="23"/>
  <c r="CC104" i="23"/>
  <c r="CB104" i="23"/>
  <c r="CA104" i="23"/>
  <c r="BZ104" i="23"/>
  <c r="BY104" i="23"/>
  <c r="BX104" i="23"/>
  <c r="BW104" i="23"/>
  <c r="BV104" i="23"/>
  <c r="BU104" i="23"/>
  <c r="BT104" i="23"/>
  <c r="BS104" i="23"/>
  <c r="BR104" i="23"/>
  <c r="BQ104" i="23"/>
  <c r="BP104" i="23"/>
  <c r="BO104" i="23"/>
  <c r="BN104" i="23"/>
  <c r="BM104" i="23"/>
  <c r="BL104" i="23"/>
  <c r="BK104" i="23"/>
  <c r="BJ104" i="23"/>
  <c r="BI104" i="23"/>
  <c r="K104" i="23"/>
  <c r="I104" i="23"/>
  <c r="G104" i="23"/>
  <c r="CF103" i="23"/>
  <c r="CE103" i="23"/>
  <c r="CD103" i="23"/>
  <c r="CC103" i="23"/>
  <c r="CB103" i="23"/>
  <c r="CA103" i="23"/>
  <c r="BZ103" i="23"/>
  <c r="BY103" i="23"/>
  <c r="BX103" i="23"/>
  <c r="BW103" i="23"/>
  <c r="BV103" i="23"/>
  <c r="BU103" i="23"/>
  <c r="BT103" i="23"/>
  <c r="BS103" i="23"/>
  <c r="BR103" i="23"/>
  <c r="BQ103" i="23"/>
  <c r="BP103" i="23"/>
  <c r="BO103" i="23"/>
  <c r="BN103" i="23"/>
  <c r="BM103" i="23"/>
  <c r="BL103" i="23"/>
  <c r="BK103" i="23"/>
  <c r="BJ103" i="23"/>
  <c r="BI103" i="23"/>
  <c r="K103" i="23"/>
  <c r="I103" i="23"/>
  <c r="G103" i="23"/>
  <c r="CF102" i="23"/>
  <c r="CE102" i="23"/>
  <c r="CD102" i="23"/>
  <c r="CC102" i="23"/>
  <c r="CB102" i="23"/>
  <c r="CA102" i="23"/>
  <c r="BZ102" i="23"/>
  <c r="BY102" i="23"/>
  <c r="BX102" i="23"/>
  <c r="BW102" i="23"/>
  <c r="BV102" i="23"/>
  <c r="BU102" i="23"/>
  <c r="BT102" i="23"/>
  <c r="BS102" i="23"/>
  <c r="BR102" i="23"/>
  <c r="BQ102" i="23"/>
  <c r="BP102" i="23"/>
  <c r="BO102" i="23"/>
  <c r="BN102" i="23"/>
  <c r="BM102" i="23"/>
  <c r="BL102" i="23"/>
  <c r="BK102" i="23"/>
  <c r="BJ102" i="23"/>
  <c r="BI102" i="23"/>
  <c r="K102" i="23"/>
  <c r="I102" i="23"/>
  <c r="G102" i="23"/>
  <c r="CF101" i="23"/>
  <c r="CE101" i="23"/>
  <c r="CD101" i="23"/>
  <c r="CC101" i="23"/>
  <c r="CB101" i="23"/>
  <c r="CA101" i="23"/>
  <c r="BZ101" i="23"/>
  <c r="BY101" i="23"/>
  <c r="BX101" i="23"/>
  <c r="BW101" i="23"/>
  <c r="BV101" i="23"/>
  <c r="BU101" i="23"/>
  <c r="BT101" i="23"/>
  <c r="BS101" i="23"/>
  <c r="BR101" i="23"/>
  <c r="BQ101" i="23"/>
  <c r="BP101" i="23"/>
  <c r="BO101" i="23"/>
  <c r="BN101" i="23"/>
  <c r="BM101" i="23"/>
  <c r="BL101" i="23"/>
  <c r="BK101" i="23"/>
  <c r="BJ101" i="23"/>
  <c r="BI101" i="23"/>
  <c r="K101" i="23"/>
  <c r="I101" i="23"/>
  <c r="G101" i="23"/>
  <c r="Q6" i="23" l="1"/>
  <c r="S6" i="23"/>
  <c r="AC6" i="23"/>
  <c r="O6" i="23"/>
  <c r="W6" i="23"/>
  <c r="M6" i="23"/>
  <c r="U6" i="23"/>
  <c r="Y6" i="23"/>
  <c r="AE6" i="23"/>
  <c r="AA6" i="23"/>
  <c r="BD75" i="23"/>
  <c r="BF75" i="23" s="1"/>
  <c r="BG75" i="23" s="1"/>
  <c r="BD80" i="23"/>
  <c r="BF80" i="23" s="1"/>
  <c r="BG80" i="23" s="1"/>
  <c r="BD84" i="23"/>
  <c r="BF84" i="23" s="1"/>
  <c r="BG84" i="23" s="1"/>
  <c r="BD88" i="23"/>
  <c r="BF88" i="23" s="1"/>
  <c r="BG88" i="23" s="1"/>
  <c r="BD83" i="23"/>
  <c r="BF83" i="23" s="1"/>
  <c r="BG83" i="23" s="1"/>
  <c r="BD87" i="23"/>
  <c r="BE87" i="23" s="1"/>
  <c r="BD82" i="23"/>
  <c r="BE82" i="23" s="1"/>
  <c r="BD73" i="23"/>
  <c r="BE73" i="23" s="1"/>
  <c r="BD77" i="23"/>
  <c r="BE77" i="23" s="1"/>
  <c r="BD93" i="23"/>
  <c r="BF93" i="23" s="1"/>
  <c r="BG93" i="23" s="1"/>
  <c r="BD72" i="23"/>
  <c r="BE72" i="23" s="1"/>
  <c r="BD85" i="23"/>
  <c r="BF85" i="23" s="1"/>
  <c r="BG85" i="23" s="1"/>
  <c r="BD76" i="23"/>
  <c r="BF76" i="23" s="1"/>
  <c r="BG76" i="23" s="1"/>
  <c r="BD71" i="23"/>
  <c r="BF71" i="23" s="1"/>
  <c r="BG71" i="23" s="1"/>
  <c r="BD90" i="23"/>
  <c r="BF90" i="23" s="1"/>
  <c r="BG90" i="23" s="1"/>
  <c r="BD91" i="23"/>
  <c r="BF91" i="23" s="1"/>
  <c r="BG91" i="23" s="1"/>
  <c r="BD100" i="23"/>
  <c r="BF100" i="23" s="1"/>
  <c r="BG100" i="23" s="1"/>
  <c r="BD70" i="23"/>
  <c r="BF70" i="23" s="1"/>
  <c r="BG70" i="23" s="1"/>
  <c r="BD92" i="23"/>
  <c r="BF92" i="23" s="1"/>
  <c r="BG92" i="23" s="1"/>
  <c r="BD99" i="23"/>
  <c r="BF99" i="23" s="1"/>
  <c r="BG99" i="23" s="1"/>
  <c r="BD94" i="23"/>
  <c r="BF94" i="23" s="1"/>
  <c r="BG94" i="23" s="1"/>
  <c r="BD96" i="23"/>
  <c r="BF96" i="23" s="1"/>
  <c r="BG96" i="23" s="1"/>
  <c r="BD101" i="23"/>
  <c r="BF101" i="23" s="1"/>
  <c r="BG101" i="23" s="1"/>
  <c r="BD103" i="23"/>
  <c r="BF103" i="23" s="1"/>
  <c r="BG103" i="23" s="1"/>
  <c r="BD104" i="23"/>
  <c r="BD102" i="23"/>
  <c r="BE102" i="23" s="1"/>
  <c r="BE104" i="23" l="1"/>
  <c r="BE88" i="23"/>
  <c r="BE84" i="23"/>
  <c r="BE75" i="23"/>
  <c r="BE90" i="23"/>
  <c r="BF82" i="23"/>
  <c r="BG82" i="23" s="1"/>
  <c r="BE80" i="23"/>
  <c r="BF102" i="23"/>
  <c r="BG102" i="23" s="1"/>
  <c r="BF77" i="23"/>
  <c r="BG77" i="23" s="1"/>
  <c r="BE83" i="23"/>
  <c r="BF73" i="23"/>
  <c r="BG73" i="23" s="1"/>
  <c r="BE71" i="23"/>
  <c r="BF72" i="23"/>
  <c r="BG72" i="23" s="1"/>
  <c r="BE94" i="23"/>
  <c r="BE99" i="23"/>
  <c r="BF87" i="23"/>
  <c r="BG87" i="23" s="1"/>
  <c r="BE76" i="23"/>
  <c r="BE85" i="23"/>
  <c r="BE100" i="23"/>
  <c r="BE92" i="23"/>
  <c r="BE70" i="23"/>
  <c r="BE93" i="23"/>
  <c r="BE91" i="23"/>
  <c r="BE96" i="23"/>
  <c r="BE103" i="23"/>
  <c r="BF104" i="23"/>
  <c r="BG104" i="23" s="1"/>
  <c r="BE101" i="23"/>
  <c r="CF30" i="23" l="1"/>
  <c r="CE30" i="23"/>
  <c r="CD30" i="23"/>
  <c r="CC30" i="23"/>
  <c r="CB30" i="23"/>
  <c r="CA30" i="23"/>
  <c r="BZ30" i="23"/>
  <c r="BY30" i="23"/>
  <c r="BX30" i="23"/>
  <c r="BW30" i="23"/>
  <c r="BV30" i="23"/>
  <c r="BU30" i="23"/>
  <c r="BT30" i="23"/>
  <c r="BS30" i="23"/>
  <c r="BR30" i="23"/>
  <c r="BQ30" i="23"/>
  <c r="BP30" i="23"/>
  <c r="BO30" i="23"/>
  <c r="BN30" i="23"/>
  <c r="BM30" i="23"/>
  <c r="BL30" i="23"/>
  <c r="BK30" i="23"/>
  <c r="BJ30" i="23"/>
  <c r="BI30" i="23"/>
  <c r="K30" i="23"/>
  <c r="I30" i="23"/>
  <c r="G30" i="23"/>
  <c r="CF29" i="23"/>
  <c r="CE29" i="23"/>
  <c r="CD29" i="23"/>
  <c r="CC29" i="23"/>
  <c r="CB29" i="23"/>
  <c r="CA29" i="23"/>
  <c r="BZ29" i="23"/>
  <c r="BY29" i="23"/>
  <c r="BX29" i="23"/>
  <c r="BW29" i="23"/>
  <c r="BV29" i="23"/>
  <c r="BU29" i="23"/>
  <c r="BT29" i="23"/>
  <c r="BS29" i="23"/>
  <c r="BR29" i="23"/>
  <c r="BQ29" i="23"/>
  <c r="BP29" i="23"/>
  <c r="BO29" i="23"/>
  <c r="BN29" i="23"/>
  <c r="BM29" i="23"/>
  <c r="BL29" i="23"/>
  <c r="BK29" i="23"/>
  <c r="BJ29" i="23"/>
  <c r="BI29" i="23"/>
  <c r="K29" i="23"/>
  <c r="I29" i="23"/>
  <c r="G29" i="23"/>
  <c r="CF28" i="23"/>
  <c r="CE28" i="23"/>
  <c r="CD28" i="23"/>
  <c r="CC28" i="23"/>
  <c r="CB28" i="23"/>
  <c r="CA28" i="23"/>
  <c r="BZ28" i="23"/>
  <c r="BY28" i="23"/>
  <c r="BX28" i="23"/>
  <c r="BW28" i="23"/>
  <c r="BV28" i="23"/>
  <c r="BU28" i="23"/>
  <c r="BT28" i="23"/>
  <c r="BS28" i="23"/>
  <c r="BR28" i="23"/>
  <c r="BQ28" i="23"/>
  <c r="BP28" i="23"/>
  <c r="BO28" i="23"/>
  <c r="BN28" i="23"/>
  <c r="BM28" i="23"/>
  <c r="BL28" i="23"/>
  <c r="BK28" i="23"/>
  <c r="BJ28" i="23"/>
  <c r="BI28" i="23"/>
  <c r="K28" i="23"/>
  <c r="I28" i="23"/>
  <c r="G28" i="23"/>
  <c r="CF27" i="23"/>
  <c r="CE27" i="23"/>
  <c r="CD27" i="23"/>
  <c r="CC27" i="23"/>
  <c r="CB27" i="23"/>
  <c r="CA27" i="23"/>
  <c r="BZ27" i="23"/>
  <c r="BY27" i="23"/>
  <c r="BX27" i="23"/>
  <c r="BW27" i="23"/>
  <c r="BV27" i="23"/>
  <c r="BU27" i="23"/>
  <c r="BT27" i="23"/>
  <c r="BS27" i="23"/>
  <c r="BR27" i="23"/>
  <c r="BQ27" i="23"/>
  <c r="BP27" i="23"/>
  <c r="BO27" i="23"/>
  <c r="BN27" i="23"/>
  <c r="BM27" i="23"/>
  <c r="BL27" i="23"/>
  <c r="BK27" i="23"/>
  <c r="BJ27" i="23"/>
  <c r="BI27" i="23"/>
  <c r="K27" i="23"/>
  <c r="I27" i="23"/>
  <c r="G27" i="23"/>
  <c r="BD30" i="23" l="1"/>
  <c r="BF30" i="23" s="1"/>
  <c r="BG30" i="23" s="1"/>
  <c r="BD29" i="23"/>
  <c r="BF29" i="23" s="1"/>
  <c r="BG29" i="23" s="1"/>
  <c r="BD28" i="23"/>
  <c r="BE28" i="23" s="1"/>
  <c r="BD27" i="23"/>
  <c r="BF27" i="23" s="1"/>
  <c r="BG27" i="23" s="1"/>
  <c r="BE27" i="23" l="1"/>
  <c r="BE29" i="23"/>
  <c r="BF28" i="23"/>
  <c r="BG28" i="23" s="1"/>
  <c r="BE30" i="23"/>
  <c r="CF58" i="23"/>
  <c r="CE58" i="23"/>
  <c r="CD58" i="23"/>
  <c r="CC58" i="23"/>
  <c r="CB58" i="23"/>
  <c r="CA58" i="23"/>
  <c r="BZ58" i="23"/>
  <c r="BY58" i="23"/>
  <c r="BX58" i="23"/>
  <c r="BW58" i="23"/>
  <c r="BV58" i="23"/>
  <c r="BU58" i="23"/>
  <c r="BT58" i="23"/>
  <c r="BS58" i="23"/>
  <c r="BR58" i="23"/>
  <c r="BQ58" i="23"/>
  <c r="BP58" i="23"/>
  <c r="BO58" i="23"/>
  <c r="BN58" i="23"/>
  <c r="BM58" i="23"/>
  <c r="BL58" i="23"/>
  <c r="BK58" i="23"/>
  <c r="BJ58" i="23"/>
  <c r="BI58" i="23"/>
  <c r="K58" i="23"/>
  <c r="K57" i="23" s="1"/>
  <c r="I58" i="23"/>
  <c r="I57" i="23" s="1"/>
  <c r="G58" i="23"/>
  <c r="G57" i="23" s="1"/>
  <c r="BD58" i="23" l="1"/>
  <c r="BF58" i="23" s="1"/>
  <c r="BG58" i="23" s="1"/>
  <c r="BE58" i="23" l="1"/>
  <c r="BE57" i="23" s="1"/>
  <c r="BG57" i="23"/>
  <c r="CF20" i="23" l="1"/>
  <c r="CE20" i="23"/>
  <c r="CD20" i="23"/>
  <c r="CC20" i="23"/>
  <c r="CB20" i="23"/>
  <c r="CA20" i="23"/>
  <c r="BZ20" i="23"/>
  <c r="BY20" i="23"/>
  <c r="BX20" i="23"/>
  <c r="BW20" i="23"/>
  <c r="BV20" i="23"/>
  <c r="BU20" i="23"/>
  <c r="BT20" i="23"/>
  <c r="BS20" i="23"/>
  <c r="BR20" i="23"/>
  <c r="BQ20" i="23"/>
  <c r="BP20" i="23"/>
  <c r="BO20" i="23"/>
  <c r="BN20" i="23"/>
  <c r="BM20" i="23"/>
  <c r="BL20" i="23"/>
  <c r="BK20" i="23"/>
  <c r="BJ20" i="23"/>
  <c r="BI20" i="23"/>
  <c r="K20" i="23"/>
  <c r="I20" i="23"/>
  <c r="G20" i="23"/>
  <c r="CF19" i="23"/>
  <c r="CE19" i="23"/>
  <c r="CD19" i="23"/>
  <c r="CC19" i="23"/>
  <c r="CB19" i="23"/>
  <c r="CA19" i="23"/>
  <c r="BZ19" i="23"/>
  <c r="BY19" i="23"/>
  <c r="BX19" i="23"/>
  <c r="BW19" i="23"/>
  <c r="BV19" i="23"/>
  <c r="BU19" i="23"/>
  <c r="BT19" i="23"/>
  <c r="BS19" i="23"/>
  <c r="BR19" i="23"/>
  <c r="BQ19" i="23"/>
  <c r="BP19" i="23"/>
  <c r="BO19" i="23"/>
  <c r="BN19" i="23"/>
  <c r="BM19" i="23"/>
  <c r="BL19" i="23"/>
  <c r="BK19" i="23"/>
  <c r="BJ19" i="23"/>
  <c r="BI19" i="23"/>
  <c r="K19" i="23"/>
  <c r="I19" i="23"/>
  <c r="G19" i="23"/>
  <c r="CF18" i="23"/>
  <c r="CE18" i="23"/>
  <c r="CD18" i="23"/>
  <c r="CC18" i="23"/>
  <c r="CB18" i="23"/>
  <c r="CA18" i="23"/>
  <c r="BZ18" i="23"/>
  <c r="BY18" i="23"/>
  <c r="BX18" i="23"/>
  <c r="BW18" i="23"/>
  <c r="BV18" i="23"/>
  <c r="BU18" i="23"/>
  <c r="BT18" i="23"/>
  <c r="BS18" i="23"/>
  <c r="BR18" i="23"/>
  <c r="BQ18" i="23"/>
  <c r="BP18" i="23"/>
  <c r="BO18" i="23"/>
  <c r="BN18" i="23"/>
  <c r="BM18" i="23"/>
  <c r="BL18" i="23"/>
  <c r="BK18" i="23"/>
  <c r="BJ18" i="23"/>
  <c r="BI18" i="23"/>
  <c r="K18" i="23"/>
  <c r="I18" i="23"/>
  <c r="G18" i="23"/>
  <c r="CF17" i="23"/>
  <c r="CE17" i="23"/>
  <c r="CD17" i="23"/>
  <c r="CC17" i="23"/>
  <c r="CB17" i="23"/>
  <c r="CA17" i="23"/>
  <c r="BZ17" i="23"/>
  <c r="BY17" i="23"/>
  <c r="BX17" i="23"/>
  <c r="BW17" i="23"/>
  <c r="BV17" i="23"/>
  <c r="BU17" i="23"/>
  <c r="BT17" i="23"/>
  <c r="BS17" i="23"/>
  <c r="BR17" i="23"/>
  <c r="BQ17" i="23"/>
  <c r="BP17" i="23"/>
  <c r="BO17" i="23"/>
  <c r="BN17" i="23"/>
  <c r="BM17" i="23"/>
  <c r="BL17" i="23"/>
  <c r="BK17" i="23"/>
  <c r="BJ17" i="23"/>
  <c r="BI17" i="23"/>
  <c r="K17" i="23"/>
  <c r="I17" i="23"/>
  <c r="G17" i="23"/>
  <c r="CF16" i="23"/>
  <c r="CE16" i="23"/>
  <c r="CD16" i="23"/>
  <c r="CC16" i="23"/>
  <c r="CB16" i="23"/>
  <c r="CA16" i="23"/>
  <c r="BZ16" i="23"/>
  <c r="BY16" i="23"/>
  <c r="BX16" i="23"/>
  <c r="BW16" i="23"/>
  <c r="BV16" i="23"/>
  <c r="BU16" i="23"/>
  <c r="BT16" i="23"/>
  <c r="BS16" i="23"/>
  <c r="BR16" i="23"/>
  <c r="BQ16" i="23"/>
  <c r="BP16" i="23"/>
  <c r="BO16" i="23"/>
  <c r="BN16" i="23"/>
  <c r="BM16" i="23"/>
  <c r="BL16" i="23"/>
  <c r="BK16" i="23"/>
  <c r="BJ16" i="23"/>
  <c r="BI16" i="23"/>
  <c r="K16" i="23"/>
  <c r="I16" i="23"/>
  <c r="G16" i="23"/>
  <c r="CF15" i="23"/>
  <c r="CE15" i="23"/>
  <c r="CD15" i="23"/>
  <c r="CC15" i="23"/>
  <c r="CB15" i="23"/>
  <c r="CA15" i="23"/>
  <c r="BZ15" i="23"/>
  <c r="BY15" i="23"/>
  <c r="BX15" i="23"/>
  <c r="BW15" i="23"/>
  <c r="BV15" i="23"/>
  <c r="BU15" i="23"/>
  <c r="BT15" i="23"/>
  <c r="BS15" i="23"/>
  <c r="BR15" i="23"/>
  <c r="BQ15" i="23"/>
  <c r="BP15" i="23"/>
  <c r="BO15" i="23"/>
  <c r="BN15" i="23"/>
  <c r="BM15" i="23"/>
  <c r="BL15" i="23"/>
  <c r="BK15" i="23"/>
  <c r="BJ15" i="23"/>
  <c r="BI15" i="23"/>
  <c r="K15" i="23"/>
  <c r="I15" i="23"/>
  <c r="G15" i="23"/>
  <c r="CF14" i="23"/>
  <c r="CE14" i="23"/>
  <c r="CD14" i="23"/>
  <c r="CC14" i="23"/>
  <c r="CB14" i="23"/>
  <c r="CA14" i="23"/>
  <c r="BZ14" i="23"/>
  <c r="BY14" i="23"/>
  <c r="BX14" i="23"/>
  <c r="BW14" i="23"/>
  <c r="BV14" i="23"/>
  <c r="BU14" i="23"/>
  <c r="BT14" i="23"/>
  <c r="BS14" i="23"/>
  <c r="BR14" i="23"/>
  <c r="BQ14" i="23"/>
  <c r="BP14" i="23"/>
  <c r="BO14" i="23"/>
  <c r="BN14" i="23"/>
  <c r="BM14" i="23"/>
  <c r="BL14" i="23"/>
  <c r="BK14" i="23"/>
  <c r="BJ14" i="23"/>
  <c r="BI14" i="23"/>
  <c r="K14" i="23"/>
  <c r="I14" i="23"/>
  <c r="G14" i="23"/>
  <c r="BD20" i="23" l="1"/>
  <c r="BF20" i="23" s="1"/>
  <c r="BG20" i="23" s="1"/>
  <c r="BD17" i="23"/>
  <c r="BF17" i="23" s="1"/>
  <c r="BG17" i="23" s="1"/>
  <c r="BD14" i="23"/>
  <c r="BE14" i="23" s="1"/>
  <c r="BD16" i="23"/>
  <c r="BF16" i="23" s="1"/>
  <c r="BG16" i="23" s="1"/>
  <c r="BD19" i="23"/>
  <c r="BF19" i="23" s="1"/>
  <c r="BG19" i="23" s="1"/>
  <c r="BD18" i="23"/>
  <c r="BE18" i="23" s="1"/>
  <c r="BD15" i="23"/>
  <c r="BF15" i="23" s="1"/>
  <c r="BG15" i="23" s="1"/>
  <c r="BE15" i="23" l="1"/>
  <c r="BE19" i="23"/>
  <c r="BE16" i="23"/>
  <c r="BF18" i="23"/>
  <c r="BG18" i="23" s="1"/>
  <c r="BE17" i="23"/>
  <c r="BF14" i="23"/>
  <c r="BG14" i="23" s="1"/>
  <c r="BE20" i="23"/>
  <c r="K67" i="23"/>
  <c r="K66" i="23"/>
  <c r="K64" i="23"/>
  <c r="K60" i="23"/>
  <c r="K31" i="23"/>
  <c r="K24" i="23"/>
  <c r="K23" i="23"/>
  <c r="K21" i="23"/>
  <c r="K13" i="23"/>
  <c r="K11" i="23"/>
  <c r="K10" i="23"/>
  <c r="K8" i="23"/>
  <c r="K7" i="23" s="1"/>
  <c r="CF67" i="23"/>
  <c r="CE67" i="23"/>
  <c r="CD67" i="23"/>
  <c r="CC67" i="23"/>
  <c r="CB67" i="23"/>
  <c r="CA67" i="23"/>
  <c r="BZ67" i="23"/>
  <c r="BY67" i="23"/>
  <c r="BX67" i="23"/>
  <c r="BW67" i="23"/>
  <c r="BV67" i="23"/>
  <c r="BU67" i="23"/>
  <c r="BT67" i="23"/>
  <c r="BS67" i="23"/>
  <c r="BR67" i="23"/>
  <c r="BL67" i="23"/>
  <c r="BK67" i="23"/>
  <c r="BJ67" i="23"/>
  <c r="BI67" i="23"/>
  <c r="BQ67" i="23"/>
  <c r="BO67" i="23"/>
  <c r="BN67" i="23"/>
  <c r="BM67" i="23"/>
  <c r="I67" i="23"/>
  <c r="G67" i="23"/>
  <c r="CF66" i="23"/>
  <c r="CE66" i="23"/>
  <c r="CD66" i="23"/>
  <c r="CC66" i="23"/>
  <c r="CB66" i="23"/>
  <c r="CA66" i="23"/>
  <c r="BZ66" i="23"/>
  <c r="BY66" i="23"/>
  <c r="BX66" i="23"/>
  <c r="BW66" i="23"/>
  <c r="BV66" i="23"/>
  <c r="BU66" i="23"/>
  <c r="BT66" i="23"/>
  <c r="BS66" i="23"/>
  <c r="BR66" i="23"/>
  <c r="BL66" i="23"/>
  <c r="BK66" i="23"/>
  <c r="BJ66" i="23"/>
  <c r="BI66" i="23"/>
  <c r="BM66" i="23"/>
  <c r="I66" i="23"/>
  <c r="G66" i="23"/>
  <c r="CF64" i="23"/>
  <c r="CE64" i="23"/>
  <c r="CD64" i="23"/>
  <c r="CC64" i="23"/>
  <c r="CB64" i="23"/>
  <c r="CA64" i="23"/>
  <c r="BZ64" i="23"/>
  <c r="BY64" i="23"/>
  <c r="BX64" i="23"/>
  <c r="BW64" i="23"/>
  <c r="BV64" i="23"/>
  <c r="BU64" i="23"/>
  <c r="BT64" i="23"/>
  <c r="BS64" i="23"/>
  <c r="BR64" i="23"/>
  <c r="BM64" i="23"/>
  <c r="BL64" i="23"/>
  <c r="BK64" i="23"/>
  <c r="BJ64" i="23"/>
  <c r="BI64" i="23"/>
  <c r="BP64" i="23"/>
  <c r="BO64" i="23"/>
  <c r="BN64" i="23"/>
  <c r="I64" i="23"/>
  <c r="G64" i="23"/>
  <c r="CF60" i="23"/>
  <c r="CE60" i="23"/>
  <c r="CD60" i="23"/>
  <c r="CC60" i="23"/>
  <c r="CB60" i="23"/>
  <c r="CA60" i="23"/>
  <c r="BZ60" i="23"/>
  <c r="BY60" i="23"/>
  <c r="BX60" i="23"/>
  <c r="BW60" i="23"/>
  <c r="BV60" i="23"/>
  <c r="BU60" i="23"/>
  <c r="BT60" i="23"/>
  <c r="BS60" i="23"/>
  <c r="BR60" i="23"/>
  <c r="BQ60" i="23"/>
  <c r="BL60" i="23"/>
  <c r="BK60" i="23"/>
  <c r="BJ60" i="23"/>
  <c r="BI60" i="23"/>
  <c r="BM60" i="23"/>
  <c r="I60" i="23"/>
  <c r="G60" i="23"/>
  <c r="CF31" i="23"/>
  <c r="CE31" i="23"/>
  <c r="CD31" i="23"/>
  <c r="CC31" i="23"/>
  <c r="CB31" i="23"/>
  <c r="CA31" i="23"/>
  <c r="BZ31" i="23"/>
  <c r="BY31" i="23"/>
  <c r="BX31" i="23"/>
  <c r="BW31" i="23"/>
  <c r="BV31" i="23"/>
  <c r="BU31" i="23"/>
  <c r="BT31" i="23"/>
  <c r="BS31" i="23"/>
  <c r="BR31" i="23"/>
  <c r="BL31" i="23"/>
  <c r="BK31" i="23"/>
  <c r="BJ31" i="23"/>
  <c r="BI31" i="23"/>
  <c r="BQ31" i="23"/>
  <c r="BP31" i="23"/>
  <c r="BO31" i="23"/>
  <c r="BN31" i="23"/>
  <c r="BM31" i="23"/>
  <c r="I31" i="23"/>
  <c r="G31" i="23"/>
  <c r="CF24" i="23"/>
  <c r="CE24" i="23"/>
  <c r="CD24" i="23"/>
  <c r="CC24" i="23"/>
  <c r="CB24" i="23"/>
  <c r="CA24" i="23"/>
  <c r="BZ24" i="23"/>
  <c r="BY24" i="23"/>
  <c r="BX24" i="23"/>
  <c r="BW24" i="23"/>
  <c r="BV24" i="23"/>
  <c r="BU24" i="23"/>
  <c r="BT24" i="23"/>
  <c r="BS24" i="23"/>
  <c r="BR24" i="23"/>
  <c r="BL24" i="23"/>
  <c r="BK24" i="23"/>
  <c r="BJ24" i="23"/>
  <c r="BI24" i="23"/>
  <c r="BQ24" i="23"/>
  <c r="I24" i="23"/>
  <c r="G24" i="23"/>
  <c r="CF23" i="23"/>
  <c r="CE23" i="23"/>
  <c r="CD23" i="23"/>
  <c r="CC23" i="23"/>
  <c r="CB23" i="23"/>
  <c r="CA23" i="23"/>
  <c r="BZ23" i="23"/>
  <c r="BY23" i="23"/>
  <c r="BX23" i="23"/>
  <c r="BW23" i="23"/>
  <c r="BV23" i="23"/>
  <c r="BU23" i="23"/>
  <c r="BT23" i="23"/>
  <c r="BS23" i="23"/>
  <c r="BR23" i="23"/>
  <c r="BL23" i="23"/>
  <c r="BK23" i="23"/>
  <c r="BJ23" i="23"/>
  <c r="BI23" i="23"/>
  <c r="BQ23" i="23"/>
  <c r="BP23" i="23"/>
  <c r="BO23" i="23"/>
  <c r="BN23" i="23"/>
  <c r="BM23" i="23"/>
  <c r="I23" i="23"/>
  <c r="G23" i="23"/>
  <c r="CF21" i="23"/>
  <c r="CE21" i="23"/>
  <c r="CD21" i="23"/>
  <c r="CC21" i="23"/>
  <c r="CB21" i="23"/>
  <c r="CA21" i="23"/>
  <c r="BZ21" i="23"/>
  <c r="BY21" i="23"/>
  <c r="BX21" i="23"/>
  <c r="BW21" i="23"/>
  <c r="BV21" i="23"/>
  <c r="BU21" i="23"/>
  <c r="BT21" i="23"/>
  <c r="BS21" i="23"/>
  <c r="BR21" i="23"/>
  <c r="BL21" i="23"/>
  <c r="BK21" i="23"/>
  <c r="BJ21" i="23"/>
  <c r="BI21" i="23"/>
  <c r="BQ21" i="23"/>
  <c r="I21" i="23"/>
  <c r="G21" i="23"/>
  <c r="CF13" i="23"/>
  <c r="CE13" i="23"/>
  <c r="CD13" i="23"/>
  <c r="CC13" i="23"/>
  <c r="CB13" i="23"/>
  <c r="CA13" i="23"/>
  <c r="BZ13" i="23"/>
  <c r="BY13" i="23"/>
  <c r="BX13" i="23"/>
  <c r="BW13" i="23"/>
  <c r="BV13" i="23"/>
  <c r="BU13" i="23"/>
  <c r="BT13" i="23"/>
  <c r="BS13" i="23"/>
  <c r="BR13" i="23"/>
  <c r="BL13" i="23"/>
  <c r="BK13" i="23"/>
  <c r="BJ13" i="23"/>
  <c r="BI13" i="23"/>
  <c r="BQ13" i="23"/>
  <c r="BP13" i="23"/>
  <c r="BO13" i="23"/>
  <c r="BN13" i="23"/>
  <c r="BM13" i="23"/>
  <c r="I13" i="23"/>
  <c r="G13" i="23"/>
  <c r="CF11" i="23"/>
  <c r="CE11" i="23"/>
  <c r="CD11" i="23"/>
  <c r="CC11" i="23"/>
  <c r="CB11" i="23"/>
  <c r="CA11" i="23"/>
  <c r="BZ11" i="23"/>
  <c r="BY11" i="23"/>
  <c r="BX11" i="23"/>
  <c r="BW11" i="23"/>
  <c r="BV11" i="23"/>
  <c r="BU11" i="23"/>
  <c r="BT11" i="23"/>
  <c r="BS11" i="23"/>
  <c r="BR11" i="23"/>
  <c r="BL11" i="23"/>
  <c r="BK11" i="23"/>
  <c r="BJ11" i="23"/>
  <c r="BI11" i="23"/>
  <c r="BQ11" i="23"/>
  <c r="I11" i="23"/>
  <c r="G11" i="23"/>
  <c r="CF10" i="23"/>
  <c r="CE10" i="23"/>
  <c r="CD10" i="23"/>
  <c r="CC10" i="23"/>
  <c r="CB10" i="23"/>
  <c r="CA10" i="23"/>
  <c r="BZ10" i="23"/>
  <c r="BY10" i="23"/>
  <c r="BX10" i="23"/>
  <c r="BW10" i="23"/>
  <c r="BV10" i="23"/>
  <c r="BU10" i="23"/>
  <c r="BT10" i="23"/>
  <c r="BS10" i="23"/>
  <c r="BR10" i="23"/>
  <c r="BL10" i="23"/>
  <c r="BK10" i="23"/>
  <c r="BJ10" i="23"/>
  <c r="BI10" i="23"/>
  <c r="BP10" i="23"/>
  <c r="BM10" i="23"/>
  <c r="I10" i="23"/>
  <c r="G10" i="23"/>
  <c r="G65" i="23" l="1"/>
  <c r="I25" i="23"/>
  <c r="I59" i="23"/>
  <c r="K65" i="23"/>
  <c r="K63" i="23"/>
  <c r="G68" i="23"/>
  <c r="K12" i="23"/>
  <c r="I9" i="23"/>
  <c r="G22" i="23"/>
  <c r="I22" i="23"/>
  <c r="G63" i="23"/>
  <c r="K68" i="23"/>
  <c r="K59" i="23"/>
  <c r="I68" i="23"/>
  <c r="K22" i="23"/>
  <c r="I65" i="23"/>
  <c r="G25" i="23"/>
  <c r="K25" i="23"/>
  <c r="G59" i="23"/>
  <c r="G12" i="23"/>
  <c r="I12" i="23"/>
  <c r="G9" i="23"/>
  <c r="K9" i="23"/>
  <c r="I63" i="23"/>
  <c r="BP60" i="23"/>
  <c r="BD31" i="23"/>
  <c r="BN66" i="23"/>
  <c r="BO66" i="23"/>
  <c r="BP66" i="23"/>
  <c r="BQ66" i="23"/>
  <c r="BQ64" i="23"/>
  <c r="BD64" i="23" s="1"/>
  <c r="BE64" i="23" s="1"/>
  <c r="BP67" i="23"/>
  <c r="BD67" i="23" s="1"/>
  <c r="BE67" i="23" s="1"/>
  <c r="BN60" i="23"/>
  <c r="BO60" i="23"/>
  <c r="BM21" i="23"/>
  <c r="BN21" i="23"/>
  <c r="BO21" i="23"/>
  <c r="BP21" i="23"/>
  <c r="BM11" i="23"/>
  <c r="BN11" i="23"/>
  <c r="BO11" i="23"/>
  <c r="BP11" i="23"/>
  <c r="BM24" i="23"/>
  <c r="BN24" i="23"/>
  <c r="BO24" i="23"/>
  <c r="BP24" i="23"/>
  <c r="BD23" i="23"/>
  <c r="BE23" i="23" s="1"/>
  <c r="BD13" i="23"/>
  <c r="BE13" i="23" s="1"/>
  <c r="BN10" i="23"/>
  <c r="BO10" i="23"/>
  <c r="BQ10" i="23"/>
  <c r="K6" i="23" l="1"/>
  <c r="BF31" i="23"/>
  <c r="BG31" i="23" s="1"/>
  <c r="BE31" i="23"/>
  <c r="BD66" i="23"/>
  <c r="BE66" i="23" s="1"/>
  <c r="BE65" i="23" s="1"/>
  <c r="BE63" i="23"/>
  <c r="BD60" i="23"/>
  <c r="BD11" i="23"/>
  <c r="BF67" i="23"/>
  <c r="BG67" i="23" s="1"/>
  <c r="BF64" i="23"/>
  <c r="BG64" i="23" s="1"/>
  <c r="BD24" i="23"/>
  <c r="BE24" i="23" s="1"/>
  <c r="BE22" i="23" s="1"/>
  <c r="BD21" i="23"/>
  <c r="BE21" i="23" s="1"/>
  <c r="BE12" i="23" s="1"/>
  <c r="BF23" i="23"/>
  <c r="BG23" i="23" s="1"/>
  <c r="BF13" i="23"/>
  <c r="BG13" i="23" s="1"/>
  <c r="BD10" i="23"/>
  <c r="BE10" i="23" s="1"/>
  <c r="CF8" i="23"/>
  <c r="CE8" i="23"/>
  <c r="CD8" i="23"/>
  <c r="CC8" i="23"/>
  <c r="CB8" i="23"/>
  <c r="CA8" i="23"/>
  <c r="BZ8" i="23"/>
  <c r="BY8" i="23"/>
  <c r="BX8" i="23"/>
  <c r="BW8" i="23"/>
  <c r="BV8" i="23"/>
  <c r="BU8" i="23"/>
  <c r="BT8" i="23"/>
  <c r="BS8" i="23"/>
  <c r="BR8" i="23"/>
  <c r="BL8" i="23"/>
  <c r="BK8" i="23"/>
  <c r="BJ8" i="23"/>
  <c r="BI8" i="23"/>
  <c r="BO8" i="23"/>
  <c r="BN8" i="23"/>
  <c r="BM8" i="23"/>
  <c r="I8" i="23"/>
  <c r="I7" i="23" s="1"/>
  <c r="I6" i="23" s="1"/>
  <c r="G8" i="23"/>
  <c r="G7" i="23" s="1"/>
  <c r="G6" i="23" s="1"/>
  <c r="H339" i="21"/>
  <c r="F339" i="21"/>
  <c r="BG25" i="23" l="1"/>
  <c r="BG68" i="23"/>
  <c r="BF21" i="23"/>
  <c r="BG21" i="23" s="1"/>
  <c r="BG12" i="23" s="1"/>
  <c r="BE68" i="23"/>
  <c r="BE25" i="23"/>
  <c r="BF24" i="23"/>
  <c r="BG24" i="23" s="1"/>
  <c r="BG22" i="23" s="1"/>
  <c r="BF11" i="23"/>
  <c r="BG11" i="23" s="1"/>
  <c r="BE11" i="23"/>
  <c r="BE9" i="23" s="1"/>
  <c r="BF60" i="23"/>
  <c r="BG60" i="23" s="1"/>
  <c r="BE60" i="23"/>
  <c r="BE59" i="23" s="1"/>
  <c r="BG63" i="23"/>
  <c r="BF66" i="23"/>
  <c r="BG66" i="23" s="1"/>
  <c r="BG65" i="23" s="1"/>
  <c r="BP8" i="23"/>
  <c r="BF10" i="23"/>
  <c r="BG10" i="23" s="1"/>
  <c r="BQ8" i="23"/>
  <c r="H797" i="21"/>
  <c r="H796" i="21"/>
  <c r="H794" i="21"/>
  <c r="H793" i="21"/>
  <c r="H792" i="21"/>
  <c r="H790" i="21"/>
  <c r="H788" i="21"/>
  <c r="H787" i="21"/>
  <c r="H784" i="21"/>
  <c r="H783" i="21"/>
  <c r="H782" i="21"/>
  <c r="H781" i="21"/>
  <c r="H780" i="21"/>
  <c r="H778" i="21"/>
  <c r="H775" i="21"/>
  <c r="H774" i="21"/>
  <c r="H772" i="21"/>
  <c r="H768" i="21"/>
  <c r="H767" i="21"/>
  <c r="H766" i="21"/>
  <c r="H764" i="21"/>
  <c r="H762" i="21"/>
  <c r="H761" i="21"/>
  <c r="H760" i="21"/>
  <c r="H759" i="21"/>
  <c r="H758" i="21"/>
  <c r="H757" i="21"/>
  <c r="H755" i="21"/>
  <c r="H754" i="21"/>
  <c r="H750" i="21"/>
  <c r="H747" i="21"/>
  <c r="H744" i="21"/>
  <c r="H743" i="21"/>
  <c r="H742" i="21"/>
  <c r="H741" i="21"/>
  <c r="H739" i="21"/>
  <c r="H738" i="21"/>
  <c r="H736" i="21"/>
  <c r="H735" i="21"/>
  <c r="H734" i="21"/>
  <c r="H732" i="21"/>
  <c r="H730" i="21"/>
  <c r="H727" i="21"/>
  <c r="H725" i="21"/>
  <c r="H724" i="21"/>
  <c r="H723" i="21"/>
  <c r="H720" i="21"/>
  <c r="H718" i="21"/>
  <c r="H717" i="21"/>
  <c r="H716" i="21"/>
  <c r="H715" i="21"/>
  <c r="H712" i="21"/>
  <c r="H711" i="21"/>
  <c r="H710" i="21"/>
  <c r="H709" i="21"/>
  <c r="H708" i="21"/>
  <c r="H707" i="21"/>
  <c r="H706" i="21"/>
  <c r="H702" i="21"/>
  <c r="H700" i="21"/>
  <c r="H698" i="21"/>
  <c r="H696" i="21"/>
  <c r="H695" i="21"/>
  <c r="H694" i="21"/>
  <c r="H691" i="21"/>
  <c r="H690" i="21"/>
  <c r="H689" i="21"/>
  <c r="H688" i="21"/>
  <c r="H687" i="21"/>
  <c r="H686" i="21"/>
  <c r="H683" i="21"/>
  <c r="H680" i="21"/>
  <c r="H676" i="21"/>
  <c r="H675" i="21"/>
  <c r="H674" i="21"/>
  <c r="H671" i="21"/>
  <c r="H668" i="21"/>
  <c r="H664" i="21"/>
  <c r="H663" i="21"/>
  <c r="H662" i="21"/>
  <c r="H661" i="21"/>
  <c r="H660" i="21"/>
  <c r="H659" i="21"/>
  <c r="H658" i="21"/>
  <c r="H657" i="21"/>
  <c r="H656" i="21"/>
  <c r="H655" i="21"/>
  <c r="H654" i="21"/>
  <c r="H651" i="21"/>
  <c r="H650" i="21"/>
  <c r="H649" i="21"/>
  <c r="H646" i="21"/>
  <c r="H642" i="21"/>
  <c r="H641" i="21"/>
  <c r="H640" i="21"/>
  <c r="H639" i="21"/>
  <c r="H638" i="21"/>
  <c r="H637" i="21"/>
  <c r="H636" i="21"/>
  <c r="H635" i="21"/>
  <c r="H634" i="21"/>
  <c r="H633" i="21"/>
  <c r="H632" i="21"/>
  <c r="H629" i="21"/>
  <c r="H628" i="21"/>
  <c r="H625" i="21"/>
  <c r="H620" i="21"/>
  <c r="H618" i="21"/>
  <c r="H617" i="21"/>
  <c r="H616" i="21"/>
  <c r="H613" i="21"/>
  <c r="H612" i="21"/>
  <c r="H610" i="21"/>
  <c r="H609" i="21"/>
  <c r="H608" i="21"/>
  <c r="H607" i="21"/>
  <c r="H606" i="21"/>
  <c r="H605" i="21"/>
  <c r="H604" i="21"/>
  <c r="H603" i="21"/>
  <c r="H602" i="21"/>
  <c r="H601" i="21"/>
  <c r="H600" i="21"/>
  <c r="H599" i="21"/>
  <c r="H598" i="21"/>
  <c r="H597" i="21"/>
  <c r="H596" i="21"/>
  <c r="H595" i="21"/>
  <c r="H594" i="21"/>
  <c r="H593" i="21"/>
  <c r="H592" i="21"/>
  <c r="H591" i="21"/>
  <c r="H590" i="21"/>
  <c r="H589" i="21"/>
  <c r="H588" i="21"/>
  <c r="H587" i="21"/>
  <c r="H586" i="21"/>
  <c r="H585" i="21"/>
  <c r="H584" i="21"/>
  <c r="H583" i="21"/>
  <c r="H582" i="21"/>
  <c r="H581" i="21"/>
  <c r="H580" i="21"/>
  <c r="H579" i="21"/>
  <c r="H578" i="21"/>
  <c r="H577" i="21"/>
  <c r="H576" i="21"/>
  <c r="H575" i="21"/>
  <c r="H574" i="21"/>
  <c r="H573" i="21"/>
  <c r="H572" i="21"/>
  <c r="H568" i="21"/>
  <c r="H567" i="21"/>
  <c r="H564" i="21"/>
  <c r="H561" i="21"/>
  <c r="H557" i="21"/>
  <c r="H555" i="21"/>
  <c r="H554" i="21"/>
  <c r="H553" i="21"/>
  <c r="H552" i="21"/>
  <c r="H551" i="21"/>
  <c r="H550" i="21"/>
  <c r="H549" i="21"/>
  <c r="H548" i="21"/>
  <c r="H547" i="21"/>
  <c r="H546" i="21"/>
  <c r="H545" i="21"/>
  <c r="H544" i="21"/>
  <c r="H543" i="21"/>
  <c r="H542" i="21"/>
  <c r="H541" i="21"/>
  <c r="H540" i="21"/>
  <c r="H539" i="21"/>
  <c r="H538" i="21"/>
  <c r="H537" i="21"/>
  <c r="H536" i="21"/>
  <c r="H533" i="21"/>
  <c r="H532" i="21"/>
  <c r="H531" i="21"/>
  <c r="H528" i="21"/>
  <c r="H527" i="21"/>
  <c r="H526" i="21"/>
  <c r="H525" i="21"/>
  <c r="H522" i="21"/>
  <c r="H520" i="21"/>
  <c r="H519" i="21"/>
  <c r="H518" i="21"/>
  <c r="H513" i="21"/>
  <c r="H512" i="21"/>
  <c r="H511" i="21"/>
  <c r="H508" i="21"/>
  <c r="H504" i="21"/>
  <c r="H503" i="21"/>
  <c r="H502" i="21"/>
  <c r="H501" i="21"/>
  <c r="H500" i="21"/>
  <c r="H499" i="21"/>
  <c r="H498" i="21"/>
  <c r="H497" i="21"/>
  <c r="H496" i="21"/>
  <c r="H495" i="21"/>
  <c r="H494" i="21"/>
  <c r="H493" i="21"/>
  <c r="H492" i="21"/>
  <c r="H491" i="21"/>
  <c r="H490" i="21"/>
  <c r="H489" i="21"/>
  <c r="H488" i="21"/>
  <c r="H487" i="21"/>
  <c r="H486" i="21"/>
  <c r="H485" i="21"/>
  <c r="H484" i="21"/>
  <c r="H483" i="21"/>
  <c r="H482" i="21"/>
  <c r="H481" i="21"/>
  <c r="H480" i="21"/>
  <c r="H479" i="21"/>
  <c r="H475" i="21"/>
  <c r="H474" i="21"/>
  <c r="H473" i="21"/>
  <c r="H472" i="21"/>
  <c r="H469" i="21"/>
  <c r="H466" i="21"/>
  <c r="H465" i="21"/>
  <c r="H462" i="21"/>
  <c r="H456" i="21"/>
  <c r="H455" i="21"/>
  <c r="H454" i="21"/>
  <c r="H453" i="21"/>
  <c r="H452" i="21"/>
  <c r="H451" i="21"/>
  <c r="H450" i="21"/>
  <c r="H449" i="21"/>
  <c r="H448" i="21"/>
  <c r="H447" i="21"/>
  <c r="H446" i="21"/>
  <c r="H445" i="21"/>
  <c r="H444" i="21"/>
  <c r="H443" i="21"/>
  <c r="H440" i="21"/>
  <c r="H439" i="21"/>
  <c r="H438" i="21"/>
  <c r="H437" i="21"/>
  <c r="H436" i="21"/>
  <c r="H435" i="21"/>
  <c r="H434" i="21"/>
  <c r="H433" i="21"/>
  <c r="H432" i="21"/>
  <c r="H431" i="21"/>
  <c r="H430" i="21"/>
  <c r="H427" i="21"/>
  <c r="H426" i="21"/>
  <c r="H423" i="21"/>
  <c r="H422" i="21"/>
  <c r="H419" i="21"/>
  <c r="H415" i="21"/>
  <c r="H414" i="21"/>
  <c r="H413" i="21"/>
  <c r="H410" i="21"/>
  <c r="H409" i="21"/>
  <c r="H408" i="21"/>
  <c r="H405" i="21"/>
  <c r="H404" i="21"/>
  <c r="H401" i="21"/>
  <c r="H397" i="21"/>
  <c r="H396" i="21"/>
  <c r="H393" i="21"/>
  <c r="H392" i="21"/>
  <c r="H391" i="21"/>
  <c r="H390" i="21"/>
  <c r="H389" i="21"/>
  <c r="H386" i="21"/>
  <c r="H385" i="21"/>
  <c r="H384" i="21"/>
  <c r="H383" i="21"/>
  <c r="H382" i="21"/>
  <c r="H379" i="21"/>
  <c r="H378" i="21"/>
  <c r="H377" i="21"/>
  <c r="H376" i="21"/>
  <c r="H370" i="21"/>
  <c r="H369" i="21"/>
  <c r="H367" i="21"/>
  <c r="H366" i="21"/>
  <c r="H365" i="21"/>
  <c r="H363" i="21"/>
  <c r="H362" i="21"/>
  <c r="H360" i="21"/>
  <c r="H359" i="21"/>
  <c r="H357" i="21"/>
  <c r="H354" i="21"/>
  <c r="H353" i="21"/>
  <c r="H352" i="21"/>
  <c r="H350" i="21"/>
  <c r="H348" i="21"/>
  <c r="H347" i="21"/>
  <c r="H345" i="21"/>
  <c r="H343" i="21"/>
  <c r="H342" i="21"/>
  <c r="H341" i="21"/>
  <c r="H336" i="21"/>
  <c r="H335" i="21"/>
  <c r="H332" i="21"/>
  <c r="H330" i="21"/>
  <c r="H328" i="21"/>
  <c r="H326" i="21"/>
  <c r="H324" i="21"/>
  <c r="H320" i="21"/>
  <c r="H317" i="21"/>
  <c r="H315" i="21"/>
  <c r="H313" i="21"/>
  <c r="H311" i="21"/>
  <c r="H309" i="21"/>
  <c r="H306" i="21"/>
  <c r="H303" i="21"/>
  <c r="H300" i="21"/>
  <c r="H298" i="21"/>
  <c r="H296" i="21"/>
  <c r="H293" i="21"/>
  <c r="H292" i="21"/>
  <c r="H289" i="21"/>
  <c r="H288" i="21"/>
  <c r="H287" i="21"/>
  <c r="H286" i="21"/>
  <c r="H285" i="21"/>
  <c r="H282" i="21"/>
  <c r="H278" i="21"/>
  <c r="H277" i="21"/>
  <c r="H276" i="21"/>
  <c r="H275" i="21"/>
  <c r="H272" i="21"/>
  <c r="H269" i="21"/>
  <c r="H266" i="21"/>
  <c r="H265" i="21"/>
  <c r="H264" i="21"/>
  <c r="H263" i="21"/>
  <c r="H260" i="21"/>
  <c r="H259" i="21"/>
  <c r="H258" i="21"/>
  <c r="H255" i="21"/>
  <c r="H254" i="21"/>
  <c r="H253" i="21"/>
  <c r="H252" i="21"/>
  <c r="H251" i="21"/>
  <c r="H250" i="21"/>
  <c r="H244" i="21"/>
  <c r="H242" i="21"/>
  <c r="H241" i="21"/>
  <c r="H240" i="21"/>
  <c r="H239" i="21"/>
  <c r="H238" i="21"/>
  <c r="H236" i="21"/>
  <c r="H234" i="21"/>
  <c r="H233" i="21"/>
  <c r="H232" i="21"/>
  <c r="H230" i="21"/>
  <c r="H229" i="21"/>
  <c r="H228" i="21"/>
  <c r="H227" i="21"/>
  <c r="H226" i="21"/>
  <c r="H225" i="21"/>
  <c r="H224" i="21"/>
  <c r="H223" i="21"/>
  <c r="H222" i="21"/>
  <c r="H221" i="21"/>
  <c r="H218" i="21"/>
  <c r="H217" i="21"/>
  <c r="H216" i="21"/>
  <c r="H215" i="21"/>
  <c r="H214" i="21"/>
  <c r="H213" i="21"/>
  <c r="H212" i="21"/>
  <c r="H211" i="21"/>
  <c r="H210" i="21"/>
  <c r="H209" i="21"/>
  <c r="H207" i="21"/>
  <c r="H206" i="21"/>
  <c r="H205" i="21"/>
  <c r="H204" i="21"/>
  <c r="H203" i="21"/>
  <c r="H201" i="21"/>
  <c r="H200" i="21"/>
  <c r="H198" i="21"/>
  <c r="H197" i="21"/>
  <c r="H195" i="21"/>
  <c r="H193" i="21"/>
  <c r="H192" i="21"/>
  <c r="H191" i="21"/>
  <c r="H190" i="21"/>
  <c r="H188" i="21"/>
  <c r="H187" i="21"/>
  <c r="H186" i="21"/>
  <c r="H184" i="21"/>
  <c r="H183" i="21"/>
  <c r="H182" i="21"/>
  <c r="H181" i="21"/>
  <c r="H180" i="21"/>
  <c r="H179" i="21"/>
  <c r="H178" i="21"/>
  <c r="H177" i="21"/>
  <c r="H175" i="21"/>
  <c r="H174" i="21"/>
  <c r="H173" i="21"/>
  <c r="H172" i="21"/>
  <c r="H170" i="21"/>
  <c r="H169" i="21"/>
  <c r="H167" i="21"/>
  <c r="H166" i="21"/>
  <c r="H165" i="21"/>
  <c r="H164" i="21"/>
  <c r="H163" i="21"/>
  <c r="H161" i="21"/>
  <c r="H160" i="21"/>
  <c r="H159" i="21"/>
  <c r="H158" i="21"/>
  <c r="H157" i="21"/>
  <c r="H156" i="21"/>
  <c r="H155" i="21"/>
  <c r="H153" i="21"/>
  <c r="H152" i="21"/>
  <c r="H151" i="21"/>
  <c r="H150" i="21"/>
  <c r="H148" i="21"/>
  <c r="H147" i="21"/>
  <c r="H146" i="21"/>
  <c r="H144" i="21"/>
  <c r="H143" i="21"/>
  <c r="H142" i="21"/>
  <c r="H141" i="21"/>
  <c r="H140" i="21"/>
  <c r="H138" i="21"/>
  <c r="H136" i="21"/>
  <c r="H134" i="21"/>
  <c r="H133" i="21"/>
  <c r="H130" i="21"/>
  <c r="H129" i="21"/>
  <c r="H127" i="21"/>
  <c r="H125" i="21"/>
  <c r="H124" i="21"/>
  <c r="H122" i="21"/>
  <c r="H121" i="21"/>
  <c r="H116" i="21"/>
  <c r="H115" i="21"/>
  <c r="H114" i="21"/>
  <c r="H113" i="21"/>
  <c r="H112" i="21"/>
  <c r="H111" i="21"/>
  <c r="H110" i="21"/>
  <c r="H104" i="21"/>
  <c r="H103" i="21"/>
  <c r="H102" i="21"/>
  <c r="H100" i="21"/>
  <c r="H99" i="21"/>
  <c r="H97" i="21"/>
  <c r="H95" i="21"/>
  <c r="H94" i="21"/>
  <c r="H93" i="21"/>
  <c r="H92" i="21"/>
  <c r="H91" i="21"/>
  <c r="H90" i="21"/>
  <c r="H89" i="21"/>
  <c r="H88" i="21"/>
  <c r="H87" i="21"/>
  <c r="H86" i="21"/>
  <c r="H85" i="21"/>
  <c r="H84" i="21"/>
  <c r="H83" i="21"/>
  <c r="H82" i="21"/>
  <c r="H81" i="21"/>
  <c r="H80" i="21"/>
  <c r="H79" i="21"/>
  <c r="H78" i="21"/>
  <c r="H76" i="21"/>
  <c r="H75" i="21"/>
  <c r="H74" i="21"/>
  <c r="H73" i="21"/>
  <c r="H70" i="21"/>
  <c r="H69" i="21"/>
  <c r="H68" i="21"/>
  <c r="H67" i="21"/>
  <c r="H66" i="21"/>
  <c r="H65" i="21"/>
  <c r="H63" i="21"/>
  <c r="H62" i="21"/>
  <c r="H61" i="21"/>
  <c r="H59" i="21"/>
  <c r="H57" i="21"/>
  <c r="H56" i="21"/>
  <c r="H55" i="21"/>
  <c r="H54" i="21"/>
  <c r="H53" i="21"/>
  <c r="H52" i="21"/>
  <c r="H51" i="21"/>
  <c r="H49" i="21"/>
  <c r="H47" i="21"/>
  <c r="H45" i="21"/>
  <c r="H42" i="21"/>
  <c r="H40" i="21"/>
  <c r="H39" i="21"/>
  <c r="H38" i="21"/>
  <c r="H37" i="21"/>
  <c r="H34" i="21"/>
  <c r="H33" i="21"/>
  <c r="H32" i="21"/>
  <c r="H31" i="21"/>
  <c r="H28" i="21"/>
  <c r="H27" i="21"/>
  <c r="H26" i="21"/>
  <c r="H25" i="21"/>
  <c r="H24" i="21"/>
  <c r="H23" i="21"/>
  <c r="H22" i="21"/>
  <c r="H21" i="21"/>
  <c r="H20" i="21"/>
  <c r="H17" i="21"/>
  <c r="H16" i="21" s="1"/>
  <c r="H15" i="21"/>
  <c r="H14" i="21"/>
  <c r="H11" i="21"/>
  <c r="H10" i="21"/>
  <c r="H9" i="21"/>
  <c r="BG59" i="23" l="1"/>
  <c r="BG9" i="23"/>
  <c r="BD8" i="23"/>
  <c r="H333" i="21"/>
  <c r="H231" i="21"/>
  <c r="H12" i="21"/>
  <c r="H29" i="21"/>
  <c r="H36" i="21"/>
  <c r="H8" i="21"/>
  <c r="H50" i="21"/>
  <c r="H208" i="21"/>
  <c r="H235" i="21"/>
  <c r="H41" i="21"/>
  <c r="H19" i="21"/>
  <c r="H46" i="21"/>
  <c r="H246" i="21"/>
  <c r="H71" i="21"/>
  <c r="H58" i="21"/>
  <c r="H697" i="21"/>
  <c r="H621" i="21"/>
  <c r="H569" i="21"/>
  <c r="H514" i="21"/>
  <c r="H372" i="21"/>
  <c r="H337" i="21"/>
  <c r="H219" i="21"/>
  <c r="H199" i="21"/>
  <c r="H117" i="21"/>
  <c r="F17" i="21"/>
  <c r="F797" i="21"/>
  <c r="F796" i="21"/>
  <c r="F794" i="21"/>
  <c r="F793" i="21"/>
  <c r="F792" i="21"/>
  <c r="F790" i="21"/>
  <c r="F788" i="21"/>
  <c r="F787" i="21"/>
  <c r="F784" i="21"/>
  <c r="F783" i="21"/>
  <c r="F782" i="21"/>
  <c r="F781" i="21"/>
  <c r="F780" i="21"/>
  <c r="F778" i="21"/>
  <c r="F775" i="21"/>
  <c r="F774" i="21"/>
  <c r="F772" i="21"/>
  <c r="F768" i="21"/>
  <c r="F767" i="21"/>
  <c r="F766" i="21"/>
  <c r="F764" i="21"/>
  <c r="F762" i="21"/>
  <c r="F761" i="21"/>
  <c r="F760" i="21"/>
  <c r="F759" i="21"/>
  <c r="F758" i="21"/>
  <c r="F757" i="21"/>
  <c r="F755" i="21"/>
  <c r="F754" i="21"/>
  <c r="F750" i="21"/>
  <c r="F747" i="21"/>
  <c r="F744" i="21"/>
  <c r="F743" i="21"/>
  <c r="F742" i="21"/>
  <c r="F741" i="21"/>
  <c r="F739" i="21"/>
  <c r="F738" i="21"/>
  <c r="F736" i="21"/>
  <c r="F735" i="21"/>
  <c r="F734" i="21"/>
  <c r="F732" i="21"/>
  <c r="F730" i="21"/>
  <c r="F725" i="21"/>
  <c r="F724" i="21"/>
  <c r="F723" i="21"/>
  <c r="F720" i="21"/>
  <c r="F718" i="21"/>
  <c r="F717" i="21"/>
  <c r="F716" i="21"/>
  <c r="F715" i="21"/>
  <c r="F712" i="21"/>
  <c r="F711" i="21"/>
  <c r="F710" i="21"/>
  <c r="F709" i="21"/>
  <c r="F708" i="21"/>
  <c r="F707" i="21"/>
  <c r="F706" i="21"/>
  <c r="F702" i="21"/>
  <c r="F700" i="21"/>
  <c r="F696" i="21"/>
  <c r="F695" i="21"/>
  <c r="F694" i="21"/>
  <c r="F691" i="21"/>
  <c r="F690" i="21"/>
  <c r="F689" i="21"/>
  <c r="F688" i="21"/>
  <c r="F687" i="21"/>
  <c r="F686" i="21"/>
  <c r="F683" i="21"/>
  <c r="F680" i="21"/>
  <c r="F676" i="21"/>
  <c r="F675" i="21"/>
  <c r="F674" i="21"/>
  <c r="F671" i="21"/>
  <c r="F668" i="21"/>
  <c r="F664" i="21"/>
  <c r="F663" i="21"/>
  <c r="F662" i="21"/>
  <c r="F661" i="21"/>
  <c r="F660" i="21"/>
  <c r="F659" i="21"/>
  <c r="F658" i="21"/>
  <c r="F657" i="21"/>
  <c r="F656" i="21"/>
  <c r="F655" i="21"/>
  <c r="F654" i="21"/>
  <c r="F651" i="21"/>
  <c r="F650" i="21"/>
  <c r="F649" i="21"/>
  <c r="F646" i="21"/>
  <c r="F642" i="21"/>
  <c r="F641" i="21"/>
  <c r="F640" i="21"/>
  <c r="F639" i="21"/>
  <c r="F638" i="21"/>
  <c r="F637" i="21"/>
  <c r="F636" i="21"/>
  <c r="F635" i="21"/>
  <c r="F634" i="21"/>
  <c r="F633" i="21"/>
  <c r="F632" i="21"/>
  <c r="F629" i="21"/>
  <c r="F628" i="21"/>
  <c r="F625" i="21"/>
  <c r="F620" i="21"/>
  <c r="F618" i="21"/>
  <c r="F617" i="21"/>
  <c r="F616" i="21"/>
  <c r="F613" i="21"/>
  <c r="F612" i="21"/>
  <c r="F610" i="21"/>
  <c r="F609" i="21"/>
  <c r="F608" i="21"/>
  <c r="F607" i="21"/>
  <c r="F606" i="21"/>
  <c r="F605" i="21"/>
  <c r="F604" i="21"/>
  <c r="F603" i="21"/>
  <c r="F602" i="21"/>
  <c r="F601" i="21"/>
  <c r="F600" i="21"/>
  <c r="F599" i="21"/>
  <c r="F598" i="21"/>
  <c r="F597" i="21"/>
  <c r="F596" i="21"/>
  <c r="F595" i="21"/>
  <c r="F594" i="21"/>
  <c r="F593" i="21"/>
  <c r="F592" i="21"/>
  <c r="F591" i="21"/>
  <c r="F590" i="21"/>
  <c r="F589" i="21"/>
  <c r="F588" i="21"/>
  <c r="F587" i="21"/>
  <c r="F586" i="21"/>
  <c r="F585" i="21"/>
  <c r="F584" i="21"/>
  <c r="F583" i="21"/>
  <c r="F582" i="21"/>
  <c r="F581" i="21"/>
  <c r="F580" i="21"/>
  <c r="F579" i="21"/>
  <c r="F578" i="21"/>
  <c r="F577" i="21"/>
  <c r="F576" i="21"/>
  <c r="F575" i="21"/>
  <c r="F574" i="21"/>
  <c r="F573" i="21"/>
  <c r="F572" i="21"/>
  <c r="F568" i="21"/>
  <c r="F567" i="21"/>
  <c r="F564" i="21"/>
  <c r="F561" i="21"/>
  <c r="F557" i="21"/>
  <c r="F555" i="21"/>
  <c r="F554" i="21"/>
  <c r="F553" i="21"/>
  <c r="F552" i="21"/>
  <c r="F551" i="21"/>
  <c r="F550" i="21"/>
  <c r="F549" i="21"/>
  <c r="F548" i="21"/>
  <c r="F547" i="21"/>
  <c r="F546" i="21"/>
  <c r="F545" i="21"/>
  <c r="F544" i="21"/>
  <c r="F543" i="21"/>
  <c r="F542" i="21"/>
  <c r="F541" i="21"/>
  <c r="F540" i="21"/>
  <c r="F539" i="21"/>
  <c r="F538" i="21"/>
  <c r="F537" i="21"/>
  <c r="F536" i="21"/>
  <c r="F533" i="21"/>
  <c r="F532" i="21"/>
  <c r="F531" i="21"/>
  <c r="F528" i="21"/>
  <c r="F527" i="21"/>
  <c r="F526" i="21"/>
  <c r="F525" i="21"/>
  <c r="F522" i="21"/>
  <c r="F520" i="21"/>
  <c r="F519" i="21"/>
  <c r="F518" i="21"/>
  <c r="F513" i="21"/>
  <c r="F512" i="21"/>
  <c r="F511" i="21"/>
  <c r="F508" i="21"/>
  <c r="F504" i="21"/>
  <c r="F503" i="21"/>
  <c r="F502" i="21"/>
  <c r="F501" i="21"/>
  <c r="F500" i="21"/>
  <c r="F499" i="21"/>
  <c r="F498" i="21"/>
  <c r="F497" i="21"/>
  <c r="F496" i="21"/>
  <c r="F495" i="21"/>
  <c r="F494" i="21"/>
  <c r="F493" i="21"/>
  <c r="F492" i="21"/>
  <c r="F491" i="21"/>
  <c r="F490" i="21"/>
  <c r="F489" i="21"/>
  <c r="F488" i="21"/>
  <c r="F487" i="21"/>
  <c r="F486" i="21"/>
  <c r="F485" i="21"/>
  <c r="F484" i="21"/>
  <c r="F483" i="21"/>
  <c r="F482" i="21"/>
  <c r="F481" i="21"/>
  <c r="F480" i="21"/>
  <c r="F479" i="21"/>
  <c r="F475" i="21"/>
  <c r="F474" i="21"/>
  <c r="F473" i="21"/>
  <c r="F472" i="21"/>
  <c r="F469" i="21"/>
  <c r="F466" i="21"/>
  <c r="F465" i="21"/>
  <c r="F462" i="21"/>
  <c r="F456" i="21"/>
  <c r="F455" i="21"/>
  <c r="F454" i="21"/>
  <c r="F453" i="21"/>
  <c r="F452" i="21"/>
  <c r="F451" i="21"/>
  <c r="F450" i="21"/>
  <c r="F449" i="21"/>
  <c r="F448" i="21"/>
  <c r="F447" i="21"/>
  <c r="F446" i="21"/>
  <c r="F445" i="21"/>
  <c r="F444" i="21"/>
  <c r="F443" i="21"/>
  <c r="F440" i="21"/>
  <c r="F439" i="21"/>
  <c r="F438" i="21"/>
  <c r="F437" i="21"/>
  <c r="F436" i="21"/>
  <c r="F435" i="21"/>
  <c r="F434" i="21"/>
  <c r="F433" i="21"/>
  <c r="F432" i="21"/>
  <c r="F431" i="21"/>
  <c r="F430" i="21"/>
  <c r="F427" i="21"/>
  <c r="F426" i="21"/>
  <c r="F423" i="21"/>
  <c r="F422" i="21"/>
  <c r="F419" i="21"/>
  <c r="F415" i="21"/>
  <c r="F414" i="21"/>
  <c r="F413" i="21"/>
  <c r="F410" i="21"/>
  <c r="F409" i="21"/>
  <c r="F408" i="21"/>
  <c r="F405" i="21"/>
  <c r="F404" i="21"/>
  <c r="F401" i="21"/>
  <c r="F397" i="21"/>
  <c r="F396" i="21"/>
  <c r="F393" i="21"/>
  <c r="F392" i="21"/>
  <c r="F391" i="21"/>
  <c r="F390" i="21"/>
  <c r="F389" i="21"/>
  <c r="F386" i="21"/>
  <c r="F385" i="21"/>
  <c r="F384" i="21"/>
  <c r="F383" i="21"/>
  <c r="F382" i="21"/>
  <c r="F379" i="21"/>
  <c r="F378" i="21"/>
  <c r="F377" i="21"/>
  <c r="F376" i="21"/>
  <c r="F370" i="21"/>
  <c r="F369" i="21"/>
  <c r="F367" i="21"/>
  <c r="F366" i="21"/>
  <c r="F365" i="21"/>
  <c r="F363" i="21"/>
  <c r="F362" i="21"/>
  <c r="F360" i="21"/>
  <c r="F359" i="21"/>
  <c r="F357" i="21"/>
  <c r="F354" i="21"/>
  <c r="F353" i="21"/>
  <c r="F352" i="21"/>
  <c r="F350" i="21"/>
  <c r="F348" i="21"/>
  <c r="F347" i="21"/>
  <c r="F345" i="21"/>
  <c r="F343" i="21"/>
  <c r="F342" i="21"/>
  <c r="F341" i="21"/>
  <c r="F336" i="21"/>
  <c r="F335" i="21"/>
  <c r="F332" i="21"/>
  <c r="F330" i="21"/>
  <c r="F328" i="21"/>
  <c r="F326" i="21"/>
  <c r="F324" i="21"/>
  <c r="F320" i="21"/>
  <c r="F317" i="21"/>
  <c r="F315" i="21"/>
  <c r="F313" i="21"/>
  <c r="F311" i="21"/>
  <c r="F309" i="21"/>
  <c r="F306" i="21"/>
  <c r="F303" i="21"/>
  <c r="F300" i="21"/>
  <c r="F298" i="21"/>
  <c r="F296" i="21"/>
  <c r="F293" i="21"/>
  <c r="F292" i="21"/>
  <c r="F289" i="21"/>
  <c r="F288" i="21"/>
  <c r="F287" i="21"/>
  <c r="F286" i="21"/>
  <c r="F285" i="21"/>
  <c r="F282" i="21"/>
  <c r="F278" i="21"/>
  <c r="F277" i="21"/>
  <c r="F276" i="21"/>
  <c r="F275" i="21"/>
  <c r="F272" i="21"/>
  <c r="F269" i="21"/>
  <c r="F266" i="21"/>
  <c r="F265" i="21"/>
  <c r="F264" i="21"/>
  <c r="F263" i="21"/>
  <c r="F260" i="21"/>
  <c r="F259" i="21"/>
  <c r="F258" i="21"/>
  <c r="F255" i="21"/>
  <c r="F254" i="21"/>
  <c r="F253" i="21"/>
  <c r="F252" i="21"/>
  <c r="F251" i="21"/>
  <c r="F250" i="21"/>
  <c r="F244" i="21"/>
  <c r="F242" i="21"/>
  <c r="F241" i="21"/>
  <c r="F240" i="21"/>
  <c r="F239" i="21"/>
  <c r="F238" i="21"/>
  <c r="F234" i="21"/>
  <c r="F233" i="21"/>
  <c r="F232" i="21"/>
  <c r="F230" i="21"/>
  <c r="F229" i="21"/>
  <c r="F228" i="21"/>
  <c r="F227" i="21"/>
  <c r="F226" i="21"/>
  <c r="F225" i="21"/>
  <c r="F224" i="21"/>
  <c r="F223" i="21"/>
  <c r="F222" i="21"/>
  <c r="F221" i="21"/>
  <c r="F218" i="21"/>
  <c r="F217" i="21"/>
  <c r="F216" i="21"/>
  <c r="F215" i="21"/>
  <c r="F214" i="21"/>
  <c r="F213" i="21"/>
  <c r="F212" i="21"/>
  <c r="F211" i="21"/>
  <c r="F210" i="21"/>
  <c r="F209" i="21"/>
  <c r="F207" i="21"/>
  <c r="F206" i="21"/>
  <c r="F205" i="21"/>
  <c r="F204" i="21"/>
  <c r="F203" i="21"/>
  <c r="F201" i="21"/>
  <c r="F200" i="21"/>
  <c r="F198" i="21"/>
  <c r="F197" i="21"/>
  <c r="F195" i="21"/>
  <c r="F193" i="21"/>
  <c r="F192" i="21"/>
  <c r="F191" i="21"/>
  <c r="F190" i="21"/>
  <c r="F188" i="21"/>
  <c r="F187" i="21"/>
  <c r="F186" i="21"/>
  <c r="F184" i="21"/>
  <c r="F183" i="21"/>
  <c r="F182" i="21"/>
  <c r="F181" i="21"/>
  <c r="F180" i="21"/>
  <c r="F179" i="21"/>
  <c r="F178" i="21"/>
  <c r="F177" i="21"/>
  <c r="F175" i="21"/>
  <c r="F174" i="21"/>
  <c r="F173" i="21"/>
  <c r="F172" i="21"/>
  <c r="F170" i="21"/>
  <c r="F169" i="21"/>
  <c r="F167" i="21"/>
  <c r="F166" i="21"/>
  <c r="F165" i="21"/>
  <c r="F164" i="21"/>
  <c r="F163" i="21"/>
  <c r="F161" i="21"/>
  <c r="F160" i="21"/>
  <c r="F159" i="21"/>
  <c r="F158" i="21"/>
  <c r="F157" i="21"/>
  <c r="F156" i="21"/>
  <c r="F155" i="21"/>
  <c r="F153" i="21"/>
  <c r="F152" i="21"/>
  <c r="F151" i="21"/>
  <c r="F150" i="21"/>
  <c r="F148" i="21"/>
  <c r="F147" i="21"/>
  <c r="F146" i="21"/>
  <c r="F144" i="21"/>
  <c r="F143" i="21"/>
  <c r="F142" i="21"/>
  <c r="F141" i="21"/>
  <c r="F140" i="21"/>
  <c r="F138" i="21"/>
  <c r="F136" i="21"/>
  <c r="F134" i="21"/>
  <c r="F133" i="21"/>
  <c r="F130" i="21"/>
  <c r="F129" i="21"/>
  <c r="F127" i="21"/>
  <c r="F125" i="21"/>
  <c r="F124" i="21"/>
  <c r="F122" i="21"/>
  <c r="F121" i="21"/>
  <c r="F116" i="21"/>
  <c r="F115" i="21"/>
  <c r="F114" i="21"/>
  <c r="F113" i="21"/>
  <c r="F112" i="21"/>
  <c r="F111" i="21"/>
  <c r="F110" i="21"/>
  <c r="F104" i="21"/>
  <c r="F103" i="21"/>
  <c r="F102" i="21"/>
  <c r="F100" i="21"/>
  <c r="F99" i="21"/>
  <c r="F97" i="21"/>
  <c r="F95" i="21"/>
  <c r="F94" i="21"/>
  <c r="F93" i="21"/>
  <c r="F92" i="21"/>
  <c r="F91" i="21"/>
  <c r="F90" i="21"/>
  <c r="F89" i="21"/>
  <c r="F88" i="21"/>
  <c r="F87" i="21"/>
  <c r="F86" i="21"/>
  <c r="F85" i="21"/>
  <c r="F84" i="21"/>
  <c r="F83" i="21"/>
  <c r="F82" i="21"/>
  <c r="F81" i="21"/>
  <c r="F80" i="21"/>
  <c r="F79" i="21"/>
  <c r="F78" i="21"/>
  <c r="F76" i="21"/>
  <c r="F75" i="21"/>
  <c r="F74" i="21"/>
  <c r="F70" i="21"/>
  <c r="F69" i="21"/>
  <c r="F68" i="21"/>
  <c r="F67" i="21"/>
  <c r="F66" i="21"/>
  <c r="F65" i="21"/>
  <c r="F63" i="21"/>
  <c r="F62" i="21"/>
  <c r="F61" i="21"/>
  <c r="F59" i="21"/>
  <c r="F57" i="21"/>
  <c r="F56" i="21"/>
  <c r="F55" i="21"/>
  <c r="F54" i="21"/>
  <c r="F53" i="21"/>
  <c r="F52" i="21"/>
  <c r="F51" i="21"/>
  <c r="F49" i="21"/>
  <c r="F47" i="21"/>
  <c r="F45" i="21"/>
  <c r="F42" i="21"/>
  <c r="F40" i="21"/>
  <c r="F39" i="21"/>
  <c r="F38" i="21"/>
  <c r="F37" i="21"/>
  <c r="F34" i="21"/>
  <c r="F33" i="21"/>
  <c r="F32" i="21"/>
  <c r="F31" i="21"/>
  <c r="F28" i="21"/>
  <c r="F27" i="21"/>
  <c r="F26" i="21"/>
  <c r="F25" i="21"/>
  <c r="F24" i="21"/>
  <c r="F23" i="21"/>
  <c r="F22" i="21"/>
  <c r="F21" i="21"/>
  <c r="F20" i="21"/>
  <c r="F15" i="21"/>
  <c r="F14" i="21"/>
  <c r="F11" i="21"/>
  <c r="F10" i="21"/>
  <c r="F9" i="21"/>
  <c r="CG116" i="23" l="1"/>
  <c r="BV116" i="23"/>
  <c r="BD116" i="23" s="1"/>
  <c r="AI116" i="23"/>
  <c r="BV162" i="23"/>
  <c r="BD162" i="23" s="1"/>
  <c r="AI162" i="23"/>
  <c r="AI149" i="23"/>
  <c r="BV149" i="23"/>
  <c r="BD149" i="23" s="1"/>
  <c r="CG122" i="23"/>
  <c r="BV122" i="23"/>
  <c r="BD122" i="23" s="1"/>
  <c r="AI122" i="23"/>
  <c r="CG115" i="23"/>
  <c r="BV115" i="23"/>
  <c r="BD115" i="23" s="1"/>
  <c r="AI115" i="23"/>
  <c r="AI150" i="23"/>
  <c r="BV150" i="23"/>
  <c r="BD150" i="23" s="1"/>
  <c r="AI161" i="23"/>
  <c r="BV161" i="23"/>
  <c r="BD161" i="23" s="1"/>
  <c r="CG123" i="23"/>
  <c r="BV123" i="23"/>
  <c r="BD123" i="23" s="1"/>
  <c r="AI123" i="23"/>
  <c r="CG114" i="23"/>
  <c r="BV114" i="23"/>
  <c r="BD114" i="23" s="1"/>
  <c r="AI114" i="23"/>
  <c r="BV151" i="23"/>
  <c r="BD151" i="23" s="1"/>
  <c r="AI151" i="23"/>
  <c r="CG118" i="23"/>
  <c r="AI118" i="23"/>
  <c r="BV118" i="23"/>
  <c r="BD118" i="23" s="1"/>
  <c r="BV152" i="23"/>
  <c r="BD152" i="23" s="1"/>
  <c r="AI152" i="23"/>
  <c r="CG124" i="23"/>
  <c r="BV124" i="23"/>
  <c r="BD124" i="23" s="1"/>
  <c r="AI124" i="23"/>
  <c r="BV153" i="23"/>
  <c r="BD153" i="23" s="1"/>
  <c r="AI153" i="23"/>
  <c r="F337" i="21"/>
  <c r="BF8" i="23"/>
  <c r="BG8" i="23" s="1"/>
  <c r="BG7" i="23" s="1"/>
  <c r="BE8" i="23"/>
  <c r="BE7" i="23" s="1"/>
  <c r="H7" i="21"/>
  <c r="H371" i="21"/>
  <c r="H245" i="21"/>
  <c r="H18" i="21"/>
  <c r="F16" i="21"/>
  <c r="F333" i="21"/>
  <c r="F235" i="21"/>
  <c r="F41" i="21"/>
  <c r="F29" i="21"/>
  <c r="F8" i="21"/>
  <c r="F46" i="21"/>
  <c r="F231" i="21"/>
  <c r="F12" i="21"/>
  <c r="F372" i="21"/>
  <c r="F569" i="21"/>
  <c r="F36" i="21"/>
  <c r="F219" i="21"/>
  <c r="F514" i="21"/>
  <c r="F50" i="21"/>
  <c r="F208" i="21"/>
  <c r="F199" i="21"/>
  <c r="F117" i="21"/>
  <c r="F73" i="21"/>
  <c r="F71" i="21" s="1"/>
  <c r="F58" i="21"/>
  <c r="F19" i="21"/>
  <c r="F621" i="21"/>
  <c r="F246" i="21"/>
  <c r="BF153" i="23" l="1"/>
  <c r="BG153" i="23" s="1"/>
  <c r="BE153" i="23"/>
  <c r="CG141" i="23"/>
  <c r="BV141" i="23"/>
  <c r="BD141" i="23" s="1"/>
  <c r="AI141" i="23"/>
  <c r="CG119" i="23"/>
  <c r="AI119" i="23"/>
  <c r="BV119" i="23"/>
  <c r="BD119" i="23" s="1"/>
  <c r="BF161" i="23"/>
  <c r="BG161" i="23" s="1"/>
  <c r="BE161" i="23"/>
  <c r="BF149" i="23"/>
  <c r="BG149" i="23" s="1"/>
  <c r="BE149" i="23"/>
  <c r="BF124" i="23"/>
  <c r="BG124" i="23" s="1"/>
  <c r="BE124" i="23"/>
  <c r="CG117" i="23"/>
  <c r="BV117" i="23"/>
  <c r="BD117" i="23" s="1"/>
  <c r="AI117" i="23"/>
  <c r="CG113" i="23"/>
  <c r="AI113" i="23"/>
  <c r="BV113" i="23"/>
  <c r="BD113" i="23" s="1"/>
  <c r="BE162" i="23"/>
  <c r="BF162" i="23"/>
  <c r="BG162" i="23" s="1"/>
  <c r="BF152" i="23"/>
  <c r="BG152" i="23" s="1"/>
  <c r="BE152" i="23"/>
  <c r="BF150" i="23"/>
  <c r="BG150" i="23" s="1"/>
  <c r="BE150" i="23"/>
  <c r="BV163" i="23"/>
  <c r="BD163" i="23" s="1"/>
  <c r="AI163" i="23"/>
  <c r="AI144" i="23" s="1"/>
  <c r="BE118" i="23"/>
  <c r="BF118" i="23"/>
  <c r="BG118" i="23" s="1"/>
  <c r="BF151" i="23"/>
  <c r="BG151" i="23" s="1"/>
  <c r="BE151" i="23"/>
  <c r="CG112" i="23"/>
  <c r="AI112" i="23"/>
  <c r="BV112" i="23"/>
  <c r="BD112" i="23" s="1"/>
  <c r="CG138" i="23"/>
  <c r="BV138" i="23"/>
  <c r="BD138" i="23" s="1"/>
  <c r="AI138" i="23"/>
  <c r="BF114" i="23"/>
  <c r="BG114" i="23" s="1"/>
  <c r="BE114" i="23"/>
  <c r="BF115" i="23"/>
  <c r="BG115" i="23" s="1"/>
  <c r="BE115" i="23"/>
  <c r="CG121" i="23"/>
  <c r="BV121" i="23"/>
  <c r="BD121" i="23" s="1"/>
  <c r="AI121" i="23"/>
  <c r="CG134" i="23"/>
  <c r="BV134" i="23"/>
  <c r="BD134" i="23" s="1"/>
  <c r="AI134" i="23"/>
  <c r="CG135" i="23"/>
  <c r="BV135" i="23"/>
  <c r="BD135" i="23" s="1"/>
  <c r="AI135" i="23"/>
  <c r="BE116" i="23"/>
  <c r="BF116" i="23"/>
  <c r="BG116" i="23" s="1"/>
  <c r="CG111" i="23"/>
  <c r="BV111" i="23"/>
  <c r="BD111" i="23" s="1"/>
  <c r="AI111" i="23"/>
  <c r="BE123" i="23"/>
  <c r="BF123" i="23"/>
  <c r="BG123" i="23" s="1"/>
  <c r="BF122" i="23"/>
  <c r="BG122" i="23" s="1"/>
  <c r="BE122" i="23"/>
  <c r="CG136" i="23"/>
  <c r="AI136" i="23"/>
  <c r="BV136" i="23"/>
  <c r="BD136" i="23" s="1"/>
  <c r="H6" i="21"/>
  <c r="F18" i="21"/>
  <c r="F7" i="21"/>
  <c r="F245" i="21"/>
  <c r="F371" i="21"/>
  <c r="BF135" i="23" l="1"/>
  <c r="BG135" i="23" s="1"/>
  <c r="BE135" i="23"/>
  <c r="CG132" i="23"/>
  <c r="BV132" i="23"/>
  <c r="BD132" i="23" s="1"/>
  <c r="AI132" i="23"/>
  <c r="BF121" i="23"/>
  <c r="BG121" i="23" s="1"/>
  <c r="BE121" i="23"/>
  <c r="BF111" i="23"/>
  <c r="BG111" i="23" s="1"/>
  <c r="BE111" i="23"/>
  <c r="CG140" i="23"/>
  <c r="BV140" i="23"/>
  <c r="BD140" i="23" s="1"/>
  <c r="AI140" i="23"/>
  <c r="CG131" i="23"/>
  <c r="BV131" i="23"/>
  <c r="BD131" i="23" s="1"/>
  <c r="AI131" i="23"/>
  <c r="BF113" i="23"/>
  <c r="BG113" i="23" s="1"/>
  <c r="BE113" i="23"/>
  <c r="BF119" i="23"/>
  <c r="BG119" i="23" s="1"/>
  <c r="BE119" i="23"/>
  <c r="CG133" i="23"/>
  <c r="BV133" i="23"/>
  <c r="BD133" i="23" s="1"/>
  <c r="AI133" i="23"/>
  <c r="CG139" i="23"/>
  <c r="BV139" i="23"/>
  <c r="BD139" i="23" s="1"/>
  <c r="AI139" i="23"/>
  <c r="BF117" i="23"/>
  <c r="BG117" i="23" s="1"/>
  <c r="BE117" i="23"/>
  <c r="BF138" i="23"/>
  <c r="BG138" i="23" s="1"/>
  <c r="BE138" i="23"/>
  <c r="CG137" i="23"/>
  <c r="AI137" i="23"/>
  <c r="BV137" i="23"/>
  <c r="BD137" i="23" s="1"/>
  <c r="BE141" i="23"/>
  <c r="BF141" i="23"/>
  <c r="BG141" i="23" s="1"/>
  <c r="BF136" i="23"/>
  <c r="BG136" i="23" s="1"/>
  <c r="BE136" i="23"/>
  <c r="BF163" i="23"/>
  <c r="BG163" i="23" s="1"/>
  <c r="BG144" i="23" s="1"/>
  <c r="BE163" i="23"/>
  <c r="BE144" i="23" s="1"/>
  <c r="BF134" i="23"/>
  <c r="BG134" i="23" s="1"/>
  <c r="BE134" i="23"/>
  <c r="BF112" i="23"/>
  <c r="BG112" i="23" s="1"/>
  <c r="BE112" i="23"/>
  <c r="F727" i="21"/>
  <c r="BF137" i="23" l="1"/>
  <c r="BG137" i="23" s="1"/>
  <c r="BE137" i="23"/>
  <c r="BF131" i="23"/>
  <c r="BG131" i="23" s="1"/>
  <c r="BE131" i="23"/>
  <c r="BF139" i="23"/>
  <c r="BG139" i="23" s="1"/>
  <c r="BE139" i="23"/>
  <c r="BF132" i="23"/>
  <c r="BG132" i="23" s="1"/>
  <c r="BE132" i="23"/>
  <c r="BE140" i="23"/>
  <c r="BF140" i="23"/>
  <c r="BG140" i="23" s="1"/>
  <c r="BF133" i="23"/>
  <c r="BG133" i="23" s="1"/>
  <c r="BE133" i="23"/>
  <c r="CG142" i="23"/>
  <c r="AI142" i="23"/>
  <c r="AI110" i="23" s="1"/>
  <c r="AI6" i="23" s="1"/>
  <c r="BV142" i="23"/>
  <c r="BD142" i="23" s="1"/>
  <c r="F697" i="21"/>
  <c r="F6" i="21" s="1"/>
  <c r="BF142" i="23" l="1"/>
  <c r="BG142" i="23" s="1"/>
  <c r="BG110" i="23" s="1"/>
  <c r="BG6" i="23" s="1"/>
  <c r="BE142" i="23"/>
  <c r="BE110" i="23" s="1"/>
  <c r="BE6" i="2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<sst xmlns="http://schemas.openxmlformats.org/spreadsheetml/2006/main" count="1506" uniqueCount="1046">
  <si>
    <t>Descrição</t>
  </si>
  <si>
    <t>Carpintarias</t>
  </si>
  <si>
    <t>Demolições</t>
  </si>
  <si>
    <t>1</t>
  </si>
  <si>
    <t>2</t>
  </si>
  <si>
    <t>3</t>
  </si>
  <si>
    <t>4</t>
  </si>
  <si>
    <t>1.1</t>
  </si>
  <si>
    <t>2.2</t>
  </si>
  <si>
    <t>4.4</t>
  </si>
  <si>
    <t>1.2</t>
  </si>
  <si>
    <t>1.3</t>
  </si>
  <si>
    <t>3.1</t>
  </si>
  <si>
    <t>4.1</t>
  </si>
  <si>
    <t>Alvenarias</t>
  </si>
  <si>
    <t>6</t>
  </si>
  <si>
    <t>7</t>
  </si>
  <si>
    <t>4.2</t>
  </si>
  <si>
    <t>Coberturas</t>
  </si>
  <si>
    <t>5.2</t>
  </si>
  <si>
    <t>Revestimento de Paredes</t>
  </si>
  <si>
    <t>8</t>
  </si>
  <si>
    <t>Portas</t>
  </si>
  <si>
    <t>Armários</t>
  </si>
  <si>
    <t xml:space="preserve">Fornecimento e colocação de rodapés novos em MDF Hidrófugo, foheado a melamina a escolher, de 40cm de altura, incluindo, fixações, cortes, remates e todos os materiais definidos e descritos nos desenhos de pormenor. </t>
  </si>
  <si>
    <t>40cm de altura</t>
  </si>
  <si>
    <t>Recuperação de Carpintarias</t>
  </si>
  <si>
    <t>Vidros e Espelhos</t>
  </si>
  <si>
    <t>Fornecimento e assentamento de tubagem de multicamada do tipo de pontas lisas, para uma pressão de serviço 10 [bar], e respectivos acessórios, destinada à rede de distribuição de água fria embutida. Incluindo abertura e tapamento de roço e execução das ligações por acessórios de compressão, de acordo com as peças desenhadas e condições técnicas, com o(s)diâmetro(s):</t>
  </si>
  <si>
    <t>DN 16</t>
  </si>
  <si>
    <t>DN 20</t>
  </si>
  <si>
    <t>DN 26</t>
  </si>
  <si>
    <t>DN 32</t>
  </si>
  <si>
    <t>DN 40</t>
  </si>
  <si>
    <t>DN 50</t>
  </si>
  <si>
    <t>DN 65</t>
  </si>
  <si>
    <t>Fornecimento e montagem de válvula de passagem de bronze com pressão nominal PN 10,0[bar], a aplicar no seccionamento de cada ramal de água fria e quente. Incluindo todos os pertences e trabalhos necessários, aplicados de acordo com os desenhos de pormenor e as condições técnicas, com o(s) diâmetro(s):</t>
  </si>
  <si>
    <t>2.3</t>
  </si>
  <si>
    <t>2.4</t>
  </si>
  <si>
    <t>2.5</t>
  </si>
  <si>
    <t>2.6</t>
  </si>
  <si>
    <t>2.7</t>
  </si>
  <si>
    <t>Fornecimento e montagem de válvula de purga em bronze com pressão nominal PN 10,0[bar], a instalar nos pontos baixos da rede de coluna seca. Incluindo todos os pertences, acessórios e trabalhos necessários, aplicados de acordo com os desenhos de pormenor e as condições técnicas, com o(s) diâmetro(s):</t>
  </si>
  <si>
    <t>2.8</t>
  </si>
  <si>
    <t>2.9</t>
  </si>
  <si>
    <t>2.10</t>
  </si>
  <si>
    <t>2.11</t>
  </si>
  <si>
    <t>2.12</t>
  </si>
  <si>
    <t>2.13</t>
  </si>
  <si>
    <t>DN 125</t>
  </si>
  <si>
    <t>DN 75</t>
  </si>
  <si>
    <t xml:space="preserve">DN 125 </t>
  </si>
  <si>
    <t>DN 110</t>
  </si>
  <si>
    <t xml:space="preserve">DN 75 </t>
  </si>
  <si>
    <t xml:space="preserve">DN 110 </t>
  </si>
  <si>
    <t>Fornecimento e montagem de Bomba de Calor para AQS, incluindo todos os acessórios necessáriso à sua correcta instalação e funcionamento, segundo especificações técnicas presentes em caderno de encargos e peças desenhadas</t>
  </si>
  <si>
    <t>Ventiladores de extracção:</t>
  </si>
  <si>
    <t>VE.02</t>
  </si>
  <si>
    <t>VE.03</t>
  </si>
  <si>
    <t>VE.04</t>
  </si>
  <si>
    <t>VE.05</t>
  </si>
  <si>
    <t>VE.06</t>
  </si>
  <si>
    <t>VE.07</t>
  </si>
  <si>
    <t>Fornecimento e montagem de unidades interiores de Climatização de expansão directa do tipo VRV murais, incluindo comando, cabos de potência e comando para ligação à unidade exterior VRV e todos os acessórios necessáriso à sua correcta instalação e funcionamento, segundo especificações técnicas presentes em caderno de encargos e peças desenhadas</t>
  </si>
  <si>
    <t>VRVC.01</t>
  </si>
  <si>
    <t>VRVC.02</t>
  </si>
  <si>
    <t>VRVC.03</t>
  </si>
  <si>
    <t>Fornecimento e montagem de depósitos para AQS, incluindo protecção contra intempérie e todos os acessórios necessáriso à sua correcta instalação e funcionamento, segundo especificações técnicas presentes em caderno de encargos e peças desenhadas</t>
  </si>
  <si>
    <t>Condutas circulares não isoladas</t>
  </si>
  <si>
    <t>Grelhas Auto-Reguláveis, pintadas a RAL definido no mapa de arquitectura</t>
  </si>
  <si>
    <t>Grelhas Desenfumagem</t>
  </si>
  <si>
    <t>Grelhas Lineares</t>
  </si>
  <si>
    <t>GRL.01</t>
  </si>
  <si>
    <t>GRL.02</t>
  </si>
  <si>
    <t>Pleno Rectangular Isolado com registos de reguração de caudal e flexivel ligação</t>
  </si>
  <si>
    <t>Válvulas de extracção</t>
  </si>
  <si>
    <t>VAL.01</t>
  </si>
  <si>
    <t>Registos de regulação de caudal</t>
  </si>
  <si>
    <t>Registos Corta-Fogo</t>
  </si>
  <si>
    <t>Tubagem em cobre isolada e revestida a chapa de aluminio</t>
  </si>
  <si>
    <t>Ø 15,9mm</t>
  </si>
  <si>
    <t xml:space="preserve">Tubagem em cobre isolada </t>
  </si>
  <si>
    <t>Ø 6,35mm</t>
  </si>
  <si>
    <t>Ø 9,5mm</t>
  </si>
  <si>
    <t>Ø 12,7mm</t>
  </si>
  <si>
    <t>Ø 19,1mm</t>
  </si>
  <si>
    <t>Tubagem em PVC</t>
  </si>
  <si>
    <t>Kitt Ramal Refnet</t>
  </si>
  <si>
    <t>KHRQ22M20T</t>
  </si>
  <si>
    <t>KHRQ22M64T</t>
  </si>
  <si>
    <t>Fornecimento e montagem de quadro eléctrico de AVAC, incluindo todos os acessórios necessáriso à sua correcta instalação e funcionamento, segundo especificações técnicas presentes em caderno de encargos e peças desenhadas</t>
  </si>
  <si>
    <t>Fornecimento e montagem de ligações eléctricas a todas as máquinas de AVAC, interiores e exteriores, incluindo cabos de ligação, tubos e  incluindo todos os acessórios necessários à sua correcta instalação e funcionamento, segundo especificações técnicas presentes em caderno de encargos e peças desenhadas</t>
  </si>
  <si>
    <t>XZ1(frt,Zh)5G6</t>
  </si>
  <si>
    <t>XZ1(frt,Zh)5G2.5</t>
  </si>
  <si>
    <t>XZ1(frs,Zh)3G2.5</t>
  </si>
  <si>
    <t>Tubo VD/ERFE LH Ø50mm</t>
  </si>
  <si>
    <t xml:space="preserve">Instalações Elétricas </t>
  </si>
  <si>
    <t>Fornecimento e montagem, em paredes, pavimentos ou tetos, de tubos VD/ERFE, incluindo todos os acessórios, nos traçados definidos nas peças desenhadas e nas condições referidas no Caderno de Encargos.</t>
  </si>
  <si>
    <t>Tubo VD ERFE LH 110 mm</t>
  </si>
  <si>
    <t>Tubo VD ERFE LH 75 mm</t>
  </si>
  <si>
    <t>Tubo VD ERFE LH 40 mm</t>
  </si>
  <si>
    <t>Fornecimento e enfiamento em tubo, assentes em caminhos de cabos ou colocados á vista sobre braçadeiras, de condutores e cabos, com caracteristicas em conformidade com o definido no Caderno de Encargos, nos traçados definidos nas peças desenhadas, dos tipos seguintes:</t>
  </si>
  <si>
    <t>XZ1 (frt,zh) 4x70</t>
  </si>
  <si>
    <t>XZ1 (frt,zh) 5G16</t>
  </si>
  <si>
    <t>XZ1 (frt,zh) 5G6</t>
  </si>
  <si>
    <t>XZ1 (frt,zh) 5G4</t>
  </si>
  <si>
    <t>Fornecimento e montagem, incluindo todos os acessórios, colocadas nos locais definidos nas peças desenhadas e nas condições referidas Caderno de Encargos.</t>
  </si>
  <si>
    <t>Quadro de Contagem BTE 250A c/Cx TI's e Cx de telecontagem e portinhola P400</t>
  </si>
  <si>
    <t>Caixa para contador</t>
  </si>
  <si>
    <t>Ligador Amovível</t>
  </si>
  <si>
    <t>Terra Protecção</t>
  </si>
  <si>
    <t>Fornecimento e montagem dos Quadros Elétricos com caracteristicas em conformidade com o definido no Caderno de Encargose nas peças desenhadas, sendo:</t>
  </si>
  <si>
    <t>Q.E.G.</t>
  </si>
  <si>
    <t>XZ1(frt-zh)-U3G2.5</t>
  </si>
  <si>
    <t>Caixa de derivação</t>
  </si>
  <si>
    <t>Caixa de derivação estanque IP65</t>
  </si>
  <si>
    <t>Caixa de aparelhagem funda</t>
  </si>
  <si>
    <t>Fornecimento e montagem de Equipamentos, incluindo todos os acessorios, com caracteristicas em conformidade com o definido no Caderno de Encargos e nas peças desenhadas, sendo:</t>
  </si>
  <si>
    <t>Tomada de energia simples tipo Schuko 2P+T com alvéolos protegidos</t>
  </si>
  <si>
    <t>Tomada de energia simples tipo Schuko 2P+T IP 55 com tampa</t>
  </si>
  <si>
    <t>XZ1(frt-zh) - U3G1.5</t>
  </si>
  <si>
    <t>Fornecimento e montagem de Equipamentos, incluindo todos os acessorios, com caracteristicas em conformidade com o definido no Caderno de Encargos e nas localizações das peças desenhadas, sendo:</t>
  </si>
  <si>
    <t>5.</t>
  </si>
  <si>
    <t xml:space="preserve">L1 </t>
  </si>
  <si>
    <t>L2</t>
  </si>
  <si>
    <t>L2a</t>
  </si>
  <si>
    <t>L2b</t>
  </si>
  <si>
    <t xml:space="preserve">L3 </t>
  </si>
  <si>
    <t>L4</t>
  </si>
  <si>
    <t>L5</t>
  </si>
  <si>
    <t>L6</t>
  </si>
  <si>
    <t>L7 (*) (**)</t>
  </si>
  <si>
    <t>L8 (*) (**)</t>
  </si>
  <si>
    <t>L9 (*) (**)</t>
  </si>
  <si>
    <t>L10 (*) (**)</t>
  </si>
  <si>
    <t>L11</t>
  </si>
  <si>
    <t xml:space="preserve">Bloco Autónomo Permanente com Pictograma </t>
  </si>
  <si>
    <t xml:space="preserve">Bloco Autónomo não Permanente </t>
  </si>
  <si>
    <t>Bloco Autónomo Permanente Perpendicular com Pictograma encastrado</t>
  </si>
  <si>
    <t>Ponta captora Franklin</t>
  </si>
  <si>
    <t>Mastro Base, Altura total 2,2 metros</t>
  </si>
  <si>
    <t>Fixação mural para mastro (afastamento 15cm)</t>
  </si>
  <si>
    <t>Bucha e parafuso para fixação mural</t>
  </si>
  <si>
    <t>Ligação de cabo ERICORE ao para-raios Ioniflash</t>
  </si>
  <si>
    <t>CABTIESS</t>
  </si>
  <si>
    <t xml:space="preserve">Cabo Isolado  ERICORE </t>
  </si>
  <si>
    <t>Fixações Cabo Ericore CONSADE25</t>
  </si>
  <si>
    <t>CONSADFX</t>
  </si>
  <si>
    <t>ERICORETRMOS</t>
  </si>
  <si>
    <t>ERICORE/LTKIT/A</t>
  </si>
  <si>
    <t>Placa Sinalizadora para para-raios</t>
  </si>
  <si>
    <t>Calha de proteção mecânica para Cabo ERICORE, 2m</t>
  </si>
  <si>
    <t>Caixa de visita</t>
  </si>
  <si>
    <t xml:space="preserve">Barra Coletora 7 furos 300x 40x5mm </t>
  </si>
  <si>
    <t>Conetor KS simples; Æ6-10mm</t>
  </si>
  <si>
    <t>Ligador em linha 2 placas; Ø8-10, fl.30mm/; Ø8-10, fl.30mm</t>
  </si>
  <si>
    <t xml:space="preserve">Fita 30X2mm  </t>
  </si>
  <si>
    <t>Elétrodo em piquet 2m Æ5/8"</t>
  </si>
  <si>
    <t>Elétrodo de Grafite</t>
  </si>
  <si>
    <t>Cartucho Cadweld Plus 90PLUSF20</t>
  </si>
  <si>
    <t>Empaquetaduras SCDM01</t>
  </si>
  <si>
    <t>Fornecimento e montagem, em paredes, pavimentos ou tetos, de tubos VD/ERFE, incluindo todos os acessórios, nos traçados definidos nas peças desenhadas e nas condições referidas nas Peças Escritas.</t>
  </si>
  <si>
    <t>Tubo VD ERFE 25 mm LH</t>
  </si>
  <si>
    <t xml:space="preserve">Tubo VD ERFE 40 mm LH </t>
  </si>
  <si>
    <t>Fornecimento e montagem em vala, incluindo abertura e tapamento com transporte de sobrantes a vazadouro, nas condições definidas nas peças escritas, dos seguintes tubos:</t>
  </si>
  <si>
    <t>Fornecimento e montagem, para Instalações de Telecomunicações, incluindo todos os acessórios, colocadas nos locais definidos nas peças desenhadas e nas condições referidas nas peças escritas.</t>
  </si>
  <si>
    <t>Tipo (CVM)</t>
  </si>
  <si>
    <t>Tipo I1</t>
  </si>
  <si>
    <t>ATI - Bastidor Mural 22U (L600xA1080xP450mm)</t>
  </si>
  <si>
    <t>Fornecimento e enfiamento em tubo, assentes em caminhos de cabos ou colocados á vista sobre braçadeiras, de condutores e cabos para telecomunicações, com caracteristicas em conformidade com o definido nas peças escritas, nos traçados definidos nas peças desenhadas, dos tipos seguintes:</t>
  </si>
  <si>
    <t>Cabo U/UTP Cat6 Cu LSFH</t>
  </si>
  <si>
    <t>Cabo Coaxial T100 Plus LSFH</t>
  </si>
  <si>
    <t>Fornecimento e montagem de equipamentos de telecomunicações com caracteristicas em conformidade com o definido nas peças escritas e nas peças desenhadas, sendo:</t>
  </si>
  <si>
    <t>Tomada RJ45 dupla</t>
  </si>
  <si>
    <t>Tomada RJ45 simples</t>
  </si>
  <si>
    <t>Tomada (TV/R, SAT) Terminal Estrela</t>
  </si>
  <si>
    <t xml:space="preserve">Tomada fibra ótica dupla </t>
  </si>
  <si>
    <t>Acessórios para interligação à terra do edifício</t>
  </si>
  <si>
    <t>Prateleira de fixação 4 Pontos 19'' 1U prof. 450</t>
  </si>
  <si>
    <t>Painel Fibra Ótica 24 SC Duplex</t>
  </si>
  <si>
    <t>Painel Guia Cabos 19" 1U de Escova</t>
  </si>
  <si>
    <t>Painel UTP 19'' 1U 24P RJ45 Cat.6, equipado</t>
  </si>
  <si>
    <t>Painel Guia Cabos 19'' 1U, com 5 Argolas PVC</t>
  </si>
  <si>
    <t>Régua de Tomadas 19'' 1U 8 Tomadas, com Interruptor</t>
  </si>
  <si>
    <t>Patch Cord UTP Cat.6 LSZH 2m</t>
  </si>
  <si>
    <t>Módulo RJ45 UTP Cat.6 Keystone</t>
  </si>
  <si>
    <t>Unidade de Ventilação com 2 Ventiladores</t>
  </si>
  <si>
    <t>Painel Multi-Coax até 12 Saídas 19” 1U c/ acessórios</t>
  </si>
  <si>
    <t>Empalme coaxial "F" Fêmea- "F" Fêmea c/anilha</t>
  </si>
  <si>
    <t>Repartidor Interior (5-2400MHz) 2D "F" 4dB DC</t>
  </si>
  <si>
    <t>Repartidor Interior (5-2400MHz) 4D "F" 8dB DC</t>
  </si>
  <si>
    <t>Derivador Interior (5-2400MHz) 4D "F" 12dB "DC Pass All" Tipo TA</t>
  </si>
  <si>
    <t>Kit Video Porteiro WI-fI</t>
  </si>
  <si>
    <t>Sinalização de Segurança</t>
  </si>
  <si>
    <t>Dístico fotoluminescente de sinalização</t>
  </si>
  <si>
    <t>Ref.ª - P 00 01 (300x150 mm)</t>
  </si>
  <si>
    <t>Ref.ª - P 00 02 (300x150 mm)</t>
  </si>
  <si>
    <t>Ref.ª - P 00 04 (300x150 mm)</t>
  </si>
  <si>
    <t>Ref.ª - P 00 05 (300x150 mm)</t>
  </si>
  <si>
    <t>Ref.ª - P 00 08 (300x150 mm)</t>
  </si>
  <si>
    <t>Ref.ª - P 00 09 (300x150 mm)</t>
  </si>
  <si>
    <t>Ref.ª - P 00 16 (300x150 mm)</t>
  </si>
  <si>
    <t>Ref.ª - P 04 00 (200x200 mm)</t>
  </si>
  <si>
    <t>Ref.ª - P 04 02 (200x200 mm)</t>
  </si>
  <si>
    <t>Ref.ª - P 04 13 (150x200 mm)</t>
  </si>
  <si>
    <t>Ref.ª - P 04 51 (240x85 mm)</t>
  </si>
  <si>
    <t>Ref.ª - P 04 60 (240x85 mm)</t>
  </si>
  <si>
    <t>Ref.ª - P 04 97 (150x200 mm)</t>
  </si>
  <si>
    <t>Ref.ª - P 05 25 (150x200 mm)</t>
  </si>
  <si>
    <t>Ref.ª - P 05 69 (150x200 mm)</t>
  </si>
  <si>
    <t>Ref.ª - P 05 75 (150x200 mm)</t>
  </si>
  <si>
    <t>Ref.ª - P 06 21 (150x200 mm)</t>
  </si>
  <si>
    <t>Ref.ª - P 06 22 (150x200 mm)</t>
  </si>
  <si>
    <t>Ref.ª - P 07 41 (150x150 mm)</t>
  </si>
  <si>
    <t>Ref.ª - P 07 52 (150x150 mm)</t>
  </si>
  <si>
    <t>Ref.ª - P 07 53 (150x150 mm)</t>
  </si>
  <si>
    <t>Ref.ª - P 07 63 (150x150 mm)</t>
  </si>
  <si>
    <t>Ref.ª - P 07 90 (300x150 mm)</t>
  </si>
  <si>
    <t>Ref.ª - P 07 91 (300x150 mm)</t>
  </si>
  <si>
    <t>Ref.ª - P 08 02 (200x100 mm)</t>
  </si>
  <si>
    <t>Ref.ª - P 08 15 (200x100 mm)</t>
  </si>
  <si>
    <t>Ref.ª - P 08 58 (200x100 mm)</t>
  </si>
  <si>
    <t>Ref.ª - P 09 50 (150x150 mm)</t>
  </si>
  <si>
    <t>Ref.ª - P 09 54 (150x150 mm)</t>
  </si>
  <si>
    <t>Ref.ª - P 09 75 (150x150 mm)</t>
  </si>
  <si>
    <t>Ref.ª - P 25 59 (300x150 mm)</t>
  </si>
  <si>
    <t>Ref.ª - P 25 62 (300x150 mm)</t>
  </si>
  <si>
    <t>Ref.ª - P 25 63 (300x150 mm)</t>
  </si>
  <si>
    <t>Ref.ª - P 25 64 (300x150 mm)</t>
  </si>
  <si>
    <t>Ref.ª - P 25 65 (300x150 mm)</t>
  </si>
  <si>
    <t>Ref.ª - P 25 66 (300x150 mm)</t>
  </si>
  <si>
    <t>Ref.ª - P 25 80 (300x150 mm)</t>
  </si>
  <si>
    <t>Ref.ª - P 38 13 (150x200 mm)</t>
  </si>
  <si>
    <t>Plantas de Emergência</t>
  </si>
  <si>
    <t>Planta de Emergência Formato A3</t>
  </si>
  <si>
    <t>Meios de Intervenção</t>
  </si>
  <si>
    <t>Extintores</t>
  </si>
  <si>
    <t>Outros Equipamentos</t>
  </si>
  <si>
    <t>Instalações, Equipamentos e Sistemas de Segurança</t>
  </si>
  <si>
    <t>Fornecimento e montagem  em paredes, pavimentos ou tetos, de tubos VD/ERFE, incluindo todos os acessórios, fazem parte integrante do Projecto de Telecomunicações, como tal a sua definição e quantificação esta no respectivo projecto.</t>
  </si>
  <si>
    <t>Fornecimento e enfiamento em tubo, assentes em caminhos de cabos ou colocados á vista sobre braçadeiras, de condutores e cabos, fazem parte integrante do Projecto de Telecomunicações, como tal a sua definição e quantificação esta no respectivo projecto.</t>
  </si>
  <si>
    <t>JE-H (St) H E30 2x2x0.8mm2</t>
  </si>
  <si>
    <t>Fornecimento e enfiamento em tubo, assentes em caminhos de cabos ou colocados á vista sobre braçadeiras, de condutores e cabos, com caracteristicas em conformidade com o definido nas peças escritas, nos traçados definidos nas peças desenhadas, dos tipos seguintes:</t>
  </si>
  <si>
    <t>ACN 6 2x0,5+4x0.22 mm2</t>
  </si>
  <si>
    <t>XZ1(frt,Zh) 3x1,5mm2</t>
  </si>
  <si>
    <t>Painel central quadro de alvos</t>
  </si>
  <si>
    <t>Botão de cancelamento</t>
  </si>
  <si>
    <t>Cordão de chamada para WC</t>
  </si>
  <si>
    <t>Sinalizador luminoso/acústico</t>
  </si>
  <si>
    <t>Fonte de alimentação 24Vdc/10A</t>
  </si>
  <si>
    <t>Equipamentos</t>
  </si>
  <si>
    <t>Luminárias</t>
  </si>
  <si>
    <t>2500 x 150 x 20</t>
  </si>
  <si>
    <t>2500 x 135 x 20</t>
  </si>
  <si>
    <t>2380 x 135 x 20</t>
  </si>
  <si>
    <t>940 x 135 x 20</t>
  </si>
  <si>
    <t>Fornecimento de soleiras e ombreiras em mármore branco tipo Ibiza, incluindo furações, fixações, vedações e remates de acordo com os desenhos a colocar nas portas dos duches</t>
  </si>
  <si>
    <t>1600 x 120 x 30</t>
  </si>
  <si>
    <t>1800 x 120 x 30</t>
  </si>
  <si>
    <t>Fornecimento de prateleira em mármore branco tipo Ibiza, incluindo furações, fixações, vedações e remates de acordo com os desenhos a colocar nos lavatórios e duches</t>
  </si>
  <si>
    <t xml:space="preserve">Fornecimento e montagem de sancas e sanefas em placas simples de gesso cartonado, hidrófugo, tipo "Pladur", fixado em montantes horizontais autoportantes 600mm, incluindo , lã de rocha de 70kg/m3 com 40mm de esp., cortes, remates, perfis, recaidas, colmatação de juntas, barramento total e lixamento, ficando prontas a serem pintadas.
</t>
  </si>
  <si>
    <t xml:space="preserve">Recuperação de escadaria existente. (92 degraus, 8 patamares) Inclui substituição de novas peças ou fixação de existentes com colagem ou fixação mecânica, betumamento de juntas ou fissuras existentes, polimento com afagamento e acabamento final com duas demão de verniz a definir.
</t>
  </si>
  <si>
    <t xml:space="preserve">Idem, de pintura de tetos interiores existentes (salas e hall de piso) com tinta tipo "CINACRYL", nas demãos necessárias, incluindo preparação das superfícies, demão de primário da mesma marca e demais trabalhos necessários, de acordo com os pormenores.
</t>
  </si>
  <si>
    <t xml:space="preserve">Telas finais (1 CD e 3 cópias em papel)
</t>
  </si>
  <si>
    <t>Pr Unit</t>
  </si>
  <si>
    <t>Total</t>
  </si>
  <si>
    <t>Impermeabilizações e Isolamentos</t>
  </si>
  <si>
    <t>Revestimentos de Pavimentos</t>
  </si>
  <si>
    <t>Revestimento de Tectos Falsos</t>
  </si>
  <si>
    <t>Cantarias</t>
  </si>
  <si>
    <t>Serralharias</t>
  </si>
  <si>
    <t>Pinturas</t>
  </si>
  <si>
    <t>Louças e Acessórios Sanitários</t>
  </si>
  <si>
    <t>Diversos</t>
  </si>
  <si>
    <t>Estrutura Metálica</t>
  </si>
  <si>
    <t>Abastecimento de Água</t>
  </si>
  <si>
    <t>Drenagem de Águas Pluviais (Existente)</t>
  </si>
  <si>
    <t>Drenagem de Águas Residuais</t>
  </si>
  <si>
    <t>Aquecimento, Ventilação e Ar Condicionado</t>
  </si>
  <si>
    <t>Instalação de Telecomunicações em Edifícios</t>
  </si>
  <si>
    <t>Segurança Contra Incêndios em Edifícios</t>
  </si>
  <si>
    <t>Trabalhos Preliminares</t>
  </si>
  <si>
    <t>Quant</t>
  </si>
  <si>
    <t xml:space="preserve">Fornecimento de telas finais, de acordo com as C.T.E.
</t>
  </si>
  <si>
    <t xml:space="preserve">Fornecimento e execução de alvenarias, do tipo parede seca em gesso cartonado 125mm, com duas placas com tela betuminosa 4mm num só lado e montantes 48 do tipo C. Inclui lâ-de-rocha 70kg/m3 entre canais com espessura de acordo com os montantes instalados. Inclui fita acústica de dilatação autocolante ; fixações para a ancoragem de canais e montantes metálicos; parafusos para a fixação das placas; fita de papel com reforço metálicoe massa de juntas , fita de juntas . O preço inclui a resolução de encontros e pontos singulares.
</t>
  </si>
  <si>
    <t xml:space="preserve">Fornecimento e execução de alvenarias, do tipo parede seca em gesso cartonado, com dupla placa com tela betuminosa 4mm em ambos os lados e montantes de 70 do tipo C. Inclui lâ-de-rocha 70kg/m3 entre canais com espessura de acordo com os montantes instalados. Inclui fita acústica de dilatação autocolante; fixações para a ancoragem de canais e montantes metálicos; parafusos para a fixação das placas; fita de papel com reforço metálico e massa de juntas, fita de juntas. O preço inclui a resolução de encontros e pontos singulares.
</t>
  </si>
  <si>
    <t xml:space="preserve">1180x 140 x 30
</t>
  </si>
  <si>
    <t xml:space="preserve">720 x 135 x 20
</t>
  </si>
  <si>
    <t xml:space="preserve">VE02
Janela de batente de 2 folhas com bandeira
Dimensão: 4159 x 1500 mm
</t>
  </si>
  <si>
    <t xml:space="preserve">VE01
Janela de batente de 2 folhas com bandeira
Dimensão: 4159 x 1405 mm
</t>
  </si>
  <si>
    <t xml:space="preserve">VE03
Janela de batente de 2 folhas com bandeira 
Dimensão: 4159 x 1420 mm
</t>
  </si>
  <si>
    <t xml:space="preserve">VE04
Janela de batente de 2 folhas com bandeira
Dimensão: 3858 x 1320 mm
</t>
  </si>
  <si>
    <t xml:space="preserve">VE05
Janela de batente de 2 folhas com bandeira
Dimensão: 3498 x 1320 mm
</t>
  </si>
  <si>
    <t xml:space="preserve">VE06
Janela de batente de 2 folhas com bandeira
Dimensão: 3498 x 1340 mm
</t>
  </si>
  <si>
    <t xml:space="preserve">VE07
Janela de batente de 2 folhas com bandeira
Dimensão: 3401 x 1211 mm
</t>
  </si>
  <si>
    <t xml:space="preserve">VE08
Janela de batente de 2 folhas com bandeira
Dimensão: 3401 x 1405 mm
</t>
  </si>
  <si>
    <t xml:space="preserve">VE09
Janela de batente de 2 folhas com bandeira
Dimensão: 3396 x 1211 mm
</t>
  </si>
  <si>
    <t xml:space="preserve">VE010
Janela de batente de 2 folhas com bandeira
Dimensão: 3283 x 1110 mm
</t>
  </si>
  <si>
    <t xml:space="preserve">VE011
Janela oscilo-batente de 1 folha com bandeira
Dimensão: 4398 x 1318 mm
</t>
  </si>
  <si>
    <t xml:space="preserve">VE012
Janela oscilo-batente de 1 folha com bandeira
Dimensão: 2412 x 1101 mm
</t>
  </si>
  <si>
    <t xml:space="preserve">VE013
Janela de guilhotina com mola de 1 folha
Dimensão: 1508 x 708 mm
</t>
  </si>
  <si>
    <t xml:space="preserve">VE014
Janela de guilhotina com mola de 1 folha
Dimensão: 1508 x 840 mm
</t>
  </si>
  <si>
    <t xml:space="preserve">VE015
Janela de guilhotina com mola de 1 folha
Dimensão: 1094 x 912 mm
</t>
  </si>
  <si>
    <t xml:space="preserve">VE016
Janela de guilhotina com mola de 1 folha
Dimensão: 1544 x 1061 mm
</t>
  </si>
  <si>
    <t xml:space="preserve">VE017
Janela de guilhotina com mola de 1 folha
Dimensão: 819 x 912 mm
</t>
  </si>
  <si>
    <t xml:space="preserve">VE018
Janela de guilhotina com mola de 1 folha
Dimensão: 1544 x 1061 mm
</t>
  </si>
  <si>
    <t xml:space="preserve">VE023
Janela fixa 
Dimensão: 1405 x 4159mm
</t>
  </si>
  <si>
    <t xml:space="preserve">Vi.05 
Abertura para a direita
Dimensão de 2700x2800 mm
</t>
  </si>
  <si>
    <t xml:space="preserve">Vi.05.1
Abertura para a direita
Dimensão de 2700x2800 mm
</t>
  </si>
  <si>
    <t xml:space="preserve">Guarda Tipo I
Fachada principal
960mm de altura
</t>
  </si>
  <si>
    <t xml:space="preserve">Guarda Tipo II :
Fachada tardoz
1000mm de altura
</t>
  </si>
  <si>
    <t xml:space="preserve">Guarda Tipo III : 
Terraço
8760mm de altura
</t>
  </si>
  <si>
    <t xml:space="preserve">Pv03
Dimensão de 875x2000
</t>
  </si>
  <si>
    <t xml:space="preserve">Pv04 
Dimensão de 765x2200
</t>
  </si>
  <si>
    <t xml:space="preserve">Pv05 
Dimensão de 750x2200
</t>
  </si>
  <si>
    <t xml:space="preserve">Pv06
Dimensão de 1500x2485
</t>
  </si>
  <si>
    <t xml:space="preserve">Fornecimento e montagem de portas em alumínio  incluindo fixações, ligações e remates de acordo com o projeto.
Pv02/ Pv02.1
Dimensão de 900x2380
</t>
  </si>
  <si>
    <t xml:space="preserve">Recuperação de clarabóia em ferro. Inclui decapagem, aplicação de primário e duas demão de esmalte. Substituição ou reparação de elementos degradados assim como suas ligações e uniões à cobertura
</t>
  </si>
  <si>
    <t xml:space="preserve">Fornecimento e montagem de estrututra em ferro chapeada a zinco para proteção e ocultação das ventilações  (1200x800x500mm)
</t>
  </si>
  <si>
    <t xml:space="preserve">Vi.03
1 folha de abrir, abertura para a esquerda
Dimensões: 0,75 x 2,00 m
</t>
  </si>
  <si>
    <t xml:space="preserve">Vi.02
1 folha de batente,  abertura para direita
Dimensões: 0,90 x 2,00 m
</t>
  </si>
  <si>
    <t xml:space="preserve">Vi.03
1 folha de abrir, abertura para a direita
Dimensões 0,75 x 2,00 m
</t>
  </si>
  <si>
    <t xml:space="preserve">Fornecimento e montagem de porta exterior (VE 21.1) com dimensão de 800 x 1420mm, em madeira maciça, incluindo pintura de primário e duas demão de tinta de esmalte de acordo com o mapa de vãos exteriores, 
</t>
  </si>
  <si>
    <t xml:space="preserve"> A01
Dimensão: 1,70 x 2,50 x 0,30 m
</t>
  </si>
  <si>
    <t xml:space="preserve">Fornecimento e montagem de porta interior, de correr para parede dupla com espessura total indicada, em madeira maciça, aro e guarnição em madeira maciça, incluindo acabamento lacado acetinado com tecnologia "airless", todas as ferragens definidas e descritas nos mapas de vãos, fixações, vedações e remates, de acordo com mapa de vãos e pormenores.
</t>
  </si>
  <si>
    <t xml:space="preserve">Fornecimento e montagem de estrutura maciça em pinho tratado, para um lanço de escadas, (4 degraus, 1 patamar) incluindo, fixações e remates  a definir de acordo com o projeto
</t>
  </si>
  <si>
    <t xml:space="preserve">Fornecimento e montagem de estrutura para pavimento em madeira maciça de pinho tratado, incluindo placa do tipo Viroc 19mm de espessura + placa do tipo XPS perfiboard 6mm para receber tela e cerâmico, para altura final de 18cm , incluindo manta acústica, fixações e remates de acordo com o projeto.
</t>
  </si>
  <si>
    <t xml:space="preserve">23cm de altura
</t>
  </si>
  <si>
    <t xml:space="preserve">Fornecimento e colocação de rodapés novos em MDF Hidrófugo, , de 5cm de altura, para pintar incluindo, fixações, cortes, remates e todos os materiais definidos e descritos nos desenhos de pormenor. 
</t>
  </si>
  <si>
    <t xml:space="preserve">VE.26
Janela basculante
Dimensão de 630 x 260mm
</t>
  </si>
  <si>
    <t xml:space="preserve">VE.25
Janela basculante 
Dimensão de 700 x 520mm
</t>
  </si>
  <si>
    <t xml:space="preserve">VE.24
Janela basculante
Dimensão de 435 x 330mm
</t>
  </si>
  <si>
    <t xml:space="preserve">VE.22
Janela basculante
Dimensão de 516 x 405mm
</t>
  </si>
  <si>
    <t xml:space="preserve">VE.20
Janela de batente 
Dimensão de 320 x 449mm
</t>
  </si>
  <si>
    <t xml:space="preserve">VE.19
Janela de batente
Dimensão de 402 x 436mm
</t>
  </si>
  <si>
    <t xml:space="preserve">Vi 07
Porta com bandeira fixa, 8 almofadas
876x2490 mm
</t>
  </si>
  <si>
    <t xml:space="preserve">Vi 08
4 almofadas
876x1393 mm
</t>
  </si>
  <si>
    <t xml:space="preserve">Vi 09
 4 almofadas
745x1715 mm
</t>
  </si>
  <si>
    <t xml:space="preserve"> Ci 01
Portada com 5 almofadas simples de ambos os lados por folha
Vão de 1295x3950 mm
</t>
  </si>
  <si>
    <t xml:space="preserve">Ci 02
Portada com 4 almofadas simples de ambos os lados por folha.
Vão de 1450x3550 mm
</t>
  </si>
  <si>
    <t xml:space="preserve">Ci 03
Portada com 4 almofadas simples de ambos os lados por folha.
Vão de 1300x3450 mm
</t>
  </si>
  <si>
    <t xml:space="preserve">Ci 04
Portada com 4 almofadas simples de um lado e 4 almofafas decorativas de outro por folha. Vão de 1450x3550 mm
</t>
  </si>
  <si>
    <t xml:space="preserve">Ci 05
Portada com 2 almofadas simples de ambos os lados por folha.
Vão de 1240x1600 mm
</t>
  </si>
  <si>
    <t xml:space="preserve">Ci 06
Portada com 2 almofadas simples de ambos os lados por folha.
Vão de 882x1100 mm
</t>
  </si>
  <si>
    <t xml:space="preserve">Ci 07
Portada com 1 almofada simples de ambos os lados por folha.
Vão de 882x820 mm
</t>
  </si>
  <si>
    <t xml:space="preserve">Fornecimento e colocação de espelho de acabamento azul de 3mm de espessura, colado ao paramento. Com as dimensões de 550x2400 mm para armário A03 Incluindo tratamento perimetral dos bordos de acordo com projeto.
</t>
  </si>
  <si>
    <t xml:space="preserve">E02
(1780 x 1740) mm
</t>
  </si>
  <si>
    <t xml:space="preserve">E02.1
(430 x 1740) mm + (430 x 730) mm
</t>
  </si>
  <si>
    <t xml:space="preserve">EO3
(1580 X 1740) mm
</t>
  </si>
  <si>
    <t xml:space="preserve">E03.1
(330 x 1740) mm + (330 x 730) mm
</t>
  </si>
  <si>
    <t xml:space="preserve">E04
(480 X 1740)mm
</t>
  </si>
  <si>
    <t xml:space="preserve">Lavatório de bancada redondo diâm 37cm, do tipo  Nice da Valadares
</t>
  </si>
  <si>
    <t xml:space="preserve">Lavatório de parede XA Ceramics Cosa 48x25
</t>
  </si>
  <si>
    <t xml:space="preserve">Sanita suspensa  Axa Ceramics Delano
</t>
  </si>
  <si>
    <t xml:space="preserve">Cisterna OLI Trumpet pneumática com duchete
</t>
  </si>
  <si>
    <t xml:space="preserve">Placa de descarga OLI Trumpet
</t>
  </si>
  <si>
    <t xml:space="preserve">Torneira de lavatório Ritmonio  Modelly PR53AE202 acabamento F31 frosted black
</t>
  </si>
  <si>
    <t xml:space="preserve">Coluna de duche Ritmonio 7ADN207 acabamento F31 frosted black
</t>
  </si>
  <si>
    <t xml:space="preserve">Valvulas Clic-Clac para lavatório
</t>
  </si>
  <si>
    <t xml:space="preserve">Sifão flexivel
</t>
  </si>
  <si>
    <t xml:space="preserve">Sifão cilíndrico Ritmonio RCMB027 acabamento F31
</t>
  </si>
  <si>
    <t xml:space="preserve">Fornecimento e montagem de cortina corta-fogo automática E120 acionado por um motor tubular de 24 V e controlado por uma placa eletrónica: CRM (caixa de regulação de motor). O painel de controlo para cortinas automáticas (CBM), com tensão de entrada de 115 V ou 220 V e tensão de saída de 24 V. Baterias com autonomia até 6 horas (UPS System). Incluído em todos os painéis de controlo.
Testado em conformidade com a norma EN 1634-1 e classificado de acordo coma norma EN 13501-2, cumpre igualmente as condições e os
procedimentos para a Marcação CE previstos nas normas EN 16034.
</t>
  </si>
  <si>
    <t xml:space="preserve">Limpeza final da obra, ficando em condições de ser ocupada de imediato.
</t>
  </si>
  <si>
    <t xml:space="preserve">Fornecimento e colocação de nº de policia em aço inox a definir pelo projetista
</t>
  </si>
  <si>
    <t xml:space="preserve">IPE220
</t>
  </si>
  <si>
    <t xml:space="preserve">UNP160
</t>
  </si>
  <si>
    <t xml:space="preserve">LNP50x4
</t>
  </si>
  <si>
    <t xml:space="preserve">LNP70x6
</t>
  </si>
  <si>
    <t xml:space="preserve">SHS80x5
</t>
  </si>
  <si>
    <t>Tubagem</t>
  </si>
  <si>
    <t>Tubagem Multicamada para Água Fria Embutida</t>
  </si>
  <si>
    <t xml:space="preserve">DN 50
</t>
  </si>
  <si>
    <t xml:space="preserve">DN 32
</t>
  </si>
  <si>
    <t>Tubagem em MC para Rede de Retorno</t>
  </si>
  <si>
    <t xml:space="preserve">DN 16
</t>
  </si>
  <si>
    <t>Tubagem em Aço Galvanizado</t>
  </si>
  <si>
    <t xml:space="preserve">DN 80
</t>
  </si>
  <si>
    <t>Válvulas de Seccionamento</t>
  </si>
  <si>
    <t>Válvulas de Seccionamento nas Sanitas</t>
  </si>
  <si>
    <t>Válvulas de Retenção</t>
  </si>
  <si>
    <t>Válvula Reguladora Termoestática</t>
  </si>
  <si>
    <t xml:space="preserve">Fornecimento e montagem de duas bocas de alimentação siamesas, dotada de válvula anti-retorno, dotadas de uniões tipo Storz de DN75, com a designação "Alimentação da Coluna Montante", incluindo caixa metálico de abrigo, a aplicar em conformidade com as peças desenhadas.
</t>
  </si>
  <si>
    <t>Contador</t>
  </si>
  <si>
    <t>Válvula Anti-Poluição Tipo BA</t>
  </si>
  <si>
    <t>Válvulas de Purga</t>
  </si>
  <si>
    <t>Ventosa Automática de Duplo Efeito</t>
  </si>
  <si>
    <t>Bocas de Incêndio</t>
  </si>
  <si>
    <t>Carretel</t>
  </si>
  <si>
    <t xml:space="preserve">Fornecimento e montagem de bocas de incêndio armada tipo carretel com diâmetro DN 33  mm, incluindo válvula de seccionamento selada, armário metálico opaco a colocar no exterior conforme Projeto de Arquitetura e Segurança Contra Risco de Incêndio e restantes acessórios e trabalhos necessários para um correto funcionamento, em conformidade com as condições técnicas e peças desenhadas.
</t>
  </si>
  <si>
    <t>Manómetro</t>
  </si>
  <si>
    <t xml:space="preserve">Fornecimento e montagem de manómetros, imerso em glicerina escala de 0 a 16bar, protecção e válvula de corte, a colocar nas bocas de incêndio. Incluindos todos os acessórios e trabalhos necessários, em conformidade com as peças desenhadas.
</t>
  </si>
  <si>
    <t>Purgador</t>
  </si>
  <si>
    <t xml:space="preserve">Q=2,45 l/min e H= 8,83 m.c.a.
</t>
  </si>
  <si>
    <t>Ligação à Rede Pública</t>
  </si>
  <si>
    <t>Ligação ao Sistema Produtor de Água Quente</t>
  </si>
  <si>
    <t>Desinfecção da Rede</t>
  </si>
  <si>
    <t xml:space="preserve">Lavagem e desinfecção dos sistemas, de acordo com os requisitos regulamentares aplicáveis.
</t>
  </si>
  <si>
    <t>Verificações, Ensaios e Manutenção</t>
  </si>
  <si>
    <t>Levantamento Cadastral</t>
  </si>
  <si>
    <t xml:space="preserve">DN 90
</t>
  </si>
  <si>
    <t>Acessórios e Equipamentos</t>
  </si>
  <si>
    <t xml:space="preserve">DN 160
</t>
  </si>
  <si>
    <t xml:space="preserve">DN 75
</t>
  </si>
  <si>
    <t>Sifões Lavatórios
Fornecimento e assentamento de sifões tipo garrafa, ou S de latão cromado a aplicar em lavatórios. Em conformidade com as peças desenhadas, incluindo todos os acessórios e trabalhos necessários.</t>
  </si>
  <si>
    <t xml:space="preserve">DN 40
</t>
  </si>
  <si>
    <t>Sifões Chuveiros
Fornecimento e assentamento de sifões a aplicar em chuveitos. Em conformidade com as peças desenhadas, incluindo todos os acessórios e trabalhos necessários.</t>
  </si>
  <si>
    <t xml:space="preserve">Caixas de Pavimento
Fornecimento e assentamento de caixas de reunião de pavimento, tipo sifão universal, em PVC rígido, com tampa metálica cromada e tubo de ligação e florão. Incluindo ligação ao esgoto e aos dispositivos, curvas de sifonagem, cortes e remates necessários, tampas de varejamento e todos os trabalhos e acessórios à sua correta instalação, de acordo com as peças desenhadas e as condições técnicas.
</t>
  </si>
  <si>
    <t xml:space="preserve">DN 160 
</t>
  </si>
  <si>
    <t>Capacetes
Fornecimento e assentamento de capacete em PVC-U de parede compacta, com método de união por boca com anel elastomérico (O-ring labial em TPE), série B, SN4, EN1329-1, e respetivos acessórios, destinada a rede de ventilação primária e secundária, incluindo elementos de fixação [abraçadeiras], pintura a tinta adequada das ligações com o mesmo método de união com anel de estanquidade , de acordo com as peças desenhadas e condições técnicas, com o(s) diâmetro(s):</t>
  </si>
  <si>
    <t xml:space="preserve">DN 125 
</t>
  </si>
  <si>
    <t xml:space="preserve">VRVE.01
</t>
  </si>
  <si>
    <t xml:space="preserve">BCAQS.01
</t>
  </si>
  <si>
    <t>Máquinas de Fluxo</t>
  </si>
  <si>
    <t>Conversores de Energia</t>
  </si>
  <si>
    <t xml:space="preserve">VRVC.04
</t>
  </si>
  <si>
    <t xml:space="preserve">DAQS.01
</t>
  </si>
  <si>
    <t xml:space="preserve">Condutas rectangulares não isoladas
</t>
  </si>
  <si>
    <t xml:space="preserve">Ø 100mm
</t>
  </si>
  <si>
    <t xml:space="preserve">GAR.01
</t>
  </si>
  <si>
    <t xml:space="preserve">GRD.01
</t>
  </si>
  <si>
    <t xml:space="preserve">GRL.03
</t>
  </si>
  <si>
    <t xml:space="preserve">PLR.01
</t>
  </si>
  <si>
    <t xml:space="preserve">VAL.02
</t>
  </si>
  <si>
    <t xml:space="preserve">Flexivel Isolado tipo France-Air PhoniFlex® - Ø 100mm
</t>
  </si>
  <si>
    <t xml:space="preserve">Portas de visita
</t>
  </si>
  <si>
    <t xml:space="preserve">Alçapões 600x600mm
</t>
  </si>
  <si>
    <t xml:space="preserve">Fornecimento e montagem de grelhas, difusores, plenos  e  válvulas, incluindo todos os acessórios necessáriso à sua correcta instalação e funcionamento, segundo especificações técnicas presentes em caderno de encargos e peças desenhadas
</t>
  </si>
  <si>
    <t xml:space="preserve">Fornecimento e montagem de registos de regulação de caudal, incluindo todos os acessórios necessáriso à sua correcta instalação e funcionamento, segundo especificações técnicas presentes em caderno de encargos e peças desenhadas
</t>
  </si>
  <si>
    <t xml:space="preserve">Fornecimento e montagem de registos Corta-Fogo, incluindo todos os acessórios necessáriso à sua correcta instalação e funcionamento, segundo especificações técnicas presentes em caderno de encargos e peças desenhadas
</t>
  </si>
  <si>
    <t xml:space="preserve">RCF.01
</t>
  </si>
  <si>
    <t xml:space="preserve">Ø 28,6mm
</t>
  </si>
  <si>
    <t xml:space="preserve">Ø 32mm
</t>
  </si>
  <si>
    <t xml:space="preserve">Fornecimento e montagem de tubagem, incluindo todos os acessórios necessáriso à sua correcta instalação e funcionamento, segundo especificações técnicas presentes em caderno de encargos e peças desenhadas
</t>
  </si>
  <si>
    <t xml:space="preserve">Ø 35mm
</t>
  </si>
  <si>
    <t xml:space="preserve">Acessórios para redes hidráulicas, incluindo abraçadeiras, anilhas, válvulas, depósitos de expansão e incluindo todos os acessórios necessáriso à sua correcta instalação e funcionamento, segundo especificações técnicas presentes em caderno de encargos e peças desenhadas
</t>
  </si>
  <si>
    <t xml:space="preserve">QEAVAC.01
</t>
  </si>
  <si>
    <t xml:space="preserve">Tubo VD/ERFE LH Ø25mm
</t>
  </si>
  <si>
    <t xml:space="preserve">Fornecimento e montagem de equipameto antivibrático, incluindo todos os acessórios necessáriso à sua correcta instalação e funcionamento, segundo especificações técnicas presentes em caderno de encargos e peças desenhadas
</t>
  </si>
  <si>
    <t xml:space="preserve">Apoios antivibráticos tipo France-Air BCA  (ou equivalente)
</t>
  </si>
  <si>
    <t xml:space="preserve">Apoios antivibráticos tipo France-Air Acosutimousse (ou equivalente)
</t>
  </si>
  <si>
    <t xml:space="preserve">Ensaios Finais
</t>
  </si>
  <si>
    <t xml:space="preserve">Selagens corta-fogo
</t>
  </si>
  <si>
    <t xml:space="preserve">Serviços a Diluir na Empreitada
</t>
  </si>
  <si>
    <t xml:space="preserve">Realização de diversas obrigações para a recepção das instalações
</t>
  </si>
  <si>
    <t xml:space="preserve">Terminais chaminés
</t>
  </si>
  <si>
    <t xml:space="preserve">Maçicos para apoio das máquinas de AVAC
</t>
  </si>
  <si>
    <t xml:space="preserve">Tubo VD ERFE LH 25 mm
</t>
  </si>
  <si>
    <t>Condutores e Cabos</t>
  </si>
  <si>
    <t xml:space="preserve">XZ1 (frs,zh) - 5G1.5
</t>
  </si>
  <si>
    <t>Caixas</t>
  </si>
  <si>
    <t xml:space="preserve">Botoneira de Emergência acção dupla com sinalização
</t>
  </si>
  <si>
    <t xml:space="preserve">Tubo VD/ERFE 25 mm LH
</t>
  </si>
  <si>
    <t xml:space="preserve">XZ1(frt-zh)-U5G2.5
</t>
  </si>
  <si>
    <t xml:space="preserve">Caixa de aparelhagem funda
</t>
  </si>
  <si>
    <t xml:space="preserve">Tomada de energia simples tipo Schuko 2P+T com alvéolos protegidos + USB
</t>
  </si>
  <si>
    <t xml:space="preserve">Tubo VD/ERFE 20 LH mm 
</t>
  </si>
  <si>
    <t xml:space="preserve">JY(ST)Y 2x2x0.8mm2
</t>
  </si>
  <si>
    <t xml:space="preserve">Caixa de aplique
</t>
  </si>
  <si>
    <t xml:space="preserve">Comando programação detetores tipo D1
</t>
  </si>
  <si>
    <t xml:space="preserve">Valores correspondentes apenas à montagem.
</t>
  </si>
  <si>
    <t xml:space="preserve">Tubo VD/ERFE 25 LH mm 
</t>
  </si>
  <si>
    <t xml:space="preserve">XZ1(frt-zh) - U3G2.5
</t>
  </si>
  <si>
    <t xml:space="preserve">Caixa de derivação
</t>
  </si>
  <si>
    <t xml:space="preserve">Telecomando eletrónico
</t>
  </si>
  <si>
    <t xml:space="preserve">3-phase+N SPD configuration 3+1 Type 2 VG technology Imax=50kA - Uc=275Vac - Remote signaling
</t>
  </si>
  <si>
    <t xml:space="preserve">Tubo VD ERFE 63 mm LH 
</t>
  </si>
  <si>
    <t xml:space="preserve">Tubo PEAD 40mm
</t>
  </si>
  <si>
    <t xml:space="preserve">Tipo C2
</t>
  </si>
  <si>
    <t xml:space="preserve">Cabo Duplex FO Pré-Con. LSFH "SC/APC" 30m
</t>
  </si>
  <si>
    <t xml:space="preserve">Conector "F" compressão para T100
</t>
  </si>
  <si>
    <t xml:space="preserve">Ensaios de funcionalidade das redes de pares de cobre e cabo coaxial
</t>
  </si>
  <si>
    <t xml:space="preserve">Cabo FVV 2x0.5mm
</t>
  </si>
  <si>
    <t xml:space="preserve">Testa elétrica
</t>
  </si>
  <si>
    <t xml:space="preserve">Ref.ª - P 43 42 (310x115 mm)
</t>
  </si>
  <si>
    <t xml:space="preserve">Planta de Emergência Formato A4
</t>
  </si>
  <si>
    <t xml:space="preserve">Extintor CO2 5 kg (Modelo EP CO2, Ref.ª 801027)
</t>
  </si>
  <si>
    <t xml:space="preserve">Manta Ignifuga (Modelo M120, Ref.ª 907002)
</t>
  </si>
  <si>
    <t xml:space="preserve">Configuração, ensaios, colocação em serviço e formação
</t>
  </si>
  <si>
    <t xml:space="preserve">Cabo U/UTP Cat6 Cu LSZH
</t>
  </si>
  <si>
    <t xml:space="preserve">Tubo VD/ERFE 20 mm 
</t>
  </si>
  <si>
    <t xml:space="preserve">JE-H (St) H E30 3x2x0.8mm2
</t>
  </si>
  <si>
    <t xml:space="preserve">Detector óptico de fumos, com base endereçável e placa suplementar
</t>
  </si>
  <si>
    <t xml:space="preserve">Sirene, vermelha, com base endereçável
</t>
  </si>
  <si>
    <t xml:space="preserve">Módulo de monitorização e controlo, com 4 entradas e 4 saídas e caixa de protecção IP65
</t>
  </si>
  <si>
    <t xml:space="preserve">Central de detecção de incêndios, equipada com 4 zonas de detecção analógicas/convencional , alimentação de socorro e consola terminal de operações com display alfanumérico em cristal líquido
</t>
  </si>
  <si>
    <t xml:space="preserve">Detetor Ótico de Fumos, com base do tipo colectivo
</t>
  </si>
  <si>
    <t xml:space="preserve">Indicador de Acção para Detectores do tipo colectivo
</t>
  </si>
  <si>
    <t xml:space="preserve">Botão de alarme manual, do tipo colectivo, de actuação directa, com vidro e caixa de côr vermelha
</t>
  </si>
  <si>
    <t xml:space="preserve">Sirene de alarme vermelha IP65, com base do tipo colectivo
</t>
  </si>
  <si>
    <t xml:space="preserve">Cabo Cat.6 Classe E U/UTP LSZH CU 4P AWG23
</t>
  </si>
  <si>
    <t xml:space="preserve">Instalação do equipamento On-Line de controlo de acesso das portas exteriores
</t>
  </si>
  <si>
    <t xml:space="preserve">Monitor LED FULL HD VGA/DVI/HDMI 21.5"
</t>
  </si>
  <si>
    <t xml:space="preserve">Tubo VD/ERFE 20 mm LH
</t>
  </si>
  <si>
    <t xml:space="preserve">Fornecimento e aplicação de Revestimento de pavimentos com mosaico de mármore branco do tipo Ibiza, 60x30 com 120mm, assente com argamassa tipo "CLEINTEX F - TEXSA", incluindo cortes, remates necessários, tratamento de juntas e limpeza de acordo com os pormenores a aplicar nas zonas húmidas e duches.
</t>
  </si>
  <si>
    <t xml:space="preserve">Fornecimento e aplicação de pintura em forra de madeira exterior existente, com tinta do  tipo AC-THANE-CIN. Aplicação manual de duas demãos de tinta plástica, igual a cor existente, acabamento mate, textura lisa, a primeira demão diluída com 15 a 20% de água e a seguinte diluída com 5 a 10% de água ou não diluída, (rendimento: 0,1 l/m² cada demão)
</t>
  </si>
  <si>
    <t xml:space="preserve">Pv01 / Pv01.1
Dimensão de 6015 x 2420
</t>
  </si>
  <si>
    <t xml:space="preserve">A02
Dimensão: 1,280 x 2,50 x 0,53m, para entrada
</t>
  </si>
  <si>
    <t xml:space="preserve">A04
Dimensão: 0,86 x 1,30 x 0,53m 
</t>
  </si>
  <si>
    <t xml:space="preserve">A05
Dimensão: 1,20 x 2,50 x 0,60m
</t>
  </si>
  <si>
    <t xml:space="preserve">A06
Dimensão: 1,65 x 2,40 x 0,60m
</t>
  </si>
  <si>
    <t xml:space="preserve">A06.1
Dimensão: 1,67 x 1,995 x 0,60m
</t>
  </si>
  <si>
    <t xml:space="preserve">A07
Dimensão: 2,53 x 2,88 x 0,60m
</t>
  </si>
  <si>
    <t xml:space="preserve">A08
Dimensão: 0,95 x 1,97 x 0,60m
</t>
  </si>
  <si>
    <t xml:space="preserve">A09 
Dimensão: 0,88 x 1,60 x 0,62m
</t>
  </si>
  <si>
    <t xml:space="preserve">A10
Dimensão: 0,88 x 1,10 x 0,62m
</t>
  </si>
  <si>
    <t xml:space="preserve">A11
Dimensão: 0,76 x 1,54 x 0,62m
</t>
  </si>
  <si>
    <t xml:space="preserve">C1
Dimensão: 1,80 x 0,50 x 0,34m
</t>
  </si>
  <si>
    <t xml:space="preserve">C1,1
Dimensão: 2,30 x 0,50 x 0,34m
</t>
  </si>
  <si>
    <t xml:space="preserve">C2
Dimensão: 1,60 x 0,50 x 0,34m
</t>
  </si>
  <si>
    <t xml:space="preserve">C2
Dimensão: 1,60 x 0,50 x 0,50m
</t>
  </si>
  <si>
    <t xml:space="preserve">C3
Móvel stand-alone com 3 módulos de 60, pés metálicos 
Dimensão: 180 x 220 x 60m
</t>
  </si>
  <si>
    <t xml:space="preserve">C4
Móvel de encastrar com 3 módulos, 1 de 50, pés metálicos
Dimensão: 170 x 210 x 60m
</t>
  </si>
  <si>
    <t xml:space="preserve">C5
Móvel de encastrar, superior e inferior, com 3 módulos de 50, com rodapé
Dimensão: 150 x 220 x 60m
</t>
  </si>
  <si>
    <t>100 x 650 x 2810</t>
  </si>
  <si>
    <t xml:space="preserve">150 x 650 x 2810
</t>
  </si>
  <si>
    <t xml:space="preserve">Vi.04
1 folha de abrir, abertura para a esquerda
Dimensões: 0,875 x 2,49
</t>
  </si>
  <si>
    <t xml:space="preserve">Fornecimento e aplicação de pintura em teto exteriore existente, com tinta tipo VINYLMATT-CIN. Aplicação manual de duas demãos de tinta plástica, cor branca, acabamento mate, textura lisa, a primeira demão diluída com 15 a 20% de água e a seguinte diluída com 5 a 10% de água ou não diluída, (rendimento: 0,1 l/m² cada demão); aplicação prévia de uma demão de primário acrílico, regulador da absorção, sobre paramento exterior de argamassa de cimento.
</t>
  </si>
  <si>
    <t>Hidráulicas</t>
  </si>
  <si>
    <t>Arquitectura</t>
  </si>
  <si>
    <t>Estabilidade</t>
  </si>
  <si>
    <t>Instalações Elétricas e Telecomunicações</t>
  </si>
  <si>
    <t xml:space="preserve">Diligências para o desenvolvimento normal da empreitada junto das entidades necessárias 
</t>
  </si>
  <si>
    <t xml:space="preserve">Em pavimentos, incluindo dobras nas paredes de 20cm
</t>
  </si>
  <si>
    <t xml:space="preserve">Revisão de Rufos
Fornecimento e montagem de rufo em chapa de zinco nº12, da melhor qualidade, incluindo fixação, dobras, remates, juntas de dilatação, pintura e demais trabalhos necessários
</t>
  </si>
  <si>
    <t xml:space="preserve">Barramento de paredes interiores existentes com massa de regularização à base de gesso, incluindo todos os remates e preparação para pintura, de acordo com os pormenores.
Para posterior pintura com tinta VINYLMATT.
</t>
  </si>
  <si>
    <t>Estaleiro</t>
  </si>
  <si>
    <t xml:space="preserve">Serventia de apoio às restantes artes intervenientes na empreitada, nomeadamente abertura e tapamento de roços, rasgos, ranhuras e valas, cedência de andaimes, apoio de mão-de-obra e demais apoios que venham a ser solicitados por intermédio da fiscalização.
</t>
  </si>
  <si>
    <t xml:space="preserve">Elaboração e implementação de Plano de Segurança e Saúde em Obra (DPSS)
</t>
  </si>
  <si>
    <t xml:space="preserve">Fornecimento e execução de alvenarias, do tipo parede seca em gesso cartonado, com dupla placa em ambos os lados e montantes de 70 do tipo C. Inclui lâ-de-rocha 70kg/m3 entre canais com espessura de acordo com os montantes instalados. Inclui fita acústica de dilatação autocolante; fixações para a ancoragem de canais e montantes metálicos; parafusos para a fixação das placas; fita de papel com reforço metálico e massa de juntas, fita de juntas. O preço inclui a resolução de encontros e pontos singulares.
</t>
  </si>
  <si>
    <t>2.14</t>
  </si>
  <si>
    <t>5.1.</t>
  </si>
  <si>
    <t xml:space="preserve">Impermeabilização de paredes e paramentos de estrutura de telhado no intersctício com as mansardas
</t>
  </si>
  <si>
    <t>Pv01 / Pv01.1 
Dimensão de 900x2400</t>
  </si>
  <si>
    <t>Pv02
Dimensão de 725x2000</t>
  </si>
  <si>
    <t>Pv02.1
Dimensão de 715x2000</t>
  </si>
  <si>
    <t>Pv02.2
Dimensão de 695x2000</t>
  </si>
  <si>
    <t xml:space="preserve">Vi.02, 
1 folha de batente,  abertura para esquerda
Dimensões 0,90 x 2,03 m
</t>
  </si>
  <si>
    <t xml:space="preserve">Fornecimento e montagem de portas interiores, com espessura total indicada, executadas com estrutura em madeira maciça, com favo no interior, revestida em ambas as faces com mdf de 5mm, incluindo acabamento lacado acetinado com tecnologia "airless", todas as ferragens definidas e descritas nos mapas de vãos, fixações, vedações e remates, de acordo com mapa de vãos e pormenores.
</t>
  </si>
  <si>
    <t xml:space="preserve">Fornecimento e montagem de portas interiores, com  espessura total indicada, executadas com estrutura em madeira maciça, todas as ferragens definidas e descritas nos mapas de vãos, fixações, vedações e remates, de acordo com mapa de vãos e pormenores.
</t>
  </si>
  <si>
    <t xml:space="preserve">Fornecimento e montagem de armário bagageiro, com telescópicas, incluindo todas as ferragens, fixações, vedações e remates, de acordo com mapa de armários e pormenores.
</t>
  </si>
  <si>
    <t xml:space="preserve">Fornecimento e montagem de armários de WC, executados, com frentes em mdf hidrófugo para receber cantaria a escolher, incluindo todas as ferragens, fixações, vedações e remates, de acordo com o projeto
</t>
  </si>
  <si>
    <t xml:space="preserve">Recuperação de portas exteriores existentes VE21. Inclui desmonte, decapagem, betumamento de juntas ou fissuras existentes , uma demão de primário tapa poros, e acabamento final com duas demão de pintura de esmalte de acordo com o mapa de vãos.
</t>
  </si>
  <si>
    <t xml:space="preserve">Recuperação de portadas interiores. Portada de batente de 3 (2+1) folhas com almofadas. Inclui desmonte, decapagem, betumamento de juntas ou fissuras existentes , uma demão de primário tapa poros, e acabamento final com duas demão de pintura de esmalte. Inclui recuperação e/ou substituição de ferragens de acordo com as existentes.
</t>
  </si>
  <si>
    <t xml:space="preserve">Recuperação de portadas interiores. Portada de batente de 4 (2+2) folhas com almofadas. Inclui desmonte, decapagem, betumamento de juntas ou fissuras existentes , uma demão de primário tapa poros, e acabamento final com duas demão de pintura de esmalte. Inclui recuperação e/ou substituição de ferragens de acordo com as existentes.
</t>
  </si>
  <si>
    <t xml:space="preserve">Fornecimento e colocação de espelho de acabamento bronze de 5 mm de espessura, colado ao paramento. Incluindo tratamento perimetral dos bordos de acordo com projeto.
E01
1200X2880mm
</t>
  </si>
  <si>
    <t xml:space="preserve">Idem, de pintura de tetos, em substituição dos existentes em gesso cartonado com tinta tipo "CINACRYL", nas demãos necessárias, incluindo preparação das superfícies, demão de primário da mesma marca e demais trabalhos necessários, de acordo com os pormenores.
</t>
  </si>
  <si>
    <t xml:space="preserve">Idem, de pintura de tetos interiores existentes (tecto sobre escadas) com tinta tipo "CINACRYL", nas demãos necessárias, incluindo preparação das superfícies, demão de primário da mesma marca e demais trabalhos necessários, de acordo com os pormenores.
</t>
  </si>
  <si>
    <t xml:space="preserve">Fornecimento e assentamento de tubagem de multicamada do tipo de pontas lisas, para uma pressão de serviço 10 [bar], e respectivos acessórios, destinada à rede de distribuição de água fria instalada à vista. Incluindo elementos de fixação [abraçadeiras], pintura a tinta adequada e execução das ligações por acessórios de compressão, de acordo com as peças desenhadas e condições técnicas, com o(s) diâmetro(s):
</t>
  </si>
  <si>
    <t xml:space="preserve">Fornecimento e assentamento de tubagem de multicama do tipo de pontas lisas, para uma classe de aplicação de 2 e para uma pressão de serviço 10 [bar], manga de isolamento de borracha esponjosa com espessura mínima de 20 [mm] e respectivos acessórios, destinada à rede de distribuição de água quente instalada à vista. Incluindo elementos de fixação [abraçadeiras] e pintura a tinta adequada e execução das ligações por acessórios de compressão, de acordo com as peças desenhadas e condições técnicas, com o(s) diâmetro(s):
</t>
  </si>
  <si>
    <t xml:space="preserve">Fornecimento e montagem de válvula reguladora termostática para circuitos de recirculo de água quente sanitária, preparado para a função de desinfeção térmica, de corpo em liga antidezincificação, EN10226-1. Incluindo cartucho regulável em PSU, vedações hidráulicas em EPDM, bainha porta-termómetro/sonda DN10, pressão máxima de funcionamento de 16bar, pressão máxima do diferencial de 1 bar, campo de temperatura de regulação de 35 a 60ºC e todos os pertences e trabalhos necessários, aplicados de acordo com os desenhos de pormenor e as condições técnicas, com o(s) diâmetro(s):
</t>
  </si>
  <si>
    <t xml:space="preserve">Boca Siamensa para Alimentação da Rede (Coluna Seca Montante)
</t>
  </si>
  <si>
    <t xml:space="preserve">Execução de ramal de ligação à Rede Pública, incluindo tubagem PEAD PN 10 Kgf/cm2, levantamento e reposição de pavimentos, abertura e tapamento de vala, transporte para vazadouro de excedentes, assentamento em almofada de areia, recobrimento da tubagem em camada de terra cirandada até 0,20 m, aterro do restante volume da vala com produtos da escavação isento de pedras, incluindo remoção a depósito de rejeitados de 0,05 m, e todos os trabalhos e acessórios necessários a uma correcta execução de acordo com os desenhos de pormenor e condições técnicas.
</t>
  </si>
  <si>
    <t xml:space="preserve">Execução da ligação das redes de água fria e quente ao sistema de produtor de água quente, incluindo todos os acessórios e trabalhos necessários ao correcto funcionamento.
</t>
  </si>
  <si>
    <t xml:space="preserve">Verificações, ensaios e manutenção de todas as condutas de água, antes de entrarem em serviço, com o objectivo de assegurar a qualidade da execução e o seu funcionamento hidráulico. Incluindo todos os materiais e equipamentos necessários às operações.
</t>
  </si>
  <si>
    <t>Trabalhos de Construção Civil e Apoio</t>
  </si>
  <si>
    <t>Casanova</t>
  </si>
  <si>
    <t xml:space="preserve">Recuperação de portadas interiores. Portada de batente de 2 folhas com almofadas. Inclui desmonte, decapagem, betumamento de juntas ou fissuras existentes , uma demão de primário tapa poros, e acabamento final com duas demão de pintura de esmalte. Inclui recuperação e/ou substituição de ferragens de acordo com as existentes.
</t>
  </si>
  <si>
    <t>Total Trabalhos Normais</t>
  </si>
  <si>
    <t xml:space="preserve">Em paredes, até aos 2m em zonas de duche
</t>
  </si>
  <si>
    <t>Margem 10% Sá Machado</t>
  </si>
  <si>
    <t>Ventiladores</t>
  </si>
  <si>
    <t>Transporte e aplicação (44 vãos)</t>
  </si>
  <si>
    <t xml:space="preserve">Fornecimento e instalação de Gelosia de lâminas fixas de aço galvanizado, com dobra simples nos bordos. Pré-aro de tubo rectangular de aço galvanizado para exterior.
</t>
  </si>
  <si>
    <t xml:space="preserve">Fornecimento e instalação de caixilharia em tubo rectangular facar esmaltado para vidro simples 6mm. Com pré-aro, 1 folha de batente e 1 fixa de acordo com projeto
</t>
  </si>
  <si>
    <t xml:space="preserve">Fornecimento e colocação de armário do tipo kitchnette, com paineis em mdf de 19mm, com acabamento lacado acetinado com tecnologia "airless", vedações, remates, e ferragens de acordo com o projeto
</t>
  </si>
  <si>
    <t xml:space="preserve">Fornecimento e montagem de corrimão, de desenho igual ao existente, com acabamento lacado acetinado com tecnologia "airless", incluindo, fixações e remates de acordo com o projeto
</t>
  </si>
  <si>
    <t xml:space="preserve">Recuperação de soalho existente. Inclui decapagem, substituição de novas peças ou fixação de existentes com colagem ou fixação mecânica, betumamento de juntas ou fissuras existentes, uma demão de tapa poros
</t>
  </si>
  <si>
    <t xml:space="preserve">VE.08
</t>
  </si>
  <si>
    <t xml:space="preserve">RRC.01
</t>
  </si>
  <si>
    <t xml:space="preserve">Demolição e desmonte de todos os elementos existentes na área de influencia da obra, necessários à execução do projecto, incluindo transporte a vazadouro de acordo com as peças desenhadas "vermelhos e amarelos" e pormenores.
Armanezamento de alguns dos materiais em local a designar pelo dono de obra, para posterior utilização de acordo com indicações do projetista, nomeadamente rodapés, aros, ombreiras e outros elementos a recuperar.
</t>
  </si>
  <si>
    <t xml:space="preserve">Fornecimento e execução de alvenarias, do tipo parede seca em gesso cartonado 125mm, com duas placas num só lado e montantes 48 do tipo C. Inclui lâ-de-rocha 70kg/m3 entre canais com espessura de acordo com os montantes instalados.Inclui fita acústica de dilatação autocolante ; fixações para a ancoragem de canais e montantes metálicos; parafusos para a fixação das placas; fita de papel com reforço metálicoe massa de juntas , fita de juntas . O preço inclui a resolução de encontros e pontos singulares.
</t>
  </si>
  <si>
    <t xml:space="preserve">Fornecimento e execução de alvenarias, do tipo parede seca em gesso cartonado, com dupla placa com tela betuminosa 4mm em ambos os lados, duplos montantes de 48 divididos por caixa de ar de 10mm uma placa de gesso cartonado. Inclui lâ-de-rocha 70kg/m3 entre canais com espessura de acordo com os montantes instalados. Inclui fita acústica de dilatação autocolante; fixações para a ancoragem de canais e montantes metálicos; parafusos para a fixação das placas; fita de papel com reforço metálico e massa de juntas, fita de juntas. O preço inclui a resolução de encontros e pontos singulares.
</t>
  </si>
  <si>
    <t xml:space="preserve">Fornecimento e execução de alvenarias, do tipo parede seca em gesso cartonado, com dupla placa com tela betuminosa 4mm em ambos os lados, duplos montantes de 70 divididos por caixa de ar de 10mm uma placa de gesso cartonado. Inclui lâ-de-rocha 70kg/m3 entre canais com espessura de acordo com os montantes instalados. Inclui fita acústica de dilatação autocolante; fixações para a ancoragem de canais e montantes metálicos; parafusos para a fixação das placas; fita de papel com reforço metálico e massa de juntas, fita de juntas. O preço inclui a resolução de encontros e pontos singulares.
</t>
  </si>
  <si>
    <t xml:space="preserve">Revestimento de pavimentos com mosaico de grés cerâmico, a definir, com 9mm, de primeira qualidade, assente com argamassa tipo "CLEINTEX F - TEXSA", incluindo cortes, remates necessários, tratamento de juntas e limpeza de acordo com os pormenores a aplicar nas zonas húmidas e duches
</t>
  </si>
  <si>
    <t xml:space="preserve">Fornecimento e aplicação de pintura epoxi com rolo ou pistola de air-less de uma primeira demão de tinta de dois componentes, à base de resina epóxi e endurecedor amínico em emulsão aquosa, cor cinzento RAL 7037, acabamento acetinado, diluída com 10% de água, e uma segunda demão do mesmo produto sem diluir, (rendimento: 0,225 kg/m² cada demão). Inclusive p/p de limpeza da superfície suporte e preparação da mistura. Incluindo a preparação do suporte, remates e demais materiais e acessórios necessários, de acordo com as recomendações do fabricante e pormenores. 
</t>
  </si>
  <si>
    <t xml:space="preserve">Elaboração e implementação do Plano de Gestão de Resíduos da Construção e Demolição (PGRCD)
</t>
  </si>
  <si>
    <t xml:space="preserve">Implantação da obra, de acordo com as indicações do projecto, e demais trabalhos necessários, de acordo com os pormenores e C.T.E.
</t>
  </si>
  <si>
    <t xml:space="preserve">Fornecimento e execução de alvenarias, do tipo parede seca em gesso cartonado, com dupla placa num só lado e montantes 70 do tipo C. Inclui lâ-de-rocha 70kg/m3 entre canais com espessura de acordo com os montantes instalados. Inclui fita acústica de dilatação autocolante ; fixações para a ancoragem de canais e montantes metálicos; parafusos para a fixação das placas; fita de papel com reforço metálicoe massa de juntas , fita de juntas . O preço inclui a resolução de encontros e pontos singulares.
</t>
  </si>
  <si>
    <t xml:space="preserve">Fornecimento e execução de alvenarias, do tipo parede seca em gesso cartonado, com dupla placa com tela betuminosa 4mm mais uma placa  num só lado e montantes 70 do tipo C. Inclui lâ-de-rocha 70kg/m3 entre canais com espessura de acordo com os montantes instalados. Inclui fita acústica de dilatação autocolante ; fixações para a ancoragem de canais e montantes metálicos; parafusos para a fixação das placas; fita de papel com reforço metálicoe massa de juntas , fita de juntas . O preço inclui a resolução de encontros e pontos singulares.
</t>
  </si>
  <si>
    <t xml:space="preserve">Fornecimento e execução de alvenarias, do tipo parede seca em gesso cartonado, com dupla placa sobre parede existente, caixa de ar 10mm, montante de 90 e dupla placa de um lado Inclui lâ-de-rocha 70kg/m3 entre canais com espessura de acordo com os montantes instalados. Inclui fita acústica de dilatação autocolante; fixações para a ancoragem de canais e montantes metálicos; parafusos para a fixação das placas; fita de papel com reforço metálico e massa de juntas, fita de juntas. O preço inclui a resolução de encontros e pontos singulares.
</t>
  </si>
  <si>
    <t xml:space="preserve">Impermeabilização de pavimentos em zonas de águas, com emboço hidrófugo, a definir, incluindo dobras nas paredes 
</t>
  </si>
  <si>
    <t xml:space="preserve">Placa XPS Perfiboard 60mm para bases de duche 
</t>
  </si>
  <si>
    <t xml:space="preserve">Fornecimento e aplicação de lã-de-rocha granulada, com densidade de 55kg/m³, entre vigas nas lajes de piso por meio de insuflação com recurso a máquina pneumática dedicada. Incluir levantamento do soalho em pontos determinados pelo projetista tendo em vista o correcto espalhamento e compactação do material
</t>
  </si>
  <si>
    <t xml:space="preserve">Revisão da Cobertura da Mansarda
Cobertura não acessível inclinada, realizada com telha cerâmica tipo "Marselha". Limpeza, fornecimento e aplicação de elementos danificados a substituir incluindo telas elastómeras, a definir.
</t>
  </si>
  <si>
    <t xml:space="preserve">Revisão da Cobertura de Remate
Cobertura não acessível inclinada, realizada com telha cerâmica tipo "Lusa" assente sobre subtelha tipo "Onduline", Limpeza, fornecimento e aplicação de elementos danificados a substituir incluindo telas elastómeras, a definir
</t>
  </si>
  <si>
    <t xml:space="preserve">Revisão de Caleiras
Fornecimento e montagem de caleiras em chapa de zinco nº12, da melhor qualidade, incluindo fixação, dobras, remates, juntas de dilatação, pintura e demais trabalhos necessários
</t>
  </si>
  <si>
    <t xml:space="preserve">Fornecimento e colocação de tapete de entrada tipo cairo, embutido em caixa rebaixada e remate em perfil de inox, de acordo com os pormenores.
</t>
  </si>
  <si>
    <t xml:space="preserve">Revestimento de paredes com material cerâmico na zona dos duches a definir, com 6mm, assente com cimento cola, conforme estereotomia, incluindo perfis de remate, cortes, remates, tratamento de juntas com argamassa epoxy e limpeza, de acordo com os pormenores.
</t>
  </si>
  <si>
    <t xml:space="preserve">Fornecimento e montagem de tectos em placas de gesso cartonado tipo "Pladur", standard, fixado com calha perfurada e varão roscado, incluindo alheta de remate em todo o perimetro de contacto com os paramentos verticais, cortes, remates, perfis, recaidas, colmatação de juntas, barramento total e lixamento, ficando prontas a serem pintadas. tectos existentes para substituir
</t>
  </si>
  <si>
    <t xml:space="preserve">Fornecimento e montagem de tectos em placas de gesso cartonado, hidrófugo, tipo "Pladur", fixado com calha perfurada e varão roscado, incluindo sancas para colocação de calhas, alhetas de remate em todo o perimetro de contacto com os paramentos verticais, lã de rocha de 70kg/m3 com 40mm de esp., cortes, remates, perfis, recaidas, colmatação de juntas, barramento total e lixamento, ficando prontas a serem pintadas.
</t>
  </si>
  <si>
    <t xml:space="preserve">Fornecimento e montagem de tectos em placas de gesso cartonado, hidrófugo, tipo "Pladur", fixado sobre montantes horizontais autoportantes 600mm, incluindo , lã de rocha de 70kg/m3 com 40mm de esp., cortes, remates, perfis, recaidas, colmatação de juntas, barramento total e lixamento, ficando prontas a serem pintadas.
</t>
  </si>
  <si>
    <t xml:space="preserve">Barramento de tetos interiores existentes (salas e hall de piso) com massas de regularização à base de gesso, incluindo todos os remates e preparação para pintura, de acordo com os pormenores.
</t>
  </si>
  <si>
    <t xml:space="preserve">Barramento de tetos interiores existentes (tecto sobre escadas) com massas de regularização à base de gesso, incluindo todos os remates e preparação para pintura, de acordo com os pormenores.
</t>
  </si>
  <si>
    <t xml:space="preserve">Fornecimento e aplicação de rodatecto em polistireno extrudido do tIpo Orac Decor modeloCX199 (200X8X8) , incluindo , cortes, remates, colmatação de juntas, barramento total e lixamento, ficando prontas a serem pintados.
</t>
  </si>
  <si>
    <t xml:space="preserve">Fornecimento e colocação de tampos e frentes de móvel de lavatório de pousar em compacto de mármore, a definir, incluindo furações, fixações, vedações e remates de acordo com os pormenores.
</t>
  </si>
  <si>
    <t xml:space="preserve">Limpeza mecânica de fachadas de alvenaria de pedra (ombreiras, padireiras, soleiras, rodapés, cachorros, piso e tecto das varandas em estado de conservação regular, através da projecção de jacto de abrasivo húmido (silicato de alumínio) em proporção de 80% de partículas abrasivas e 20% de água projectada a baixa pressão (50 atm), controlada através de bocas substituíveis e reguláveis, modificando a pressão, a distância de aplicação e o diâmetro das bocas, em função da natureza e as condições da superfície a limpar. Incluindo ensaios prévios necessárias para ajustar os parâmetros da limpeza e evitar danos nos materiais, transporte, montagem e desmontagem de equipamento; inspecção geral da fachada e eliminação dos elementos que possam desprender-se; armazenamento, remoção e carga da areia projectada e restos gerados para camião ou contentor; considerando um grau de complexidade médio.
</t>
  </si>
  <si>
    <r>
      <t xml:space="preserve">Fornecimento e instalação de caixilharia em madeira de Castanho Ibérico sistema CN78 acabamento Lacado ral a defenir . Vidro duplo: Planistar One 86.2 silence + cx ar 16mm+ Planiclear 64.2 Silence 5, incluindo fixações, acessorios, ferragens, e todos os trabalhos e materiais necessários a um perfeito acabamento, tudo de acordo com as peças desenhadas e escritas.
</t>
    </r>
    <r>
      <rPr>
        <sz val="8"/>
        <color rgb="FFFF0000"/>
        <rFont val="Calibri"/>
        <family val="2"/>
        <scheme val="minor"/>
      </rPr>
      <t>Não inclui nenhum tipo de remate pelo interior nem pelo exterior.
As janelas consideradas não têm o recorte da pedra na zona redonda.
Não está considerado fornecimento de novas portadas, nem restauro das existentes.</t>
    </r>
    <r>
      <rPr>
        <sz val="8"/>
        <rFont val="Calibri"/>
        <family val="2"/>
        <scheme val="minor"/>
      </rPr>
      <t xml:space="preserve">
</t>
    </r>
  </si>
  <si>
    <t xml:space="preserve">Recuperação de guardas em ferro. Inclui decapagem, aplicação de primário e duas demão de esmalte. Substituição ou reparação de elementos degradados assim como suas ligações e uniões à fachada   
</t>
  </si>
  <si>
    <t xml:space="preserve">Fornecimento e montagem de portas em ferro incluindo fixações, ligações e remates de acordo com o projeto.
</t>
  </si>
  <si>
    <t xml:space="preserve">Fornecimento e montagem de porta de entrada blindada normalizada TRIA COMPLAN1, Porta metálica de batente com aro e folha complanares em ambas as faces. O aro é constituído por perfis quinados em chapa de aço electrozincado de 2 mm de espessura, soldados entre si.
A folha, com aba de batente às três faces do aro, é constituída por dois painéis em chapa de aço electrozincado de 1.25 mm de espessura e incorpora materiais acústicos e termo-isolantes conforme o sistema construtivo TRIA.
</t>
  </si>
  <si>
    <t xml:space="preserve">Fornecimento e montagem de portas interiores, com espessura total indicada, executadas com estrutura em madeira maciça, com favo no interior, revestida em ambas as faces com mdf de 5mm, incluindo acabamento folheado a melamina a escolher, todas as ferragens definidas e descritas nos mapas de vãos, fixações, vedações e remates, de acordo com mapa de vãos e pormenores.
</t>
  </si>
  <si>
    <t xml:space="preserve">Fornecimento e montagem de armário elétrico, com portas de batente, sem costas incluindo todas as ferragens, fixações, vedações e remates, de acordo com mapa de armários e pormenores.
</t>
  </si>
  <si>
    <t xml:space="preserve">A03
Dimensão: 3,73 x 1,32 x 0,15m, para hall de piso
</t>
  </si>
  <si>
    <t xml:space="preserve">Fornecimento e montagem de armário, com portas de batente, incluindo todas as ferragens, fixações, vedações e remates, de acordo com mapa de armários e pormenores.
</t>
  </si>
  <si>
    <t xml:space="preserve">Fornecimento e montagem de armários roupeiros/ estantes interiores, executados, com frentes em mdf de 19mm, com acabamento lacado acetinado com tecnologia "airless", interiores em mdf forrados a melamina, incluindo, módulos de gavetas e prateleiras, todas as ferragens, fixações, vedações e remates, de acordo com mapa de armários e pormenores.
</t>
  </si>
  <si>
    <t xml:space="preserve">Fornecimento e montagem de caixa interior de armário, em mdf folheado a escolher incluindo todas as ferragens, fixações, vedações e remates, de acordo com mapa de armários e pormenores.
</t>
  </si>
  <si>
    <t xml:space="preserve">Fornecimento e montagem de degraus em madeira maciça de pinho tratado, para um lanço de escadas e patamar definido no número anterior (4 degraus, 1 patamar) e, do mesmo modo, capeamento de estrutura metálica (23 degraus, 2 patamares) incluindo, fixações, remates e pintura a definir de acordo com o projeto
</t>
  </si>
  <si>
    <t xml:space="preserve">Colocação de rodapés existentes retirados, armazenados e restaurados incluindo, fixações, cortes, remates e todos os materiais definidos e descritos nos desenhos de pormenor. 
</t>
  </si>
  <si>
    <t xml:space="preserve">Fornecimento e colocação de painel em MDF Hidrófugo, foheado a melamina a escolher , para hall de entrada nos quartos, incluindo, fixações, cortes, remates e todos os materiais definidos e descritos nos desenhos de pormenor. 
</t>
  </si>
  <si>
    <t xml:space="preserve">Fornecimento e colocação de estrutura em madeira maciça com painel em MDF Hidrófugo, foheado a melamina a escolher , para I.S do Piso 6, incluindo, fixações, cortes, remates e todos os materiais definidos e descritos nos desenhos de pormenor. 
</t>
  </si>
  <si>
    <t xml:space="preserve">Fornecimento e aplicação de duas demão de verniz a definir incluindo afagamento e polimento
</t>
  </si>
  <si>
    <t xml:space="preserve">Recuperação de corrimão existente. Inclui fixação de existentes com colagem ou fixação mecânica, betumamento de juntas ou fissuras existentes, polimento com afagamento e acabamento final com duas demão de verniz a definir.
</t>
  </si>
  <si>
    <t xml:space="preserve">Recuperação de caixilharia existente. Inclui desmonte, decapagem, substituição de novas peças ou fixação de existentes com colagem ou fixação mecânica, betumamento de juntas ou fissuras existentes , uma demão de primário tapa poros, e acabamento final com duas demão de pintura de esmalte de acordo com o mapa de vãos.
</t>
  </si>
  <si>
    <t xml:space="preserve">Recuperação de portas interiores existentes nos patamares da escada com dimensão de 874x1440mm. Inclui desmonte, decapagem, betumamento de juntas ou fissuras existentes , uma demão de primário tapa poros, e acabamento final com duas demão de pintura de esmalte.
</t>
  </si>
  <si>
    <t xml:space="preserve">Recuperação de portas interiores existentes nas águas furtadas. Inclui desmonte, decapagem, betumamento de juntas ou fissuras existentes , uma demão de primário tapa poros, e acabamento final com duas demão de pintura de esmalte.
</t>
  </si>
  <si>
    <t xml:space="preserve">Fornecimento e colocação de espelho incolor de 5 mm de espessura, com tinta de protecção, cor prata, pela sua face posterior, fixado mecanicamente ao caixilho metálico. Incluindo tratamento perimetral dos bordos, furos, parafusos e grampos de fixação. 
</t>
  </si>
  <si>
    <t xml:space="preserve">Fornecimento e aplicação de pintura de chapa metálica nas empenas existentes, com tinta tipo GALVACIN-CIN, nas demãos necessárias, incluindo preparação das superfícies, demão de primário da mesma marca e demais trabalhos necessários, de acordo com os pormenores.
</t>
  </si>
  <si>
    <r>
      <t xml:space="preserve">Fornecimento e aplicação de pintura de paredes exteriores existentes ,  com tinta tipo VINYLMATT-CIN, </t>
    </r>
    <r>
      <rPr>
        <strike/>
        <sz val="8"/>
        <rFont val="Calibri"/>
        <family val="2"/>
        <scheme val="minor"/>
      </rPr>
      <t>nas demãos necessárias, incluindo preparação das superfícies, demão de primário da mesma marca e demais trabalhos necessários, de acordo com os pormenores</t>
    </r>
    <r>
      <rPr>
        <sz val="8"/>
        <rFont val="Calibri"/>
        <family val="2"/>
        <scheme val="minor"/>
      </rPr>
      <t xml:space="preserve">.
Aplicação manual de duas demãos de tinta plástica, cor branca, acabamento mate, textura lisa, a primeira demão diluída com 15 a 20% de água e a seguinte diluída com 5 a 10% de água ou não diluída, (rendimento: 0,1 l/m² cada demão); aplicação prévia de uma demão de primário acrílico, regulador da absorção, sobre paramento exterior de argamassa de cimento.
</t>
    </r>
  </si>
  <si>
    <t xml:space="preserve">Fornecimento e aplicação de pintura de paredes interiores existentes ,  com tinta tipo VINYLMATT-CIN, nas demãos necessárias, incluindo preparação das superfícies, demão de primário da mesma marca e demais trabalhos necessários, de acordo com os pormenores.
</t>
  </si>
  <si>
    <t xml:space="preserve">Fornecimento e aplicação de pintura de paredes interiores novas em gesso cartonado, com tinta tipo VINYLMATT-CIN, nas demãos necessárias, incluindo preparação das superfícies, demão de primário da mesma marca e demais trabalhos necessários, de acordo com os pormenores.
</t>
  </si>
  <si>
    <t xml:space="preserve">Fornecimento e aplicação, de pintura de tetos interiores, novos em  gesso cartonado com tinta tipo "CINACRYL", nas demãos necessárias, incluindo preparação das superfícies, demão de primário da mesma marca e demais trabalhos necessários, de acordo com os pormenores.
</t>
  </si>
  <si>
    <t xml:space="preserve">Fornecimento e montagem de louças sanitarias, incluindo todas as ligações às redes respectivas e demais materiais necessários de acordo com os pormenores.
</t>
  </si>
  <si>
    <t xml:space="preserve">Fornecimento e colocação de perfis classe S275JR incluindo, tratamento da superfície de acordo com o esquema de pintura anticorrosiva da classe C2 mais intumescente de acordo com projeto de segurança contra risco de incêndio, ligação entre perfis, colocação em obra, ligações aparafusada, soldadas, chumbadouros, chapas de ligação e todos os restantes trabalhos necessários, de acordo com as peças desenhadas e o caderno de encargos.
</t>
  </si>
  <si>
    <t xml:space="preserve">Fornecimento, quinagem e assentamento de chapa da classe S235JR com 5mm folha de oliveira galvanizada para criação de patamares e degraus de escadas metálicas exteriores, incluindo soldadura à estrutura principal, e pintura e todos os restantes trabalhos necessários, de acordo com as peças desenhadas e o caderno de encargos.
</t>
  </si>
  <si>
    <t xml:space="preserve">Fornecimento e assentamento de tubagem de multicamada do tipo de pontas lisas, para uma classe de aplicação de 2 e uma pressão de serviço 10 [bar], manga de isolamento de borracha esponjosa com espessura mínima de 20 [mm] e respectivos acessórios, destinada à rede de distribuição de água quente embutida. Incluindo abertura e tapamento de roço com travessias por mangas preenchidas com material isolante e elástico e execução das ligações por acessórios de compressão, de acordo com as peças desenhadas e condições técnicas, com o(s) diâmetro(s):
</t>
  </si>
  <si>
    <t xml:space="preserve">Fornecimento e montagem de válvula de passagem de bronze com pressão nominal PN 10,0 [bar], a aplicar no seccionamento de cada ramal de água fria das bacias de retrete. Incluindo todos os pertences e trabalhos necessários, aplicados de acordo com os desenhos de pormenor e as condições técnicas, com o(s) diâmetro(s):
</t>
  </si>
  <si>
    <t xml:space="preserve">Fornecimento e montagem de caixa de contador para instalação de contadores, em alvenaria de tijolo maciços, incluindo contador de abastecimento de água para consumo, válvula de segurança, válvula de seccionamento, porta em ferro fundido, e todos os trabalhos e acessórios necessários ao seu correcto funcionamento, de acordo com peças desenhadas.
</t>
  </si>
  <si>
    <t xml:space="preserve">Fornecimento e montagem válvula anti-poluição tipo BA, em ferro fundido, protegida contra a corrosão, a colocar a jusanta do contador de incêndios, com pressão nominal PN10 bar. Incluindo filtro e válvulas de seccionamento e  todos os pertences e trabalhos necessários, aplicados de acordo com os desenhos de pormenor e condições técnicas, com o diâmetro:
</t>
  </si>
  <si>
    <t xml:space="preserve">Fornecimento e montagem de ventosa automática duplo efeito, a instalar nos pontos mais altos da rede de coluna seca. Incluindo todos os pertences e trabalhos necessários, aplicados de acordo com os desenhos de pormenor e condições técnicas, com o diâmetro:
</t>
  </si>
  <si>
    <t xml:space="preserve">Fornecimento e montagem de bocas de incendio com duas BI, ambas com diâmetro DN52 mm, incluindo ligação tipo Storz, a aplicar na rede de coluna seca. Incluindo todos os pertences, acessórios e trabalhos necessários para um correcto funcionamento, em conformidade com as condições técnicas e peças desenhadas.
</t>
  </si>
  <si>
    <t xml:space="preserve">Fornecimento e montagem de purgadores de ar, a aplicar no indicado nas peças desenhadas, incluído todos os trabalhos e acessórios necessários.
</t>
  </si>
  <si>
    <t xml:space="preserve">Central de Recirculação
Fornecimento e montagem de bomba de recirculação de água quente. Incluindo quadro eléctrico, ligações aos colectores de água quente e acumuladores, válvulas de seccionamento e retenção, e todos os trabalhos e acessórios necessários à sua correcta instalação e funcionamento, em conformidade com peças desenhadas e peças escritas.
</t>
  </si>
  <si>
    <t xml:space="preserve">Levantamento cadastral das redes executadas e elaboração das telas finais para entegra ao promotor e á entidade Gestora da Rede Pública.
</t>
  </si>
  <si>
    <t xml:space="preserve">Verificação da Rede Existente e Reparação / Substituição (Se Necessário)
Verificação da rede existente, procedendo à sua substituição ou reparação em caso de necessidade, quer por má qualidade dos materiais/instalação dos mesmos, quer por não cumprimento da legislação em vigor. Incluindo todos os trabalhos materiais e acessórios necessários à sua correta execução, nomeadamente todos os trabalhos de reparação e substituição, cortes, remates, carga, transporte, descarga, arrumação com acondicionamento cuidado para posterior uso, ajuste das cotas de tampa das caixas de visita existentes, em concordância com a nova altimetria do local, e todas as tarefas acessórias necessárias para a correta efectivação dos trabalhos, assim como para a limpeza do local. Considera-se incluída a implementação das medidas de segurança consideradas necessárias para a realização dos trabalhos.
</t>
  </si>
  <si>
    <t xml:space="preserve">Ramais de Descarga Suspensos
Fornecimento e assentamento de tubagem de PVC-U de parede compacta, com método de união por boca com anel elastomérico (O-ring labial em TPE), série B, SN4, EN1329-1, destinada aos ramais de descarga suspensos, envolvidas primeiramente em lã de rocha [e=30mm, 40 kg/m3] revestida exteriormente com folha de alumínio, sendo de seguida envolvidas com duas camadas de membrana elastómera auto-adesiva [tipo RECSOUND SY50]. Incluindo elementos de fixação [abraçadeiras] e pintura a tinta adequada,  execução das ligações por abocardamento com anel de estanquidade, carotagem de elementos estruturais, e todos os acessórios e trabalhos necessários de acordo com peças desenhadas e condições técnicas, com o(s) diâmetro(s):
</t>
  </si>
  <si>
    <t xml:space="preserve">Tubos de Ventilação
Fornecimento e assentamento de tubagem de PVC-U de parede compacta, com método de união por boca com anel elastomérico (O-ring labial em TPE), série B, SN4/PN6, EN1329-1, e respetivos acessórios, destinada à rede de ventilação. Incluindo ligações e prolongamento à cobertura para ventilação primária, elementos de fixação [abraçadeiras], execução das ligações pelo mesmo método de união com anel de estanquidade, carotagem de elementos estruturais e todos os trabalhos e acessórios necessários, de acordo com as peças desenhadas e condições técnicas, com o(s) diâmetro(s):
</t>
  </si>
  <si>
    <t xml:space="preserve">Tubos de Queda
Fornecimento e assentamento de tubagem de PVC-U de parede compacta, com método de união por boca com anel elastomérico (O-ring labial em TPE), série B, SN4/PN6, EN1329-1, e respetivos acessórios, envolvida com membrana de polietileno reticular de célula fechada (e=10mm, tipo "IMPACTODAN 10" ou equivalente). Incluindo ligações e prolongamento à cobertura para ventilação primária, elementos de fixação [abraçadeiras], bocas de limpeza de 3 em 3 pisos, curva de redução de velocidade de 4 em 4 pisos, execução das ligações pelo mesmo método de união com anel de estanquidade, carotagem de elementos estruturais e todos os acessórios e trabalhos necessários, de acordo com as peças desenhadas e condições técnicas, com o(s) diâmetro(s):
</t>
  </si>
  <si>
    <t xml:space="preserve">Colectores Suspensos
Fornecimento e assentamento de tubagem de PVC-U de parede compacta, com método de união por boca com anel elastomérico (O-ring labial em TPE), série B, SN4, EN1329-1, destinada à rede de colectores suspensos na rede de águas residuais, envolvidas primeiramente em lã de rocha [e=30mm, 40 kg/m3] revestida exteriormente com folha de alumínio, sendo de seguida envolvidas com duas camadas de membrana elastómera auto-adesiva [tipoTECSOUND SY50]. Incluindo elementos de fixação [abraçadeiras] e pintura a tinta adequada, execução das ligações por abocardamento com anel de estanquidade, carotagem de elementos estruturais, e todos os trabalhos e acessórios necessários, de acordo com peças desenhadas e condições técnicas, com o(s) diâmetro(s):
</t>
  </si>
  <si>
    <t xml:space="preserve">Ramais de Decarga PVC
Fornecimento e assentamento de tubagem PVC, série B, EN 1239-1, do tipo abocardamento e ponta lisa e respectivos acessórios, destinada aos ramais de descarga da rede residual. Inclui a execução das ligações por abocardamento com anel de estanquidade, todos os trabalhos de movimentação de terra, abertura e tapamento de roços e de ligação aos restantes elementos da rede residual. Envolvimento com membrana de polietileno reticular de célula fechada [e=10mm, tipo "IMPACTODAN 10" ou equivalente]. De acordo com os desenhos de pormenor e condições técnicas e com os seguintes diâmetros:
</t>
  </si>
  <si>
    <t xml:space="preserve">Verificações, Ensaios e Manutenção
Execução de ensaios,verificações e manutenção de todas as condutas de água, antes de entrarem em serviço, com o objectivo de assegurar a qualidade da execução e o seu funcionamento hidráulico,incluindo todos os materiais e equipamentos necessários às operações de acordo com os requesitos regulamentos aplicaveis.
</t>
  </si>
  <si>
    <t xml:space="preserve">Levantamento Cadastral
Levantamento cadastral das redes executadas elaboração das telas finais para entrega ao promotor e à entidade Gestora da Rede Pública.
</t>
  </si>
  <si>
    <t xml:space="preserve">Fornecimento e montagem de Equipamentos, incluindo todos os acessorios, com caracteristicas em conformidade com o definido no Caderno de Encargos e nas peças desenhadas, sendo:
</t>
  </si>
  <si>
    <t xml:space="preserve">Fornecimento e enfiamento em tubo, assentes em caminhos de cabos ou colocados á vista sobre braçadeiras, de condutores e cabos, com caracteristicas em conformidade com o definido no Caderno de Encargos, nos traçados definidos nas peças desenhadas, dos tipos seguintes:
</t>
  </si>
  <si>
    <t xml:space="preserve">Comando de Iluminação tipo comutador de escada simples 
</t>
  </si>
  <si>
    <t xml:space="preserve">Comando de Iluminação tipo comutador de escada duplo
</t>
  </si>
  <si>
    <t xml:space="preserve">Comando de Iluminação tipo inversor
</t>
  </si>
  <si>
    <t xml:space="preserve">Contacto magnético para armáro
</t>
  </si>
  <si>
    <t xml:space="preserve">Detetor de presença 360º tipo S2
</t>
  </si>
  <si>
    <t xml:space="preserve">Detetor de presença 360º tipo S3
</t>
  </si>
  <si>
    <t xml:space="preserve">Detetor de presença 360º tipo S4
</t>
  </si>
  <si>
    <t xml:space="preserve">Detetor de presença 180º
</t>
  </si>
  <si>
    <t xml:space="preserve">Comando de Iluminação tipo interruptor simples
</t>
  </si>
  <si>
    <t xml:space="preserve">Comando de Iluminação tipo comutador de lustre
</t>
  </si>
  <si>
    <t xml:space="preserve">Fornecimento e montagem de Equipamentos, incluindo todos os acessorios, com caracteristicas em conformidade com o definido no Caderno de Encargos e nas localizações das peças desenhadas, sendo:
</t>
  </si>
  <si>
    <t xml:space="preserve">Fornecimento e montagem de luminárias, incluindo todos os acessórios, com caracteristicas em conformidade com o definido no Caderno de Encargos e nas localizações das peças desenhadas, respeitando sempre as notas respetivas: 
</t>
  </si>
  <si>
    <t xml:space="preserve">Px (*) (**)
</t>
  </si>
  <si>
    <t xml:space="preserve">Luminarias a serem definidas pela arquitectura.
</t>
  </si>
  <si>
    <t xml:space="preserve">Mastro de extensão, 1º Troço, Altura 4,05m
</t>
  </si>
  <si>
    <t xml:space="preserve">Mastro de extensão, 2º Troço, Altura 5,80m
</t>
  </si>
  <si>
    <t xml:space="preserve">Fornecimento e montagem de Rede de Terras, incluindo todos os acessorios, com caracteristicas em conformidade com o definido no Caderno de Encargos, compreendendo todos os equipamentos e acessórios inerentes à perfeita montagem de todo o sistema.
</t>
  </si>
  <si>
    <t xml:space="preserve">3-Phase + Neutral SPD 230/400V - Type 1 - Iimp=12,5kA - Remote signaling -Plug-in module - CM/DM protection - 3+1 configuration  
</t>
  </si>
  <si>
    <t xml:space="preserve">Fornecimento e montagem de Rede de Terras, incluindo todos os acessorios, com caracteristicas em conformidade com o definido no Caderno de Encargos, compreendendo todos os equipamentos e acessórios inerentes à perfeita montagem de todo o sistema.
</t>
  </si>
  <si>
    <t xml:space="preserve">Fornecimento e montagem de um sistema de equipotencialização de todas as massas metálicas - incluíndo caminhos de cabos, massas condutoras de equipamentos não eléctricos (torneiras, corrimões, passadeiras metálicas, etc.), equipamentos na cobertura (de AVAC, painéis Fotovoltaícos e Solar-termicos, chaminés e todos os elementos metálicos), instalações hidráulicas e outros espaços, etc - incluindo todo o material e acessórios e nas condições referidas no Caderno de Encargos
</t>
  </si>
  <si>
    <t xml:space="preserve">Certificação da instalação, incluíndo licenciamentos, vistorias e revistorias necessárias até à aprovação pelas entidades competentes
</t>
  </si>
  <si>
    <t xml:space="preserve">Extintor Água Aditivada ABF 6 litros (Modelo PI6HS, Ref.ª 801041)
</t>
  </si>
  <si>
    <t xml:space="preserve">Extintor Água Aditivada ABF 9 litros (Modelo PI9H, Ref.ª 801011)
</t>
  </si>
  <si>
    <t xml:space="preserve">Central de detecção de incêndios, equipada com 2 linhas de detecção analógicas/endereçáveis em loop, com capacidade máxima até 252 elementos, fonte de alimentação incluindo baterias, consola terminal de operação com display alfanumérico
</t>
  </si>
  <si>
    <t xml:space="preserve">Botão de alarme manual, endereçável, de actuação directa, com vidro e caixa de cor vermelha
</t>
  </si>
  <si>
    <t xml:space="preserve">Detector multicritério, com base do tipo colectivo
</t>
  </si>
  <si>
    <t xml:space="preserve">Escudo Eletronico online com função "Não perturbe" completo com fechadura e cilindro
</t>
  </si>
  <si>
    <t xml:space="preserve">Licença de gestão em cloud, subscrição anual tamanho L 
</t>
  </si>
  <si>
    <t xml:space="preserve">pack 5 cartões ou tags - funcionários/hóspedes
</t>
  </si>
  <si>
    <t xml:space="preserve">Leitor de mural para entrada principal com base antivandalismo
</t>
  </si>
  <si>
    <t xml:space="preserve">Unidade de controlo  controlo online. Inclui placa Ethernet. Registo Entrada/Saída.
</t>
  </si>
  <si>
    <t xml:space="preserve">Gateway PoE, para ligação entre cloud e portas
</t>
  </si>
  <si>
    <t xml:space="preserve">Fonte de alimentação em caixa metálica 12V/5A, com bateria.
</t>
  </si>
  <si>
    <t xml:space="preserve">Botão sem contacto para abertura de porta c/ espelho simples 
</t>
  </si>
  <si>
    <t xml:space="preserve">Testa elétrica, abre em caso de sinalização do SADI
</t>
  </si>
  <si>
    <t xml:space="preserve">Switch PoE de 16 portas de cobre 10/100 (16 portas PoE+ extendido 250m) + 2 combo 1000. PoE 230W máx
</t>
  </si>
  <si>
    <t xml:space="preserve">Fornecimento e montagem de Equipamentos, incluindo todos os acessorios, com caracteristicas em conformidade com o definido no Caderno de Encargos e nas peças desenhadas, sendo:
</t>
  </si>
  <si>
    <t xml:space="preserve">Gravador NVR com 4 canais IP, disco de 6 TB e Switch PoE integrado
</t>
  </si>
  <si>
    <t xml:space="preserve">Camara fixa minidome IP PoE com 2 megapixeis de resolução, objetiva 2,8mm, leds IR com alcance de 30 metros, caixa com proteção IP66 e IK10
</t>
  </si>
  <si>
    <t xml:space="preserve">Fornecimento e montagem de unidades exteriores de climatização de expansão directa do tipo "VRV", incluindo todos os acessórios necessáriso à sua correcta instalação e funcionamento, segundo especificações técnicas presentes em caderno de encargos e peças desenhadas
</t>
  </si>
  <si>
    <t xml:space="preserve">Fornecimento e montagem de ventiladores, incluindo todos os acessórios necessáriso à sua correcta instalação e funcionamento, segundo especificações técnicas presentes em caderno de encargos e peças desenhadas
</t>
  </si>
  <si>
    <t xml:space="preserve">Fornecimento e montagen de condutas, incluindo todos os acessórios necessáriso à sua correcta instalação e funcionamento, segundo especificações técnicas presentes em caderno de encargos e peças desenhadas 
</t>
  </si>
  <si>
    <t xml:space="preserve">Condutas rectangulares isoladas
</t>
  </si>
  <si>
    <t xml:space="preserve">Condutas rectangulares revestidas a TRIADOSSOLAN
</t>
  </si>
  <si>
    <t xml:space="preserve">Realização de ensaios finais das instalações de AVAC, segundo especificações técnicas presentes em caderno de encargos e peças desenhadas
</t>
  </si>
  <si>
    <t>Auto de Medição</t>
  </si>
  <si>
    <t>TTN</t>
  </si>
  <si>
    <t>Aproveit e aplicação das travessas (VE 05 e 06)</t>
  </si>
  <si>
    <t>Chapa Quinada Escadas Metálicas</t>
  </si>
  <si>
    <t>Tubagem Multicamada Água Quente Embutida</t>
  </si>
  <si>
    <t>Tubagem Multicamada Água Fria Suspensa</t>
  </si>
  <si>
    <t>Tubagem Multicamada Água Quente Suspensa</t>
  </si>
  <si>
    <t xml:space="preserve">Fornecimento e assentamento de tubagem de multicama do tipo de pontas lisas, para uma classe de aplicação de 2 e para uma pressão de serviço 10 [bar], manga de isolamento térmico flexível de espuma elastomérica e estrutura celular fechada com espessura de nominal de 20 [mm] e respectivos acessórios, destinada à rede de distribuição de retorno de água quente. Incluindo carotagem de elementos estruturais, abertura e tapamento de roço e furos em paredes, tectos e pavimentos, suportes de fixação por braçadeiras aos tectos e paredes, juntas de dilatação ou compensadores e execução das ligações por acessórios de compressão e ramais pressurizados, de acordo com as peças desenhadas e condições técnicas, com o(s) diâmetro(s):
</t>
  </si>
  <si>
    <t xml:space="preserve">Fornecimento e assentamento de tubagem aço galvanizado, série média,  e respetivos acessórios, destinada ao sistema do combate a incêndios com água. Incluindo elementos de fixação [abraçadeiras] e pintura a tinta adequada e execução das ligações por acessórios roscados, de acordo com os desenhos de pormenor e condições técnicas, com o(s) diâmetro(s):
</t>
  </si>
  <si>
    <t>Acessórios</t>
  </si>
  <si>
    <t xml:space="preserve">Fornecimento e montagem de válvula de retenção em bronze com pressão nominal PN 10,0[bar], a aplicar na rede de água fria e retorno, incluindo todos os pertences e trabalhos necessários, aplicados de acordo com os desenhos de pormenor e as condições técnicas, com o(s) diâmetro(s):
</t>
  </si>
  <si>
    <t xml:space="preserve">Bocas de Limpeza
Fornecimento e assentamento de bocas de limpeza, PVC-U de parede compacta, com método de união por boca com anel elastomérico (O-ring labial em TPE), série B, SN4, EN1329-1, a aplicar na rede suspensa. Incluindo todos os acessórios e trabalhos necessários, de acordo com as peças desenhadas e condições técnicas, com o(s) diâmetro(s):
</t>
  </si>
  <si>
    <t>Alimentação de Energia</t>
  </si>
  <si>
    <t xml:space="preserve">Q.P.P2/3/4/5/6
</t>
  </si>
  <si>
    <t>Serviços a Diluir na Empreitada</t>
  </si>
  <si>
    <t>Rede de Terras</t>
  </si>
  <si>
    <t>Pára-Raios</t>
  </si>
  <si>
    <t>Iluminação de Segurança</t>
  </si>
  <si>
    <t>Iluminação Normal</t>
  </si>
  <si>
    <t>Tomadas e Alimentações a Equipamentos</t>
  </si>
  <si>
    <t>Quadros Eléctricos</t>
  </si>
  <si>
    <t>Vídeo Porteiro</t>
  </si>
  <si>
    <t>Ensaios</t>
  </si>
  <si>
    <t>Sistema Automático de Detecção de Incêndio</t>
  </si>
  <si>
    <t>Controlo de Acessos</t>
  </si>
  <si>
    <t>Sistema de Circuíto Fechado (CCTV)</t>
  </si>
  <si>
    <t>Sistema de Emergência WC</t>
  </si>
  <si>
    <t>Fontes Térmicas</t>
  </si>
  <si>
    <t>Outros</t>
  </si>
  <si>
    <t>Equipamento Antivibrático</t>
  </si>
  <si>
    <t>Quadros Eléctricos e Comando e Controlo</t>
  </si>
  <si>
    <t>Redes Hidráulicas</t>
  </si>
  <si>
    <t>Redes Frigorígenas</t>
  </si>
  <si>
    <t>Distribuição de Ar</t>
  </si>
  <si>
    <t>Saldo</t>
  </si>
  <si>
    <t>AM 15</t>
  </si>
  <si>
    <t>AM 16</t>
  </si>
  <si>
    <t>AM 17</t>
  </si>
  <si>
    <t>AM 18</t>
  </si>
  <si>
    <t>AM 19</t>
  </si>
  <si>
    <t>AM 20</t>
  </si>
  <si>
    <t>AM 21</t>
  </si>
  <si>
    <t>AM 22</t>
  </si>
  <si>
    <t>AM 23</t>
  </si>
  <si>
    <t>AM 24</t>
  </si>
  <si>
    <t>Id</t>
  </si>
  <si>
    <t xml:space="preserve">Colectores Enterrados
Fornecimento e assentamento de tubagem de PVC-U de parede compacta, com método de união por boca com anel elastomérico (O-ring labial em TPE), série UD, SN4/PN6, EN1401-1, destinada à rede de coletores enterrados, e execução das ligações com o mesmo método de união, com anel de estanquidade. Incluindo todos os trabalhos e acessórios necessários ao seu perfeito funcionamento, de acordo com peças desenhadas e das condições técnicas, com os diâmetros:
</t>
  </si>
  <si>
    <t xml:space="preserve">DN 125
</t>
  </si>
  <si>
    <t>TTCm</t>
  </si>
  <si>
    <t>Total Trabalhos Complementares e a Menos</t>
  </si>
  <si>
    <t xml:space="preserve">Demolição e Remoção de Tectos Falsos existentes
</t>
  </si>
  <si>
    <t>Demolição de Tetos</t>
  </si>
  <si>
    <t>002.0</t>
  </si>
  <si>
    <t>Chapa Empenas</t>
  </si>
  <si>
    <t>003.0</t>
  </si>
  <si>
    <t>Substituição da Cobertura</t>
  </si>
  <si>
    <t>004.0</t>
  </si>
  <si>
    <t>Tratamento das Madeiras</t>
  </si>
  <si>
    <t>006.0</t>
  </si>
  <si>
    <t>Gesso Cartonado WCs</t>
  </si>
  <si>
    <t>011.0</t>
  </si>
  <si>
    <t>Alteração Gesso Cartonado</t>
  </si>
  <si>
    <t>012.0</t>
  </si>
  <si>
    <t>Padieiras e Reforço Parede</t>
  </si>
  <si>
    <t>AVAC</t>
  </si>
  <si>
    <t xml:space="preserve">Revisão de Caleiras
Fornecimento e montagem de caleiras em chapa de zinco nº12, da melhor qualidade, incluindo fixação, dobras, remates, juntas de dilatação, pintura e demais trabalhos necessários
</t>
  </si>
  <si>
    <t xml:space="preserve">Fornecimento e colocação de cobertura em chapas isotérmicas lacadas tipo painel "sandwich" de 30mm de espessura, com poliuretano no interior, assente sobre estrutura de madeira, incluindo fixação de ripas em PVC para receber as telhas, tamponamentos, cortes, quinagens, desperdícios, sobreposições e inclinações, e todos os respetivos trabalhos e acessórios necessários à sua perfeita execução de acordo com as especificações e pormenores do fabricante.
</t>
  </si>
  <si>
    <t xml:space="preserve">Fornecimento e instalação de Telha Marselha MG Plus
</t>
  </si>
  <si>
    <t xml:space="preserve">Fornecimento e montagem de caleiras em chapa de zinco nº12
</t>
  </si>
  <si>
    <t xml:space="preserve">Fornecimento e montagem de Rufos em chapa de zinco nº12
</t>
  </si>
  <si>
    <t xml:space="preserve">Fornecimento e montagem de Rufos para claraboia em chapa de zinco nº12
</t>
  </si>
  <si>
    <t xml:space="preserve">Limpeza das madeiras e Aplicação de biocida gel em todas as estruturas Piso 2, 3, 4, 5 e cobertura
</t>
  </si>
  <si>
    <t>009.1</t>
  </si>
  <si>
    <t>001.1</t>
  </si>
  <si>
    <t>013.1</t>
  </si>
  <si>
    <t>Forras em Gesso Cartonado</t>
  </si>
  <si>
    <t>008.3</t>
  </si>
  <si>
    <t>Isolamento Acústico Pavimentos</t>
  </si>
  <si>
    <t>Piso - 2</t>
  </si>
  <si>
    <t>Piso 2</t>
  </si>
  <si>
    <t>Piso 3</t>
  </si>
  <si>
    <t>Piso 4</t>
  </si>
  <si>
    <t>Piso 5</t>
  </si>
  <si>
    <t xml:space="preserve">Fornecimento e montagem lã de rocha de 100kg/m3 
</t>
  </si>
  <si>
    <t xml:space="preserve">Trabalhos a mais  de alterações consoante indicações em obra, relativamente aos
 elementos em gesso cartonado
</t>
  </si>
  <si>
    <t xml:space="preserve">Fornecimento e execução de agrafos nas Fissuras em paredes existentes (P2) 
</t>
  </si>
  <si>
    <t>Fornecimento e montagem de unidades interiores de Climatização de expansão directa do tipo VRV.</t>
  </si>
  <si>
    <t>Fornecimento e montagem de tubagem, incluindo todos os acessórios necessáriso à sua correcta instalação e funcionamento</t>
  </si>
  <si>
    <t>Ø 28,6mm</t>
  </si>
  <si>
    <t xml:space="preserve">Pleno Rectangular Isolado com registos de reguração de caudal e flexivel ligação
</t>
  </si>
  <si>
    <t xml:space="preserve">KHRQ22M20T
</t>
  </si>
  <si>
    <t>Fornecimento e montagem de unidades interiores de Climatização de expansão directa do tipo VRV murais, incluindo comando</t>
  </si>
  <si>
    <t>VRC.01 FXOQ 32 (PISO 6 TRÁS E FRENTE )</t>
  </si>
  <si>
    <t>VRVC.02 FXDQ 40 (PISO 3/4/5 Trás)</t>
  </si>
  <si>
    <t>VRVC.03 FXDQ 50 (PISO 2 TRÁS)</t>
  </si>
  <si>
    <t>Condutas rectangulares isoladas</t>
  </si>
  <si>
    <t>Distribuição de Ar / Grelhas Lineares</t>
  </si>
  <si>
    <t xml:space="preserve">VRVC.04 FXDQ 63 (PISO 2/3/4/5 FRENTE)
</t>
  </si>
  <si>
    <t>Fornecimento e montagem de tubagem, incluindo todos os acessórios necessários</t>
  </si>
  <si>
    <t>AM 01  |  JUN 25</t>
  </si>
  <si>
    <t>AM 02  |  JUL 25</t>
  </si>
  <si>
    <t>AM 03  |  AGO 25</t>
  </si>
  <si>
    <t>AM 04  |  SET 25</t>
  </si>
  <si>
    <t>AM 05  |  OUT 25</t>
  </si>
  <si>
    <t>AM 06  |  NOV 25</t>
  </si>
  <si>
    <t>AM 07  |  DEZ 25</t>
  </si>
  <si>
    <t>Fornecimento e aplicação de pintura de chapa metálica nas empenas existentes, com tinta tipo GALVACIN-CIN, nas demãos necessárias, incluindo preparação das superfícies, demão de primário da mesma marca e demais trabalhos necessários, de acordo com os pormenores.</t>
  </si>
  <si>
    <t>Fornecimento e instalação de Chapas Perfilada FA-C76 RAL3000 nas empenas existentes. Considerado neste valor a retirada das chapas existestentes, vazadouro de material e instalação de andaime.</t>
  </si>
  <si>
    <t>Revisão da Cobertura da Mansarda Cobertura não acessível inclinada, realizada com telha cerâmica tipo "Marselha". Limpeza, fornecimento e aplicação de elementos danificados a substituir incluindo telas elastómeras, a definir.</t>
  </si>
  <si>
    <t>Revisão da Cobertura de Remate Cobertura não acessível inclinada, realizada com telha cerâmica tipo "Lusa" assente sobre subtelha tipo "Onduline", Limpeza, fornecimento e aplicação de elementos danificados a substituir incluindo telas elastómeras, a definir</t>
  </si>
  <si>
    <t>Revisão de Rufos
Fornecimento e montagem de rufo em chapa de zinco nº12, da melhor qualidade, incluindo fixação, dobras, remates, juntas de dilatação, pintura e demais trabalhos necessários</t>
  </si>
  <si>
    <t>Limpeza das madeiras e Aplicação de biocida gel em todas as estruturas Piso 1 (loja)</t>
  </si>
  <si>
    <t>Fornecimento e execução de alvenarias, do tipo parede seca em gesso cartonado, com dupla placa num só lado e montantes 70 do tipo C.</t>
  </si>
  <si>
    <t xml:space="preserve">Maior valia de fornecimento e montagem de paredes em placas de gesso cartonado, hidrófugo, tipo "Pladur", em vez de placa de gesso cartonado normal, nas quantidades previstas. 
</t>
  </si>
  <si>
    <t>Fornecimento e execução de padieiras com estrutura e betão armado (Manteigaria, P2/3)</t>
  </si>
  <si>
    <t>Ø 32mm</t>
  </si>
  <si>
    <t>007.0</t>
  </si>
  <si>
    <t>Estrutura Metálica das Escadas</t>
  </si>
  <si>
    <t>kg</t>
  </si>
  <si>
    <t>m2</t>
  </si>
  <si>
    <t>IPE120</t>
  </si>
  <si>
    <t>IPE180</t>
  </si>
  <si>
    <t>IPE200</t>
  </si>
  <si>
    <t>IPE220</t>
  </si>
  <si>
    <t>UNP160</t>
  </si>
  <si>
    <t>LNP50x4</t>
  </si>
  <si>
    <t>LNP70x6</t>
  </si>
  <si>
    <t>SHS80x5</t>
  </si>
  <si>
    <t>SHS120x5</t>
  </si>
  <si>
    <t>Piso -1 a Piso 0</t>
  </si>
  <si>
    <t>Piso 0 - Piso 1</t>
  </si>
  <si>
    <t>vg</t>
  </si>
  <si>
    <t xml:space="preserve">SHS120x5
</t>
  </si>
  <si>
    <t>Sapatas Isoladas
Execução de SAPATAS ISOLADAS em betão armado normal “cinzento”, incluindo fornecimento, colocação, compactação e cura de betão C25/30, XC2, Cl 0.40, S3, Dinf/sup 2/20 mm com incorporação de hidrófugo incluindo transporte, montagem, desmontagem, óleo descofrante e limpeza de cofragem para betão oculto e escoramento, fornecimento, colocação, carga e descarga, desperdícios e empalmes e elementos de montagem de armaduras certificadas em aço A500NR, betonado sobre lajeado de pedras devidamente limpo e sobre película de pvc e todos os trabalhos, materiais e execução de acordo com o projeto.</t>
  </si>
  <si>
    <t>Escadas Metálicas
Fornecimento e colocação de perfis classe S275JR incluindo, tratamento da superfície de acordo com o esquema de pintura anticorrosiva da classe C2 mais intumescente de acordo com projeto de segurança contra risco de incêndio, ligação entre perfis, colocação em obra, ligações aparafusada, soldadas, chumbadouros, chapas de ligação e todos os restantes trabalhos necessários, de acordo com as peças desenhadas e o caderno de encargos.</t>
  </si>
  <si>
    <t>Chapa Quinada Escadas Metálicas
Fornecimento, quinagem e assentamento de chapa da classe S235JR com 5mm folha de oliveira galvanizada para criação de patamares e degraus de escadas metálicas exteriores, incluindo soldadura à estrutura principal, e pintura e todos os restantes trabalhos necessários, de acordo com as peças desenhadas e o caderno de encargos.</t>
  </si>
  <si>
    <t>Reforço Piso 0
Fornecimento e colocação de perfis classe S275JR incluindo, tratamento da superfície de acordo com o esquema de pintura anticorrosiva da classe C2 mais intumescente de acordo com projeto de segurança contra risco de incêndio, ligação entre perfis, colocação em obra, ligações aparafusada, soldadas, chumbadouros, chapas de ligação e todos os restantes trabalhos necessários, de acordo com as peças desenhadas e o caderno de encargos.</t>
  </si>
  <si>
    <t>014.0</t>
  </si>
  <si>
    <t>Rosáceas</t>
  </si>
  <si>
    <t xml:space="preserve">Fornecimento e instalação da Roseta Orac Decor R64 (Ø952x48mm - Ø70mm) 
</t>
  </si>
  <si>
    <t>un</t>
  </si>
  <si>
    <t>AM 08  |  JAN 26</t>
  </si>
  <si>
    <t>AM 09  |   FEV 26</t>
  </si>
  <si>
    <t>AM 10  |  MAR 26</t>
  </si>
  <si>
    <t>Acumulado</t>
  </si>
  <si>
    <t>AM 11  |  ABR 26</t>
  </si>
  <si>
    <t>010.0</t>
  </si>
  <si>
    <t xml:space="preserve">Remoção de forro em madeira no último piso que acompanha as águas do telhado e retirada a vazadouro do produto sobrante.
Fornecimento e aplicação de novo forro em mdf hidrófugo de 12mm,
incluindo lacagem no local e todos os trabalhos necessários a um bom acabamento.
</t>
  </si>
  <si>
    <t>Mdf Cobertura</t>
  </si>
  <si>
    <t>AM 12  |  MAI 26</t>
  </si>
  <si>
    <t>Notas</t>
  </si>
  <si>
    <t>Para equivaler com o T-</t>
  </si>
  <si>
    <t>023.0</t>
  </si>
  <si>
    <t>Licenças CMP</t>
  </si>
  <si>
    <t>Tapume: Fatura_31129.2026.65</t>
  </si>
  <si>
    <t>Andaime: Fatura_31129.2026.67</t>
  </si>
  <si>
    <t>Falta o tratamento da estrutura de madeira e lacagem do mdf e estrutura</t>
  </si>
  <si>
    <t>AM 13  |  JUN 26</t>
  </si>
  <si>
    <t xml:space="preserve">Montagem, manutenção e desmontagem de estaleiro para execução de empreitada, incluindo nomeadamente a montagem e desmontagem de máquinas e andaimes, redes provisórias de águas, saneamento e electricidade, instalações provisórias do pessoal e fiscalização, vedação do recinto de obra, colocação de placa identificativa, obtenção de licenças e autorizações e demais trabalhos preparatórios, de acordo com as C.T.E.
</t>
  </si>
  <si>
    <t>Fornecimento e execução de alvenarias, do tipo parede seca em gesso cartonado, com dupla placa com tela betuminosa 4mm em ambos os lados, duplos montantes de 70</t>
  </si>
  <si>
    <t>Fornecimento e execução de alvenarias, do tipo parede seca em gesso cartonado, com dupla placa com tela betuminosa 4mm em ambos os lados, duplos montantes de 48</t>
  </si>
  <si>
    <t>Fornecimento e execução de alvenarias, do tipo parede seca em gesso cartonado, com dupla placa com tela betuminosa 4mm mais uma placa num só lado e montantes 70 do</t>
  </si>
  <si>
    <t>Fornecimento e execução de alvenarias, do tipo parede seca em gesso cartonado 125mm, com duas placas com tela betuminosa 4mm num só lado e montantes 48 do tipo C</t>
  </si>
  <si>
    <t>Vi.03 1 folha de abrir, abertura para a esquerda Dimensões: 0,75 x 2,00 m</t>
  </si>
  <si>
    <t>Pv01/Pv01.1 Dimensão de 6015x2420</t>
  </si>
  <si>
    <t>Fornecimento e montagem de sancas e sanefas em placas simples de gesso cartonado, hidrófugo, tipo "Pladur", fixado em montantes horizontais autoportantes 600mm, incluindo</t>
  </si>
  <si>
    <t>Fornecimento e execução de alvenarias, do tipo parede seca em gesso cartonado, com dupla placa com tela betuminosa 4mm em ambos os lados, duplos montantes de 48 divididos por caixa de ar de 10mm uma placa de gesso cartonado.</t>
  </si>
  <si>
    <t>Fornecimento e execução de alvenarias, do tipo parede seca em gesso cartonado, com dupla placa com tela betuminosa 4mm em ambos os lados e montantes de 70 do tipo C.</t>
  </si>
  <si>
    <t xml:space="preserve">Fornecimento e montagem de tectos em placas de gesso cartonado, hidrófugo, tipo "Pladur", fixado com calha perfurada e varão roscado, incluindo sancas para colocação
</t>
  </si>
  <si>
    <t xml:space="preserve">Fornecimento e montagem de lã de rocha de 70 kg/m3.
</t>
  </si>
  <si>
    <t xml:space="preserve">Fornecimento e aplicação de rodatecto em polistireno extrudido do tIpo Orac Decor modeloCX199 (200X8X8) , incluindo , cortes, remates, colmatação de juntas, barramento
</t>
  </si>
  <si>
    <t xml:space="preserve">Fornecimento e montagem de tectos em placas de gesso cartonado tipo "Pladur", standard, fixado com calha perfurada e varão roscado, incluindo alheta de remate em todo
</t>
  </si>
  <si>
    <t xml:space="preserve">Fornecimento e execução de alvenarias, do tipo parede seca em gesso cartonado, com dupla placa em ambos os lados e montantes de 70 do tipo C.
</t>
  </si>
  <si>
    <t xml:space="preserve">Fornecimento e execução de alvenarias, do tipo parede seca em gesso cartonado, com dupla placa com tela betuminosa 4mm mais uma placa num só lado e montantes 70 do tipo C.
</t>
  </si>
  <si>
    <t xml:space="preserve">Fornecimento e execução de alvenarias, do tipo parede seca em gesso cartonado 125mm, com duas placas num só lado e montantes 48 do tipo C.
</t>
  </si>
  <si>
    <t xml:space="preserve">Barramento de tetos interiores existentes (salas e hall de piso) com massas de regularização à base de gesso, incluindo todos os remates e preparação para pintura, de acordo com
</t>
  </si>
  <si>
    <t xml:space="preserve">Vi.04 1 folha de abrir, abertura para esquerda dimenssões: 0,85 x 2,49
</t>
  </si>
  <si>
    <t xml:space="preserve">Pv04 Dimensão de 765x2200
</t>
  </si>
  <si>
    <t xml:space="preserve">Fornecimento e montagem de tectos em placas de gesso cartonado, hidrófugo, tipo "Pladur", fixado sobre montantes horizontais autoportantes 600mm, incluindo,
</t>
  </si>
  <si>
    <t xml:space="preserve">Fornecimento e montagem de tectos em placas de gesso cartonado, hidrófugo, tipo "Pladur", fixado com calha perfurada e varão roscado, incluindo sancas para colocação de calhas,
</t>
  </si>
  <si>
    <t xml:space="preserve">Fornecimento e montagem de tectos em placas de gesso cartonado tipo "Pladur", standard, fixado com calha perfurada e varão roscado, incluindo alheta de remate em todo o perimetro de contacto com os paramentos verticais,
</t>
  </si>
  <si>
    <t xml:space="preserve">Barramento de paredes interiores existentes com massa de regularização à base de gesso, incluindo todos os remates e preparação para pintura, de acordo com os pormenores. Para posterior pintura com tinta VINYLMATT.
</t>
  </si>
  <si>
    <t xml:space="preserve">Fornecimento e execução de alvenarias, do tipo parede seca em gesso cartonado, com dupla placa com tela betuminosa 4mm em ambos os lados, duplos montantes de 70 divididos por caixa de ar
</t>
  </si>
  <si>
    <t xml:space="preserve">Fornecimento e execução de alvenarias, do tipo parede seca em gesso cartonado 125mm, com duas placas com tela betuminosa 4mm num só lado e montantes 48 do tipo C.
</t>
  </si>
  <si>
    <t xml:space="preserve">Fornecimento e execução de alvenarias, do tipo parede seca em gesso cartonado, com dupla placa em ambos os lados e montantes de 70 do tipo C
</t>
  </si>
  <si>
    <t xml:space="preserve">Fornecimento e execução de alvenarias, do tipo parede seca em gesso cartonado, com dupla placa sobre parede existente, caixa de ar 10mm, montante de 90 e dupla placa de um lado
</t>
  </si>
  <si>
    <t>m²</t>
  </si>
  <si>
    <t>m</t>
  </si>
  <si>
    <t>Carpintaria</t>
  </si>
  <si>
    <t>016.1</t>
  </si>
  <si>
    <t>C3 Móvel stand-alone com 3 módulos de 60, pés metálicos Dimensão: 180 x 220 x 60m</t>
  </si>
  <si>
    <t xml:space="preserve">A01 Dimensão: 1,70 x 2,50 x 0,30 m
</t>
  </si>
  <si>
    <t xml:space="preserve">A03 Dimensão: 3,73 x 1,32 x 0,15m, para hall de piso
</t>
  </si>
  <si>
    <t xml:space="preserve">A02 Dimensão: 1,280 x 2,50 x 0,53m, para entrada
</t>
  </si>
  <si>
    <t xml:space="preserve">A04 Dimensão: 0,86 x 1,30 x 0,53m
</t>
  </si>
  <si>
    <t xml:space="preserve">A05 Dimensão: 1,20 x 2,50 x 0,60m
</t>
  </si>
  <si>
    <t xml:space="preserve">A06 Dimensão: 1,65 x 2,40 x 0,60m
</t>
  </si>
  <si>
    <t xml:space="preserve">A08 Dimensão: 0,95 x 1,97 x 0,60m
</t>
  </si>
  <si>
    <t xml:space="preserve">A07 Dimensão: 2,53 x 2,88 x 0,60m
</t>
  </si>
  <si>
    <t xml:space="preserve">A06.1 Dimensão: 1,67 x 1,995 x 0,60m
</t>
  </si>
  <si>
    <t xml:space="preserve">A09 Dimensão: 0,88 x 1,60 x 0,62m
</t>
  </si>
  <si>
    <t xml:space="preserve">A10 Dimensão: 0,88 x 1,10 x 0,62m
</t>
  </si>
  <si>
    <t xml:space="preserve">A11 Dimensão: 0,76 x 1,54 x 0,62m
</t>
  </si>
  <si>
    <t xml:space="preserve">C1 Dimensão: 1,80 x 0,50 x 0,34m
</t>
  </si>
  <si>
    <t xml:space="preserve">C1,1 Dimensão: 2,30 x 0,50 x 0,34m
</t>
  </si>
  <si>
    <t xml:space="preserve">C1.2 Dimensão: 1,60 x 0,50 x 0,34m
</t>
  </si>
  <si>
    <t xml:space="preserve">C2 Dimensão: 1,60 x 0,50 x 0,50m
</t>
  </si>
  <si>
    <t xml:space="preserve">C4 Móvel de encastrar com 3 módulos, 1 de 50, pés metálicos Dimensão: 170 x 210 x 60m
</t>
  </si>
  <si>
    <t xml:space="preserve">C5 Móvel de encastrar, superior e inferior, com 3 módulos de 50, com rodapé Dimensão: 150 x 220 x 60m
</t>
  </si>
  <si>
    <t xml:space="preserve">Vi 07 Porta com bandeira fixa, 8 almofadas 876x2490 mm
</t>
  </si>
  <si>
    <t xml:space="preserve">Vi 08 4 almofadas 876x1393 mm
</t>
  </si>
  <si>
    <t xml:space="preserve">Vi 09 4 almofadas 745x1715 mm
</t>
  </si>
  <si>
    <t xml:space="preserve">A08 Dimensão: 0,88 x 1,60 x 0,62m
</t>
  </si>
  <si>
    <t xml:space="preserve">A10 Dimensão: 0,76 x 1,54 x 0,62m
</t>
  </si>
  <si>
    <t xml:space="preserve">A09 Dimensão: 0,88 x 1,10 x 0,62m
</t>
  </si>
  <si>
    <t xml:space="preserve">C1 Móvel conforme projeto, pés metálicos Dimensão: 229 x 220 x 60m
</t>
  </si>
  <si>
    <t xml:space="preserve">C2 Móvel conforme projeto , pés metálicos Dimensão: 160 x 225 x 60m
</t>
  </si>
  <si>
    <t xml:space="preserve">C3 Móvel de encastrar, superior e inferior, com rodapé Dimensão: 180 x Variavel confirmar em obra x 60m
</t>
  </si>
  <si>
    <t xml:space="preserve">C4 Móvel de encastrar, superior e inferior, com rodapé Dimensão: 200 x Variavel confirmar em obra x 60m
</t>
  </si>
  <si>
    <t>Layout dos Quartos</t>
  </si>
  <si>
    <t>015.1</t>
  </si>
  <si>
    <t>017.0</t>
  </si>
  <si>
    <t>Porta Entrada dos Quartos</t>
  </si>
  <si>
    <t>Vi.02 1 folha de batente, abertura para direita Dimensões: 0,90 x 2,00 m</t>
  </si>
  <si>
    <t>Vi.02, 1 folha de batente, abertura para esquerda dim (0,90x2,03)m</t>
  </si>
  <si>
    <t>Porta Madeira trisa H, H1C.45, 1 Folha, Cru, L&lt;900 x H&lt;2100mm</t>
  </si>
  <si>
    <t>Fornecimento e montagem de armario para extintor ral 9010</t>
  </si>
  <si>
    <t>Alteração com aumento na parede de entrada até a escada</t>
  </si>
  <si>
    <t>Alteração no teto da entrada com arcos seguindo o projeto enviado pela arquitetura</t>
  </si>
  <si>
    <t>alteração com aumento das portas para a altura soiicitada pelo DO em obra</t>
  </si>
  <si>
    <t>Alteração com aumento das paredes de entrada dos quartos</t>
  </si>
  <si>
    <t>Torneiras</t>
  </si>
  <si>
    <t>DAQS</t>
  </si>
  <si>
    <t>Tubagem em cobre isolada e resvestida a chapa de aluminio 35 mm</t>
  </si>
  <si>
    <t>cj</t>
  </si>
  <si>
    <t>Fornecimento e ontagem de circuito eletrico, cabos de alimentação e controlo</t>
  </si>
  <si>
    <t>Fornecimento e aplicação de Revestimento de pavimentos com mosaico de mármore branco do tipo Ibiza, 60x30 com 120mm, assente com argamassa tipo "CLEINTEX F - TEXSA", incluindo cortes, remates necessários, tratamento de juntas e limpeza de acordo com os pormenores a aplicar nas zonas húmidas e duches.</t>
  </si>
  <si>
    <t>Lambrim c/ 1,20m de altura, incluindo topo no comprimento</t>
  </si>
  <si>
    <t>Base de duche lisa, amaciada, c/ 1,68*1,32m</t>
  </si>
  <si>
    <t>0,82*0,16m, incluindo 2 topos no comprimento</t>
  </si>
  <si>
    <t>0,82*0,16m, incluindo 2 topos no comprimento e 1 alheta</t>
  </si>
  <si>
    <t>1,94*0,16m, incluindo 2 topos no comprimento</t>
  </si>
  <si>
    <t>2,04*0,16m, incluindo 2 topos no comprimento</t>
  </si>
  <si>
    <t>Prateleira c/ 2,20*0,35m, incluindo topo frontal acabado</t>
  </si>
  <si>
    <t>Base de duche lisa, amaciada, c/ 2,27*1,38m</t>
  </si>
  <si>
    <t>Prateleira c/ 2,00*0,35m, incluindo topo frontal acabado</t>
  </si>
  <si>
    <t>Prateleira c/ 1,80*0,35m, incluindo topo frontal acabado</t>
  </si>
  <si>
    <t>Base de duche lisa, amaciada, c/ 2,30*1,08m</t>
  </si>
  <si>
    <t>Soleira c/ 2,30*0,14m, vista frontal de 8cm colada à 1/2 esquadria</t>
  </si>
  <si>
    <t>Prateleira c/ 2,30*0,35m, incluindo topo frontal acabado</t>
  </si>
  <si>
    <t>Base de duche lisa, amaciada, c/ 1,50*0,92m</t>
  </si>
  <si>
    <t>Soleira c/ 1,50*0,14m, vista frontal de 8cm colada à 1/2 esquadria</t>
  </si>
  <si>
    <t>Bancada c/ 1,80*0,50m, vista frontal de 27cm colada à 1/2</t>
  </si>
  <si>
    <t>Mão de obra de aplicação sem consumíveis</t>
  </si>
  <si>
    <t>Mão de obra de aplicação lavatórios incluindo esquadros</t>
  </si>
  <si>
    <t>Consumiveis</t>
  </si>
  <si>
    <t>Caixa Carretel e Caixa Extintor</t>
  </si>
  <si>
    <t>Gesso Cartonado Corta Fogo</t>
  </si>
  <si>
    <t>Alterações Gesso Cartonado</t>
  </si>
  <si>
    <t>Reservatório AQS</t>
  </si>
  <si>
    <t>Gesso Cartonado 6mm</t>
  </si>
  <si>
    <t>Pintura do Vizinho da Frente</t>
  </si>
  <si>
    <t xml:space="preserve">exterior conforme Projeto de Arquitetura e Segurança Contra Risco de Incêndio e restantes acessórios e trabalhos
</t>
  </si>
  <si>
    <t xml:space="preserve">Fornecimento e montagem de bocas de incêndio armada tipo carretel com diâmetro DN 33 mm, incluindo válvula de seccionamento selada, armário metálico opaco a colocar no
</t>
  </si>
  <si>
    <t xml:space="preserve">Fornecimento e montagem de placa fire
</t>
  </si>
  <si>
    <t xml:space="preserve">Torneira de lavatório BRUMA Genesi 191 880 1NS
</t>
  </si>
  <si>
    <t xml:space="preserve">Coluna de Duche BRUMA 138 482 1NS
</t>
  </si>
  <si>
    <t xml:space="preserve">Acessorios para rede hidraulica, incluindo abraçadeiras, anilha, valvula, deposito de expansão e incluindo todos os acessorios necessarios a sua correcta instalção e funcionamento, segundo especificações tecnicas.
</t>
  </si>
  <si>
    <t xml:space="preserve">Revestimento de paredes com material cerâmico na zona dos duches a definir, com 6mm, assente com cimento cola, conforme estereotomia, incluindo perfis de remate, cortes, remates, tratamento de juntas com argamassa epoxy e limpeza, de acordo com os pormenores.
</t>
  </si>
  <si>
    <t xml:space="preserve">Fornecimento e colocação de tampos e frentes de móvel de lavatório de pousar em compacto de mármore, a definir, incluindo furações, fixações, vedações e remates de acordo com os pormenores.
</t>
  </si>
  <si>
    <t xml:space="preserve">1800 x 120 x 30
</t>
  </si>
  <si>
    <t xml:space="preserve">1600 x 120 x 30
</t>
  </si>
  <si>
    <t xml:space="preserve">940 x 135 x 20
</t>
  </si>
  <si>
    <t xml:space="preserve">2380 x 135 x 20
</t>
  </si>
  <si>
    <t xml:space="preserve">2500 x 135 x 20
</t>
  </si>
  <si>
    <t xml:space="preserve">2500 x 150 x 20
</t>
  </si>
  <si>
    <t xml:space="preserve">C2 Dimensão: 1,60 x 0,50 x 0,34m
</t>
  </si>
  <si>
    <t xml:space="preserve">Pavimento
</t>
  </si>
  <si>
    <t xml:space="preserve">Paredes
</t>
  </si>
  <si>
    <t xml:space="preserve">Bancada c/ 2,20*0,50m, vista frontal de 27cm colada à 1/2 esquadria, incluindo 2 furos acabados + rodamão c/(2,20+0,50*2)*0,30m, incluindo topo no comprimento
</t>
  </si>
  <si>
    <t xml:space="preserve">Bancada c/ 2,00*0,50m, vista frontal de 27cm colada à 1/2 esquadria, incluindo 2 furos acabados + rodamão c/(2,20+0,50*2)*0,30m, incluindo topo no comprimento
</t>
  </si>
  <si>
    <t xml:space="preserve">Bancada c/ 1,80*0,50m, vista frontal de 27cm colada à 1/2 esquadria, incluindo 2 furos acabados + rodamão c/(1,80+0,50*2)*0,30m, incluindo topo no comprimento
</t>
  </si>
  <si>
    <t xml:space="preserve">Bancada c/ 2,30*0,50m, vista frontal de 27cm colada à 1/2 esquadria, incluindo 2 furos acabados + rodamão c/(2,30+0,50*2)*0,30m, incluindo topo no comprimento
</t>
  </si>
  <si>
    <t xml:space="preserve">C1 constituída por tampo c/ 2,30*0,60m, incluindo 1 furo acabado para pio, 1 furo de placa, topo frontal acabado + entre-móveis c/ 2,30*0,61m+1,30*0,60m*2unid
</t>
  </si>
  <si>
    <t xml:space="preserve">C2 constituída por tampo c/ 1,60*0,60m, incluindo 1 furo acabado para pio, 1 furo de placa, topo frontal acabado + entre-móveis c/ 1,60*0,61m+1,30*0,60m*2unid
</t>
  </si>
  <si>
    <t xml:space="preserve">C3 constituída por tampo c/ 1,80*0,60m, incluindo 1 furo acabado para pio, 1 furo de placa, topo frontal acabado + entre-móveis c/ 1,80*0,61m+1,30*0,60m*2unid
</t>
  </si>
  <si>
    <t xml:space="preserve">C4 constituída por tampo c/ 2,00*0,60m, incluindo 1 furo acabado para pio, 1 furo de placa, topo frontal acabado + entre-móveis c/ 2,00*0,61m+1,30*0,60m*2unid
</t>
  </si>
  <si>
    <t xml:space="preserve">Fornecimento e aplicação para gesso cartonado 6mm já emassado nas caixas de escadas
</t>
  </si>
  <si>
    <t xml:space="preserve">Forneciemnto e aplicação de pintura na fachada de frente ao nosso edificio com uso de equipamento de alpinismo
</t>
  </si>
  <si>
    <t>018.1</t>
  </si>
  <si>
    <t>019.1</t>
  </si>
  <si>
    <t>020.0</t>
  </si>
  <si>
    <t>021.1</t>
  </si>
  <si>
    <t>022.1</t>
  </si>
  <si>
    <t>025.0</t>
  </si>
  <si>
    <t>029.0</t>
  </si>
  <si>
    <t>031.0</t>
  </si>
  <si>
    <t>AM 17  | AGO 26</t>
  </si>
  <si>
    <t>026.0</t>
  </si>
  <si>
    <t>Alterações de Eletricidade</t>
  </si>
  <si>
    <t>027.1</t>
  </si>
  <si>
    <t>Portas dos WC</t>
  </si>
  <si>
    <t xml:space="preserve">Fornecimento e aplicação de tubos, cabos e relogios no quadro para os focos solicitados para as varandas. </t>
  </si>
  <si>
    <t>Tubo PEAD 20 vermelho</t>
  </si>
  <si>
    <t>Tubo PEAD 25 vermelho</t>
  </si>
  <si>
    <t>Cabo XG 3x1,5mm</t>
  </si>
  <si>
    <t>Cabo XG 3x2,5mm</t>
  </si>
  <si>
    <t>Caixas de Passagem</t>
  </si>
  <si>
    <t>Relógios no quadro</t>
  </si>
  <si>
    <t>Cabo UTP</t>
  </si>
  <si>
    <t>Fornecimento e aplicação dos focos das varandas</t>
  </si>
  <si>
    <t>Extra para placa, maquina de lavar loiça e frigobar</t>
  </si>
  <si>
    <t>Cabo XG 3x4mm</t>
  </si>
  <si>
    <t xml:space="preserve">Caixas de pladur </t>
  </si>
  <si>
    <t xml:space="preserve">Pontos de luz nos tetos </t>
  </si>
  <si>
    <t>Focos das varandas Frente e traseiras</t>
  </si>
  <si>
    <t>Fornecimento e montagem de portas interiores, com espessura total indicada, executadas com estrutura em madeira maciça, com favo no interior, revestida em ambas as faces com mdf de 5mm, incluindo acabamento lacado acetinado com tecnologia "airless", todas as ferragens definidas e descritas nos mapas de vãos, fixações, vedações e remates, de acordo com mapa de vãos e pormenores.</t>
  </si>
  <si>
    <t>Vi.03
1 folha de abrir, abertura para a direita
Dimensões 0,75 x 2,00 m</t>
  </si>
  <si>
    <t>Fornecimento e montagem de portas em ferro incluindo fixações, ligações e remates de acordo com o projeto.</t>
  </si>
  <si>
    <t>Pv03
Dimensão de 875x2000</t>
  </si>
  <si>
    <t>Pv05
Dimensão de 750x2200</t>
  </si>
  <si>
    <t>Pv06
Dimensão de 1500x2485</t>
  </si>
  <si>
    <t>Fornecimento e montagem de portas em alumínio  incluindo fixações, ligações e remates de acordo com o projeto. Pv02/ Pv02.1
Dimensão de 900x2380</t>
  </si>
  <si>
    <t>Fornecimento e colocação de portas de vidro tempoerado canelado translucido 8mm, com cantoneiras de 
aluminio</t>
  </si>
  <si>
    <t>Piso 3 a 5 tras casa de banho: V02 com 2,00x0,75 m 
Puxador Tubular quadrado Horizonatal
Calha U Alu</t>
  </si>
  <si>
    <t>Piso 2 trás casa de banho: com 2,00x0,90m
Puxador Tubular quadrado Horizonatal
Calha U Alu</t>
  </si>
  <si>
    <t>Piso 2 a 5 frente casa de banho: V01 com 2,00x0,75 m 
Puxador Tubular quadrado Horizonatal
Calha U Alu</t>
  </si>
  <si>
    <t>Piso 2 a 5 frente e tras da cabine: 2,13x0,75m  
Puxador Tubular quadrado Horizonatal
Calha U Alu</t>
  </si>
  <si>
    <t>Piso 6 frente: 0,75x2,20m + 2,259x2,0m (2 fixos e 1 móvel)
Puxador Tubular quadrado Horizonatal
Calha U Alu</t>
  </si>
  <si>
    <t>Piso 6 tras: 0,75x2,20m + 1,50x2,0m (1 fixo e 1 móvel)
Puxador Tubular quadrado Horizonatal
Calha U Alu</t>
  </si>
  <si>
    <t>AM 14  |  AGO 26</t>
  </si>
  <si>
    <t>024.1</t>
  </si>
  <si>
    <t>Louça Sanitária</t>
  </si>
  <si>
    <t>Lavatório de bancada redondo diâm 37cm, do tipo  Nice da Valadares</t>
  </si>
  <si>
    <t>Sanita suspensa  do tipo nice valadares</t>
  </si>
  <si>
    <t>Lavatórios encastrar por baixo Scarabeo - B.Brilho</t>
  </si>
  <si>
    <t>Sanita suspensa  Axa Ceramics Delano</t>
  </si>
  <si>
    <t>Tampo San. Susp. AXA CERAMICA Delano</t>
  </si>
  <si>
    <t>LINEAL LEVEL 10x90</t>
  </si>
  <si>
    <t>LINEAL LEVEL 10x120 SP</t>
  </si>
  <si>
    <t>LINEAL LEVEL 10x130 SP</t>
  </si>
  <si>
    <t>LINEAL LEVEL 10x140 SP</t>
  </si>
  <si>
    <t>NOTAS</t>
  </si>
  <si>
    <t xml:space="preserve">A04 Dimensão: 1800 x 2250 x 570m, incluindo maleteiro
</t>
  </si>
  <si>
    <t xml:space="preserve">A05 Dimensão: 1800 x 2250 x 600mm, incluindo maleteiro
</t>
  </si>
  <si>
    <t xml:space="preserve">A05.1 Dimensão: 1200 x 2250 x 600mm, incluindo maleteiro
</t>
  </si>
  <si>
    <t xml:space="preserve">A06 Dimensão: 1800x Variavel x 600mm, incluindo maleteiro
</t>
  </si>
  <si>
    <t xml:space="preserve">A07 Dimensão:1200 x Variavel x 600m, incluindo maleteiro
</t>
  </si>
  <si>
    <t xml:space="preserve">Chuveiro redondo c/ haste e torneiras
</t>
  </si>
  <si>
    <t xml:space="preserve">Torneira de lavatório com misturadora c/ valvula clic clac
</t>
  </si>
  <si>
    <t>Adj Topmarmi</t>
  </si>
  <si>
    <t>Aceitar após ensaios</t>
  </si>
  <si>
    <t>Área da Topmarmi</t>
  </si>
  <si>
    <t>A SM só pagou 50%</t>
  </si>
  <si>
    <t>Trabalho não executado</t>
  </si>
  <si>
    <t>30% com a Adjudic</t>
  </si>
  <si>
    <t>A Vianas confirmou que já recebeu a totalidade da Obra</t>
  </si>
  <si>
    <t>Trabalho mal executado, será demolido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</si>
</sst>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0.00\ &quot;€&quot;;[Red]\-#,##0.00\ &quot;€&quot;"/>
    <numFmt numFmtId="44" formatCode="_-* #,##0.00\ &quot;€&quot;_-;\-* #,##0.00\ &quot;€&quot;_-;_-* &quot;-&quot;??\ &quot;€&quot;_-;_-@_-"/>
    <numFmt numFmtId="164" formatCode="#,##0.00\ &quot;Esc.&quot;;[Red]\-#,##0.00\ &quot;Esc.&quot;"/>
    <numFmt numFmtId="165" formatCode="_-* #,##0.00\ [$€-1]_-;\-* #,##0.00\ [$€-1]_-;_-* &quot;-&quot;??\ [$€-1]_-"/>
    <numFmt numFmtId="166" formatCode="#,##0.00\ &quot;€&quot;"/>
    <numFmt numFmtId="167" formatCode="#,##0.00_ ;[Red]\-#,##0.00\ "/>
  </numFmts>
  <fonts count="23">
    <font>
      <sz val="11"/>
      <color theme="1"/>
      <name val="Calibri"/>
      <family val="2"/>
      <scheme val="minor"/>
    </font>
    <font>
      <sz val="11"/>
      <color indexed="8"/>
      <name val="Calibri"/>
      <family val="2"/>
    </font>
    <font>
      <sz val="10"/>
      <name val="MS Sans Serif"/>
      <family val="2"/>
    </font>
    <font>
      <sz val="8"/>
      <name val="MS Sans Serif"/>
      <family val="2"/>
    </font>
    <font>
      <sz val="9"/>
      <name val="Symbol"/>
      <family val="1"/>
      <charset val="2"/>
    </font>
    <font>
      <sz val="8"/>
      <name val="Times New Roman"/>
      <family val="1"/>
    </font>
    <font>
      <sz val="10"/>
      <name val="Arial"/>
      <family val="2"/>
    </font>
    <font>
      <sz val="11"/>
      <color indexed="8"/>
      <name val="Calibri"/>
      <family val="2"/>
    </font>
    <font>
      <sz val="11"/>
      <color theme="1"/>
      <name val="Calibri"/>
      <family val="2"/>
      <scheme val="minor"/>
    </font>
    <font>
      <b/>
      <sz val="11"/>
      <color rgb="FFFA7D00"/>
      <name val="Calibri"/>
      <family val="2"/>
      <scheme val="minor"/>
    </font>
    <font>
      <sz val="10"/>
      <name val="Verdana"/>
      <family val="2"/>
    </font>
    <font>
      <i/>
      <sz val="10"/>
      <name val="Arial"/>
      <family val="2"/>
    </font>
    <font>
      <sz val="8"/>
      <name val="MS Sans Serif"/>
    </font>
    <font>
      <sz val="10"/>
      <name val="Arial"/>
      <family val="2"/>
    </font>
    <font>
      <sz val="10"/>
      <name val="MS Sans Serif"/>
    </font>
    <font>
      <sz val="10"/>
      <name val="Helv"/>
    </font>
    <font>
      <sz val="10"/>
      <name val="CG Times"/>
      <family val="1"/>
    </font>
    <font>
      <b/>
      <sz val="8"/>
      <color rgb="FFFF0000"/>
      <name val="Calibri"/>
      <family val="2"/>
      <scheme val="minor"/>
    </font>
    <font>
      <sz val="8"/>
      <color rgb="FFFF0000"/>
      <name val="Calibri"/>
      <family val="2"/>
      <scheme val="minor"/>
    </font>
    <font>
      <sz val="8"/>
      <name val="Calibri"/>
      <family val="2"/>
      <scheme val="minor"/>
    </font>
    <font>
      <b/>
      <sz val="8"/>
      <name val="Calibri"/>
      <family val="2"/>
      <scheme val="minor"/>
    </font>
    <font>
      <strike/>
      <sz val="8"/>
      <name val="Calibri"/>
      <family val="2"/>
      <scheme val="minor"/>
    </font>
    <font>
      <sz val="10"/>
      <name val="Calibri"/>
      <family val="2"/>
    </font>
  </fonts>
  <fills count="13">
    <fill>
      <patternFill patternType="none"/>
    </fill>
    <fill>
      <patternFill patternType="gray125"/>
    </fill>
    <fill>
      <patternFill patternType="solid">
        <fgColor theme="0"/>
        <bgColor indexed="64"/>
      </patternFill>
    </fill>
    <fill>
      <patternFill patternType="solid">
        <fgColor rgb="FFF2F2F2"/>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39997558519241921"/>
        <bgColor indexed="64"/>
      </patternFill>
    </fill>
  </fills>
  <borders count="37">
    <border>
      <left/>
      <right/>
      <top/>
      <bottom/>
      <diagonal/>
    </border>
    <border>
      <left style="hair">
        <color indexed="64"/>
      </left>
      <right/>
      <top/>
      <bottom/>
      <diagonal/>
    </border>
    <border>
      <left/>
      <right/>
      <top style="thin">
        <color indexed="64"/>
      </top>
      <bottom/>
      <diagonal/>
    </border>
    <border>
      <left/>
      <right/>
      <top/>
      <bottom style="thin">
        <color indexed="64"/>
      </bottom>
      <diagonal/>
    </border>
    <border>
      <left style="thin">
        <color indexed="64"/>
      </left>
      <right style="hair">
        <color indexed="64"/>
      </right>
      <top/>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style="thin">
        <color auto="1"/>
      </right>
      <top/>
      <bottom/>
      <diagonal/>
    </border>
    <border>
      <left/>
      <right style="hair">
        <color auto="1"/>
      </right>
      <top/>
      <bottom/>
      <diagonal/>
    </border>
    <border>
      <left style="thin">
        <color auto="1"/>
      </left>
      <right/>
      <top style="thin">
        <color auto="1"/>
      </top>
      <bottom style="thin">
        <color indexed="64"/>
      </bottom>
      <diagonal/>
    </border>
    <border>
      <left/>
      <right style="thin">
        <color auto="1"/>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thin">
        <color auto="1"/>
      </top>
      <bottom/>
      <diagonal/>
    </border>
    <border>
      <left/>
      <right style="thin">
        <color auto="1"/>
      </right>
      <top style="thin">
        <color indexed="64"/>
      </top>
      <bottom/>
      <diagonal/>
    </border>
    <border>
      <left/>
      <right style="hair">
        <color auto="1"/>
      </right>
      <top style="thin">
        <color indexed="64"/>
      </top>
      <bottom/>
      <diagonal/>
    </border>
    <border>
      <left style="hair">
        <color auto="1"/>
      </left>
      <right/>
      <top style="thin">
        <color auto="1"/>
      </top>
      <bottom/>
      <diagonal/>
    </border>
    <border>
      <left/>
      <right style="thin">
        <color auto="1"/>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auto="1"/>
      </right>
      <top/>
      <bottom style="thin">
        <color indexed="64"/>
      </bottom>
      <diagonal/>
    </border>
    <border>
      <left/>
      <right style="hair">
        <color auto="1"/>
      </right>
      <top/>
      <bottom style="thin">
        <color indexed="64"/>
      </bottom>
      <diagonal/>
    </border>
    <border>
      <left style="hair">
        <color auto="1"/>
      </left>
      <right/>
      <top/>
      <bottom style="thin">
        <color indexed="64"/>
      </bottom>
      <diagonal/>
    </border>
    <border>
      <left style="thin">
        <color auto="1"/>
      </left>
      <right/>
      <top/>
      <bottom/>
      <diagonal/>
    </border>
    <border>
      <left/>
      <right/>
      <top/>
      <bottom style="hair">
        <color auto="1"/>
      </bottom>
      <diagonal/>
    </border>
    <border>
      <left/>
      <right style="hair">
        <color auto="1"/>
      </right>
      <top/>
      <bottom style="hair">
        <color auto="1"/>
      </bottom>
      <diagonal/>
    </border>
    <border>
      <left/>
      <right/>
      <top style="hair">
        <color auto="1"/>
      </top>
      <bottom/>
      <diagonal/>
    </border>
    <border>
      <left/>
      <right style="hair">
        <color auto="1"/>
      </right>
      <top style="hair">
        <color auto="1"/>
      </top>
      <bottom/>
      <diagonal/>
    </border>
    <border>
      <left/>
      <right style="thin">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thin">
        <color indexed="64"/>
      </bottom>
      <diagonal/>
    </border>
    <border>
      <left style="hair">
        <color auto="1"/>
      </left>
      <right style="thin">
        <color auto="1"/>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rgb="FFC9D1DE"/>
      </right>
      <top style="thin">
        <color auto="1"/>
      </top>
      <bottom/>
      <diagonal/>
    </border>
    <border>
      <left/>
      <right style="thin">
        <color rgb="FFC9D1DE"/>
      </right>
      <top/>
      <bottom/>
      <diagonal/>
    </border>
  </borders>
  <cellStyleXfs count="38">
    <xf numFmtId="0" fontId="0" fillId="0" borderId="0"/>
    <xf numFmtId="0" fontId="6" fillId="0" borderId="0"/>
    <xf numFmtId="0" fontId="2" fillId="0" borderId="0" applyFont="0" applyFill="0" applyBorder="0" applyAlignment="0" applyProtection="0"/>
    <xf numFmtId="0" fontId="6" fillId="0" borderId="0"/>
    <xf numFmtId="164" fontId="2" fillId="0" borderId="0" applyFont="0" applyFill="0" applyBorder="0" applyAlignment="0" applyProtection="0"/>
    <xf numFmtId="0" fontId="6" fillId="0" borderId="0"/>
    <xf numFmtId="0" fontId="7" fillId="0" borderId="0"/>
    <xf numFmtId="0" fontId="3" fillId="0" borderId="0">
      <alignment vertical="center" wrapText="1"/>
    </xf>
    <xf numFmtId="0" fontId="3" fillId="0" borderId="0">
      <alignment vertical="center" wrapText="1"/>
    </xf>
    <xf numFmtId="0" fontId="3" fillId="0" borderId="0">
      <alignment vertical="center" wrapText="1"/>
    </xf>
    <xf numFmtId="0" fontId="2" fillId="0" borderId="0"/>
    <xf numFmtId="0" fontId="3" fillId="0" borderId="0">
      <alignment vertical="center" wrapText="1"/>
    </xf>
    <xf numFmtId="9" fontId="2" fillId="0" borderId="0" applyFont="0" applyFill="0" applyBorder="0" applyAlignment="0" applyProtection="0"/>
    <xf numFmtId="9" fontId="1" fillId="0" borderId="0" applyFont="0" applyFill="0" applyBorder="0" applyAlignment="0" applyProtection="0"/>
    <xf numFmtId="0" fontId="4" fillId="0" borderId="1" applyNumberFormat="0" applyFill="0" applyBorder="0" applyAlignment="0" applyProtection="0">
      <alignment horizontal="center" vertical="top" wrapText="1"/>
    </xf>
    <xf numFmtId="4" fontId="5" fillId="0" borderId="0" applyFill="0" applyBorder="0" applyProtection="0">
      <alignment horizontal="left" vertical="top" wrapText="1"/>
    </xf>
    <xf numFmtId="0" fontId="10" fillId="0" borderId="0">
      <alignment horizontal="left" vertical="center"/>
    </xf>
    <xf numFmtId="2" fontId="9" fillId="3" borderId="4">
      <alignment horizontal="right"/>
    </xf>
    <xf numFmtId="0" fontId="6" fillId="0" borderId="0"/>
    <xf numFmtId="44" fontId="8" fillId="0" borderId="0" applyFont="0" applyFill="0" applyBorder="0" applyAlignment="0" applyProtection="0"/>
    <xf numFmtId="0" fontId="2" fillId="0" borderId="0"/>
    <xf numFmtId="0" fontId="8" fillId="0" borderId="0"/>
    <xf numFmtId="0" fontId="6" fillId="0" borderId="0">
      <alignment horizontal="justify"/>
    </xf>
    <xf numFmtId="0" fontId="6" fillId="0" borderId="0">
      <alignment horizontal="justify"/>
    </xf>
    <xf numFmtId="0" fontId="6" fillId="0" borderId="0"/>
    <xf numFmtId="0" fontId="11" fillId="0" borderId="0"/>
    <xf numFmtId="3" fontId="10" fillId="0" borderId="0">
      <alignment horizontal="right" vertical="center"/>
    </xf>
    <xf numFmtId="0" fontId="12" fillId="0" borderId="0">
      <alignment vertical="center" wrapText="1"/>
    </xf>
    <xf numFmtId="0" fontId="1" fillId="0" borderId="0"/>
    <xf numFmtId="44" fontId="8" fillId="0" borderId="0" applyFont="0" applyFill="0" applyBorder="0" applyAlignment="0" applyProtection="0"/>
    <xf numFmtId="0" fontId="13" fillId="0" borderId="0"/>
    <xf numFmtId="4" fontId="15" fillId="0" borderId="0" applyFont="0" applyFill="0" applyBorder="0" applyAlignment="0" applyProtection="0"/>
    <xf numFmtId="165" fontId="13" fillId="0" borderId="0" applyFont="0" applyFill="0" applyBorder="0" applyAlignment="0" applyProtection="0"/>
    <xf numFmtId="0" fontId="2" fillId="0" borderId="0"/>
    <xf numFmtId="0" fontId="14" fillId="0" borderId="0"/>
    <xf numFmtId="0" fontId="6" fillId="0" borderId="0"/>
    <xf numFmtId="0" fontId="16" fillId="0" borderId="0"/>
    <xf numFmtId="9" fontId="8" fillId="0" borderId="0" applyFont="0" applyFill="0" applyBorder="0" applyAlignment="0" applyProtection="0"/>
  </cellStyleXfs>
  <cellXfs count="257">
    <xf numFmtId="0" fontId="0" fillId="0" borderId="0" xfId="0"/>
    <xf numFmtId="4" fontId="19" fillId="0" borderId="0" xfId="0" applyNumberFormat="1" applyFont="1" applyAlignment="1">
      <alignment horizontal="right" vertical="top"/>
    </xf>
    <xf numFmtId="0" fontId="19" fillId="0" borderId="0" xfId="0" applyFont="1" applyAlignment="1">
      <alignment horizontal="justify" vertical="top" wrapText="1"/>
    </xf>
    <xf numFmtId="0" fontId="19" fillId="0" borderId="0" xfId="0" applyFont="1" applyAlignment="1">
      <alignment vertical="top"/>
    </xf>
    <xf numFmtId="0" fontId="19" fillId="0" borderId="0" xfId="0" applyFont="1" applyAlignment="1">
      <alignment horizontal="left" vertical="top"/>
    </xf>
    <xf numFmtId="0" fontId="20" fillId="0" borderId="0" xfId="0" applyFont="1" applyAlignment="1">
      <alignment horizontal="center" vertical="center"/>
    </xf>
    <xf numFmtId="0" fontId="19" fillId="0" borderId="0" xfId="0" applyFont="1" applyAlignment="1">
      <alignment vertical="center"/>
    </xf>
    <xf numFmtId="0" fontId="20" fillId="0" borderId="0" xfId="0" applyFont="1" applyAlignment="1">
      <alignment vertical="top"/>
    </xf>
    <xf numFmtId="0" fontId="19" fillId="0" borderId="3" xfId="0" applyFont="1" applyBorder="1" applyAlignment="1">
      <alignment horizontal="left" vertical="top"/>
    </xf>
    <xf numFmtId="0" fontId="19" fillId="0" borderId="3" xfId="0" applyFont="1" applyBorder="1" applyAlignment="1">
      <alignment horizontal="justify" vertical="top" wrapText="1"/>
    </xf>
    <xf numFmtId="4" fontId="19" fillId="0" borderId="3" xfId="0" applyNumberFormat="1" applyFont="1" applyBorder="1" applyAlignment="1">
      <alignment horizontal="right" vertical="top"/>
    </xf>
    <xf numFmtId="0" fontId="19" fillId="0" borderId="0" xfId="0" applyFont="1" applyAlignment="1">
      <alignment horizontal="center" vertical="center"/>
    </xf>
    <xf numFmtId="0" fontId="19" fillId="0" borderId="2" xfId="0" applyFont="1" applyBorder="1" applyAlignment="1">
      <alignment horizontal="left" vertical="top"/>
    </xf>
    <xf numFmtId="0" fontId="19" fillId="0" borderId="2" xfId="0" applyFont="1" applyBorder="1" applyAlignment="1">
      <alignment horizontal="justify" vertical="top" wrapText="1"/>
    </xf>
    <xf numFmtId="4" fontId="19" fillId="0" borderId="2" xfId="0" applyNumberFormat="1" applyFont="1" applyBorder="1" applyAlignment="1">
      <alignment horizontal="right" vertical="top"/>
    </xf>
    <xf numFmtId="49" fontId="20" fillId="4" borderId="5" xfId="0" applyNumberFormat="1" applyFont="1" applyFill="1" applyBorder="1" applyAlignment="1">
      <alignment horizontal="left" vertical="center"/>
    </xf>
    <xf numFmtId="4" fontId="20" fillId="7" borderId="5" xfId="0" applyNumberFormat="1" applyFont="1" applyFill="1" applyBorder="1" applyAlignment="1">
      <alignment horizontal="center" vertical="center"/>
    </xf>
    <xf numFmtId="0" fontId="20" fillId="7" borderId="5" xfId="0" applyFont="1" applyFill="1" applyBorder="1" applyAlignment="1">
      <alignment horizontal="left" vertical="center"/>
    </xf>
    <xf numFmtId="4" fontId="19" fillId="4" borderId="5" xfId="0" applyNumberFormat="1" applyFont="1" applyFill="1" applyBorder="1" applyAlignment="1">
      <alignment horizontal="right" vertical="center" wrapText="1"/>
    </xf>
    <xf numFmtId="0" fontId="19" fillId="0" borderId="27" xfId="0" applyFont="1" applyBorder="1" applyAlignment="1">
      <alignment horizontal="left" vertical="top"/>
    </xf>
    <xf numFmtId="0" fontId="17" fillId="0" borderId="0" xfId="0" applyFont="1" applyAlignment="1">
      <alignment vertical="center"/>
    </xf>
    <xf numFmtId="4" fontId="20" fillId="7" borderId="5" xfId="0" applyNumberFormat="1" applyFont="1" applyFill="1" applyBorder="1" applyAlignment="1">
      <alignment horizontal="right" vertical="center"/>
    </xf>
    <xf numFmtId="4" fontId="17" fillId="0" borderId="0" xfId="0" applyNumberFormat="1" applyFont="1" applyAlignment="1">
      <alignment horizontal="right" vertical="center"/>
    </xf>
    <xf numFmtId="4" fontId="19" fillId="0" borderId="3" xfId="0" applyNumberFormat="1" applyFont="1" applyBorder="1" applyAlignment="1">
      <alignment horizontal="right" vertical="center"/>
    </xf>
    <xf numFmtId="0" fontId="20" fillId="7" borderId="12" xfId="0" applyFont="1" applyFill="1" applyBorder="1" applyAlignment="1">
      <alignment horizontal="left" vertical="center" wrapText="1"/>
    </xf>
    <xf numFmtId="0" fontId="20" fillId="4" borderId="12" xfId="0" applyFont="1" applyFill="1" applyBorder="1" applyAlignment="1">
      <alignment horizontal="justify" vertical="center" wrapText="1"/>
    </xf>
    <xf numFmtId="0" fontId="19" fillId="0" borderId="28" xfId="0" applyFont="1" applyBorder="1" applyAlignment="1">
      <alignment horizontal="justify" vertical="top" wrapText="1"/>
    </xf>
    <xf numFmtId="0" fontId="19" fillId="0" borderId="9" xfId="0" applyFont="1" applyBorder="1" applyAlignment="1">
      <alignment horizontal="justify" vertical="top" wrapText="1"/>
    </xf>
    <xf numFmtId="167" fontId="19" fillId="0" borderId="0" xfId="0" applyNumberFormat="1" applyFont="1" applyAlignment="1" applyProtection="1">
      <alignment vertical="top"/>
      <protection locked="0"/>
    </xf>
    <xf numFmtId="167" fontId="19" fillId="0" borderId="2" xfId="0" applyNumberFormat="1" applyFont="1" applyBorder="1" applyAlignment="1" applyProtection="1">
      <alignment vertical="top"/>
      <protection locked="0"/>
    </xf>
    <xf numFmtId="167" fontId="17" fillId="0" borderId="0" xfId="0" applyNumberFormat="1" applyFont="1" applyAlignment="1">
      <alignment vertical="center"/>
    </xf>
    <xf numFmtId="8" fontId="17" fillId="0" borderId="0" xfId="0" applyNumberFormat="1" applyFont="1" applyAlignment="1">
      <alignment horizontal="right" vertical="center"/>
    </xf>
    <xf numFmtId="8" fontId="17" fillId="0" borderId="0" xfId="0" applyNumberFormat="1" applyFont="1" applyAlignment="1">
      <alignment vertical="center"/>
    </xf>
    <xf numFmtId="167" fontId="17" fillId="0" borderId="0" xfId="0" applyNumberFormat="1" applyFont="1" applyAlignment="1">
      <alignment horizontal="right" vertical="center"/>
    </xf>
    <xf numFmtId="167" fontId="19" fillId="0" borderId="3" xfId="0" applyNumberFormat="1" applyFont="1" applyBorder="1" applyAlignment="1">
      <alignment horizontal="right" vertical="top"/>
    </xf>
    <xf numFmtId="8" fontId="19" fillId="0" borderId="3" xfId="0" applyNumberFormat="1" applyFont="1" applyBorder="1" applyAlignment="1">
      <alignment horizontal="right" vertical="top"/>
    </xf>
    <xf numFmtId="8" fontId="19" fillId="0" borderId="3" xfId="0" applyNumberFormat="1" applyFont="1" applyBorder="1" applyAlignment="1">
      <alignment vertical="top"/>
    </xf>
    <xf numFmtId="167" fontId="19" fillId="0" borderId="3" xfId="0" applyNumberFormat="1" applyFont="1" applyBorder="1" applyAlignment="1">
      <alignment vertical="top"/>
    </xf>
    <xf numFmtId="167" fontId="20" fillId="7" borderId="5" xfId="0" applyNumberFormat="1" applyFont="1" applyFill="1" applyBorder="1" applyAlignment="1">
      <alignment horizontal="center" vertical="center"/>
    </xf>
    <xf numFmtId="8" fontId="20" fillId="7" borderId="5" xfId="0" applyNumberFormat="1" applyFont="1" applyFill="1" applyBorder="1" applyAlignment="1">
      <alignment horizontal="center" vertical="center"/>
    </xf>
    <xf numFmtId="167" fontId="20" fillId="7" borderId="13" xfId="0" applyNumberFormat="1" applyFont="1" applyFill="1" applyBorder="1" applyAlignment="1">
      <alignment horizontal="center" vertical="center"/>
    </xf>
    <xf numFmtId="8" fontId="20" fillId="7" borderId="12" xfId="0" applyNumberFormat="1" applyFont="1" applyFill="1" applyBorder="1" applyAlignment="1">
      <alignment horizontal="center" vertical="center"/>
    </xf>
    <xf numFmtId="8" fontId="20" fillId="7" borderId="11" xfId="0" applyNumberFormat="1" applyFont="1" applyFill="1" applyBorder="1" applyAlignment="1">
      <alignment horizontal="center" vertical="center"/>
    </xf>
    <xf numFmtId="167" fontId="20" fillId="7" borderId="10" xfId="0" applyNumberFormat="1" applyFont="1" applyFill="1" applyBorder="1" applyAlignment="1">
      <alignment horizontal="center" vertical="center"/>
    </xf>
    <xf numFmtId="8" fontId="20" fillId="7" borderId="5" xfId="0" applyNumberFormat="1" applyFont="1" applyFill="1" applyBorder="1" applyAlignment="1">
      <alignment horizontal="right" vertical="center"/>
    </xf>
    <xf numFmtId="8" fontId="20" fillId="7" borderId="11" xfId="0" applyNumberFormat="1" applyFont="1" applyFill="1" applyBorder="1" applyAlignment="1">
      <alignment vertical="center"/>
    </xf>
    <xf numFmtId="167" fontId="20" fillId="7" borderId="5" xfId="0" applyNumberFormat="1" applyFont="1" applyFill="1" applyBorder="1" applyAlignment="1">
      <alignment vertical="center"/>
    </xf>
    <xf numFmtId="8" fontId="20" fillId="7" borderId="5" xfId="0" applyNumberFormat="1" applyFont="1" applyFill="1" applyBorder="1" applyAlignment="1">
      <alignment vertical="center"/>
    </xf>
    <xf numFmtId="167" fontId="20" fillId="7" borderId="13" xfId="0" applyNumberFormat="1" applyFont="1" applyFill="1" applyBorder="1" applyAlignment="1">
      <alignment horizontal="right" vertical="center"/>
    </xf>
    <xf numFmtId="167" fontId="19" fillId="4" borderId="5" xfId="0" applyNumberFormat="1" applyFont="1" applyFill="1" applyBorder="1" applyAlignment="1">
      <alignment horizontal="right" vertical="center" wrapText="1"/>
    </xf>
    <xf numFmtId="8" fontId="19" fillId="4" borderId="5" xfId="0" applyNumberFormat="1" applyFont="1" applyFill="1" applyBorder="1" applyAlignment="1">
      <alignment horizontal="right" vertical="center" wrapText="1"/>
    </xf>
    <xf numFmtId="167" fontId="20" fillId="4" borderId="5" xfId="0" applyNumberFormat="1" applyFont="1" applyFill="1" applyBorder="1" applyAlignment="1">
      <alignment vertical="center" wrapText="1"/>
    </xf>
    <xf numFmtId="8" fontId="20" fillId="4" borderId="5" xfId="0" applyNumberFormat="1" applyFont="1" applyFill="1" applyBorder="1" applyAlignment="1">
      <alignment vertical="center" wrapText="1"/>
    </xf>
    <xf numFmtId="167" fontId="20" fillId="4" borderId="13" xfId="0" applyNumberFormat="1" applyFont="1" applyFill="1" applyBorder="1" applyAlignment="1">
      <alignment horizontal="right" vertical="center" wrapText="1"/>
    </xf>
    <xf numFmtId="167" fontId="19" fillId="4" borderId="10" xfId="0" applyNumberFormat="1" applyFont="1" applyFill="1" applyBorder="1" applyAlignment="1">
      <alignment horizontal="right" vertical="center" wrapText="1"/>
    </xf>
    <xf numFmtId="167" fontId="19" fillId="0" borderId="0" xfId="0" applyNumberFormat="1" applyFont="1" applyAlignment="1">
      <alignment horizontal="right" vertical="top"/>
    </xf>
    <xf numFmtId="8" fontId="19" fillId="0" borderId="0" xfId="0" applyNumberFormat="1" applyFont="1" applyAlignment="1">
      <alignment horizontal="right" vertical="top"/>
    </xf>
    <xf numFmtId="8" fontId="19" fillId="0" borderId="8" xfId="0" applyNumberFormat="1" applyFont="1" applyBorder="1" applyAlignment="1">
      <alignment vertical="top"/>
    </xf>
    <xf numFmtId="167" fontId="19" fillId="0" borderId="0" xfId="0" applyNumberFormat="1" applyFont="1" applyAlignment="1">
      <alignment vertical="top"/>
    </xf>
    <xf numFmtId="8" fontId="19" fillId="0" borderId="0" xfId="0" applyNumberFormat="1" applyFont="1" applyAlignment="1">
      <alignment vertical="top"/>
    </xf>
    <xf numFmtId="167" fontId="19" fillId="0" borderId="1" xfId="0" applyNumberFormat="1" applyFont="1" applyBorder="1" applyAlignment="1">
      <alignment vertical="top"/>
    </xf>
    <xf numFmtId="167" fontId="19" fillId="0" borderId="24" xfId="0" applyNumberFormat="1" applyFont="1" applyBorder="1" applyAlignment="1">
      <alignment horizontal="right" vertical="top"/>
    </xf>
    <xf numFmtId="49" fontId="20" fillId="4" borderId="5" xfId="0" quotePrefix="1" applyNumberFormat="1" applyFont="1" applyFill="1" applyBorder="1" applyAlignment="1">
      <alignment horizontal="left" vertical="center"/>
    </xf>
    <xf numFmtId="8" fontId="20" fillId="4" borderId="11" xfId="0" applyNumberFormat="1" applyFont="1" applyFill="1" applyBorder="1" applyAlignment="1">
      <alignment vertical="center" wrapText="1"/>
    </xf>
    <xf numFmtId="167" fontId="19" fillId="0" borderId="1" xfId="0" applyNumberFormat="1" applyFont="1" applyBorder="1" applyAlignment="1">
      <alignment horizontal="right" vertical="top"/>
    </xf>
    <xf numFmtId="167" fontId="19" fillId="0" borderId="2" xfId="0" applyNumberFormat="1" applyFont="1" applyBorder="1" applyAlignment="1">
      <alignment horizontal="right" vertical="top"/>
    </xf>
    <xf numFmtId="8" fontId="19" fillId="0" borderId="2" xfId="0" applyNumberFormat="1" applyFont="1" applyBorder="1" applyAlignment="1">
      <alignment horizontal="right" vertical="top"/>
    </xf>
    <xf numFmtId="8" fontId="19" fillId="0" borderId="2" xfId="0" applyNumberFormat="1" applyFont="1" applyBorder="1" applyAlignment="1">
      <alignment vertical="top"/>
    </xf>
    <xf numFmtId="167" fontId="19" fillId="0" borderId="2" xfId="0" applyNumberFormat="1" applyFont="1" applyBorder="1" applyAlignment="1">
      <alignment vertical="top"/>
    </xf>
    <xf numFmtId="0" fontId="19" fillId="0" borderId="5" xfId="0" applyFont="1" applyBorder="1" applyAlignment="1">
      <alignment horizontal="left" vertical="top"/>
    </xf>
    <xf numFmtId="0" fontId="19" fillId="0" borderId="12" xfId="0" applyFont="1" applyBorder="1" applyAlignment="1">
      <alignment horizontal="justify" vertical="top" wrapText="1"/>
    </xf>
    <xf numFmtId="167" fontId="19" fillId="0" borderId="5" xfId="0" applyNumberFormat="1" applyFont="1" applyBorder="1" applyAlignment="1">
      <alignment horizontal="right" vertical="top"/>
    </xf>
    <xf numFmtId="8" fontId="19" fillId="0" borderId="5" xfId="0" applyNumberFormat="1" applyFont="1" applyBorder="1" applyAlignment="1">
      <alignment horizontal="right" vertical="top"/>
    </xf>
    <xf numFmtId="8" fontId="19" fillId="0" borderId="11" xfId="0" applyNumberFormat="1" applyFont="1" applyBorder="1" applyAlignment="1">
      <alignment vertical="top"/>
    </xf>
    <xf numFmtId="167" fontId="19" fillId="0" borderId="5" xfId="0" applyNumberFormat="1" applyFont="1" applyBorder="1" applyAlignment="1" applyProtection="1">
      <alignment vertical="top"/>
      <protection locked="0"/>
    </xf>
    <xf numFmtId="8" fontId="19" fillId="0" borderId="5" xfId="0" applyNumberFormat="1" applyFont="1" applyBorder="1" applyAlignment="1">
      <alignment vertical="top"/>
    </xf>
    <xf numFmtId="167" fontId="19" fillId="0" borderId="13" xfId="0" applyNumberFormat="1" applyFont="1" applyBorder="1" applyAlignment="1">
      <alignment vertical="top"/>
    </xf>
    <xf numFmtId="167" fontId="19" fillId="0" borderId="10" xfId="0" applyNumberFormat="1" applyFont="1" applyBorder="1" applyAlignment="1">
      <alignment horizontal="right" vertical="top"/>
    </xf>
    <xf numFmtId="0" fontId="19" fillId="0" borderId="16" xfId="0" applyFont="1" applyBorder="1" applyAlignment="1">
      <alignment horizontal="justify" vertical="top" wrapText="1"/>
    </xf>
    <xf numFmtId="8" fontId="19" fillId="0" borderId="15" xfId="0" applyNumberFormat="1" applyFont="1" applyBorder="1" applyAlignment="1">
      <alignment vertical="top"/>
    </xf>
    <xf numFmtId="167" fontId="19" fillId="0" borderId="17" xfId="0" applyNumberFormat="1" applyFont="1" applyBorder="1" applyAlignment="1">
      <alignment vertical="top"/>
    </xf>
    <xf numFmtId="167" fontId="19" fillId="0" borderId="14" xfId="0" applyNumberFormat="1" applyFont="1" applyBorder="1" applyAlignment="1">
      <alignment horizontal="right" vertical="top"/>
    </xf>
    <xf numFmtId="167" fontId="17" fillId="0" borderId="0" xfId="0" applyNumberFormat="1" applyFont="1" applyAlignment="1">
      <alignment horizontal="left" vertical="center"/>
    </xf>
    <xf numFmtId="167" fontId="19" fillId="0" borderId="3" xfId="0" applyNumberFormat="1" applyFont="1" applyBorder="1" applyAlignment="1">
      <alignment horizontal="left" vertical="top"/>
    </xf>
    <xf numFmtId="167" fontId="20" fillId="7" borderId="5" xfId="0" applyNumberFormat="1" applyFont="1" applyFill="1" applyBorder="1" applyAlignment="1">
      <alignment horizontal="left" vertical="center"/>
    </xf>
    <xf numFmtId="167" fontId="19" fillId="4" borderId="5" xfId="0" applyNumberFormat="1" applyFont="1" applyFill="1" applyBorder="1" applyAlignment="1">
      <alignment horizontal="left" vertical="center" wrapText="1"/>
    </xf>
    <xf numFmtId="167" fontId="19" fillId="0" borderId="5" xfId="0" applyNumberFormat="1" applyFont="1" applyBorder="1" applyAlignment="1">
      <alignment horizontal="left" vertical="top"/>
    </xf>
    <xf numFmtId="167" fontId="19" fillId="0" borderId="2" xfId="0" applyNumberFormat="1" applyFont="1" applyBorder="1" applyAlignment="1">
      <alignment horizontal="left" vertical="top"/>
    </xf>
    <xf numFmtId="167" fontId="19" fillId="0" borderId="0" xfId="0" applyNumberFormat="1" applyFont="1" applyAlignment="1">
      <alignment horizontal="left" vertical="top"/>
    </xf>
    <xf numFmtId="167" fontId="19" fillId="9" borderId="1" xfId="0" applyNumberFormat="1" applyFont="1" applyFill="1" applyBorder="1" applyAlignment="1">
      <alignment horizontal="right" vertical="top"/>
    </xf>
    <xf numFmtId="167" fontId="20" fillId="7" borderId="13" xfId="0" applyNumberFormat="1" applyFont="1" applyFill="1" applyBorder="1" applyAlignment="1" applyProtection="1">
      <alignment horizontal="right" vertical="center"/>
      <protection locked="0"/>
    </xf>
    <xf numFmtId="167" fontId="20" fillId="4" borderId="13" xfId="0" applyNumberFormat="1" applyFont="1" applyFill="1" applyBorder="1" applyAlignment="1" applyProtection="1">
      <alignment horizontal="right" vertical="center" wrapText="1"/>
      <protection locked="0"/>
    </xf>
    <xf numFmtId="167" fontId="19" fillId="0" borderId="13" xfId="0" applyNumberFormat="1" applyFont="1" applyBorder="1" applyAlignment="1" applyProtection="1">
      <alignment vertical="top"/>
      <protection locked="0"/>
    </xf>
    <xf numFmtId="167" fontId="19" fillId="0" borderId="17" xfId="0" applyNumberFormat="1" applyFont="1" applyBorder="1" applyAlignment="1" applyProtection="1">
      <alignment vertical="top"/>
      <protection locked="0"/>
    </xf>
    <xf numFmtId="167" fontId="19" fillId="0" borderId="1" xfId="0" applyNumberFormat="1" applyFont="1" applyBorder="1" applyAlignment="1" applyProtection="1">
      <alignment horizontal="right" vertical="top"/>
      <protection locked="0"/>
    </xf>
    <xf numFmtId="167" fontId="19" fillId="0" borderId="1" xfId="0" applyNumberFormat="1" applyFont="1" applyBorder="1" applyAlignment="1" applyProtection="1">
      <alignment vertical="top"/>
      <protection locked="0"/>
    </xf>
    <xf numFmtId="9" fontId="19" fillId="0" borderId="0" xfId="37" applyFont="1" applyAlignment="1">
      <alignment vertical="top"/>
    </xf>
    <xf numFmtId="0" fontId="19" fillId="0" borderId="28" xfId="0" applyFont="1" applyBorder="1" applyAlignment="1">
      <alignment horizontal="justify" vertical="center" wrapText="1"/>
    </xf>
    <xf numFmtId="167" fontId="19" fillId="9" borderId="1" xfId="0" applyNumberFormat="1" applyFont="1" applyFill="1" applyBorder="1" applyAlignment="1" applyProtection="1">
      <alignment vertical="top"/>
      <protection locked="0"/>
    </xf>
    <xf numFmtId="0" fontId="17" fillId="0" borderId="0" xfId="0" applyFont="1" applyAlignment="1">
      <alignment horizontal="right" vertical="center"/>
    </xf>
    <xf numFmtId="166" fontId="19" fillId="0" borderId="3" xfId="0" applyNumberFormat="1" applyFont="1" applyBorder="1" applyAlignment="1">
      <alignment horizontal="right" vertical="top"/>
    </xf>
    <xf numFmtId="166" fontId="19" fillId="0" borderId="3" xfId="0" applyNumberFormat="1" applyFont="1" applyBorder="1" applyAlignment="1">
      <alignment vertical="top"/>
    </xf>
    <xf numFmtId="166" fontId="20" fillId="7" borderId="5" xfId="0" applyNumberFormat="1" applyFont="1" applyFill="1" applyBorder="1" applyAlignment="1">
      <alignment horizontal="center" vertical="center"/>
    </xf>
    <xf numFmtId="4" fontId="20" fillId="7" borderId="13" xfId="0" applyNumberFormat="1" applyFont="1" applyFill="1" applyBorder="1" applyAlignment="1">
      <alignment horizontal="center" vertical="center"/>
    </xf>
    <xf numFmtId="166" fontId="20" fillId="7" borderId="5" xfId="0" applyNumberFormat="1" applyFont="1" applyFill="1" applyBorder="1" applyAlignment="1">
      <alignment horizontal="right" vertical="center"/>
    </xf>
    <xf numFmtId="166" fontId="20" fillId="7" borderId="11" xfId="0" applyNumberFormat="1" applyFont="1" applyFill="1" applyBorder="1" applyAlignment="1">
      <alignment vertical="center"/>
    </xf>
    <xf numFmtId="166" fontId="20" fillId="7" borderId="5" xfId="0" applyNumberFormat="1" applyFont="1" applyFill="1" applyBorder="1" applyAlignment="1">
      <alignment vertical="center"/>
    </xf>
    <xf numFmtId="166" fontId="19" fillId="4" borderId="5" xfId="0" applyNumberFormat="1" applyFont="1" applyFill="1" applyBorder="1" applyAlignment="1">
      <alignment horizontal="right" vertical="center" wrapText="1"/>
    </xf>
    <xf numFmtId="166" fontId="20" fillId="4" borderId="11" xfId="0" applyNumberFormat="1" applyFont="1" applyFill="1" applyBorder="1" applyAlignment="1">
      <alignment vertical="center" wrapText="1"/>
    </xf>
    <xf numFmtId="166" fontId="20" fillId="4" borderId="5" xfId="0" applyNumberFormat="1" applyFont="1" applyFill="1" applyBorder="1" applyAlignment="1">
      <alignment vertical="center" wrapText="1"/>
    </xf>
    <xf numFmtId="0" fontId="20" fillId="0" borderId="0" xfId="0" applyFont="1" applyAlignment="1">
      <alignment vertical="center"/>
    </xf>
    <xf numFmtId="49" fontId="20" fillId="6" borderId="6" xfId="0" applyNumberFormat="1" applyFont="1" applyFill="1" applyBorder="1" applyAlignment="1">
      <alignment horizontal="left" vertical="center"/>
    </xf>
    <xf numFmtId="0" fontId="20" fillId="6" borderId="31" xfId="0" applyFont="1" applyFill="1" applyBorder="1" applyAlignment="1">
      <alignment horizontal="justify" vertical="center" wrapText="1"/>
    </xf>
    <xf numFmtId="4" fontId="20" fillId="6" borderId="6" xfId="0" applyNumberFormat="1" applyFont="1" applyFill="1" applyBorder="1" applyAlignment="1">
      <alignment horizontal="right" vertical="center" wrapText="1"/>
    </xf>
    <xf numFmtId="166" fontId="20" fillId="6" borderId="6" xfId="0" applyNumberFormat="1" applyFont="1" applyFill="1" applyBorder="1" applyAlignment="1">
      <alignment horizontal="right" vertical="center" wrapText="1"/>
    </xf>
    <xf numFmtId="166" fontId="20" fillId="6" borderId="29" xfId="0" applyNumberFormat="1" applyFont="1" applyFill="1" applyBorder="1" applyAlignment="1">
      <alignment vertical="center" wrapText="1"/>
    </xf>
    <xf numFmtId="166" fontId="20" fillId="6" borderId="6" xfId="0" applyNumberFormat="1" applyFont="1" applyFill="1" applyBorder="1" applyAlignment="1">
      <alignment vertical="center" wrapText="1"/>
    </xf>
    <xf numFmtId="166" fontId="19" fillId="0" borderId="0" xfId="0" applyNumberFormat="1" applyFont="1" applyAlignment="1">
      <alignment horizontal="right" vertical="top"/>
    </xf>
    <xf numFmtId="166" fontId="19" fillId="0" borderId="8" xfId="0" applyNumberFormat="1" applyFont="1" applyBorder="1" applyAlignment="1">
      <alignment vertical="top"/>
    </xf>
    <xf numFmtId="4" fontId="19" fillId="0" borderId="0" xfId="0" applyNumberFormat="1" applyFont="1" applyAlignment="1">
      <alignment vertical="top"/>
    </xf>
    <xf numFmtId="166" fontId="19" fillId="0" borderId="0" xfId="0" applyNumberFormat="1" applyFont="1" applyAlignment="1">
      <alignment vertical="top"/>
    </xf>
    <xf numFmtId="49" fontId="20" fillId="6" borderId="7" xfId="0" applyNumberFormat="1" applyFont="1" applyFill="1" applyBorder="1" applyAlignment="1">
      <alignment horizontal="left" vertical="center"/>
    </xf>
    <xf numFmtId="0" fontId="20" fillId="6" borderId="19" xfId="0" applyFont="1" applyFill="1" applyBorder="1" applyAlignment="1">
      <alignment horizontal="justify" vertical="center" wrapText="1"/>
    </xf>
    <xf numFmtId="4" fontId="20" fillId="6" borderId="7" xfId="0" applyNumberFormat="1" applyFont="1" applyFill="1" applyBorder="1" applyAlignment="1">
      <alignment horizontal="right" vertical="center" wrapText="1"/>
    </xf>
    <xf numFmtId="166" fontId="20" fillId="6" borderId="7" xfId="0" applyNumberFormat="1" applyFont="1" applyFill="1" applyBorder="1" applyAlignment="1">
      <alignment horizontal="right" vertical="center" wrapText="1"/>
    </xf>
    <xf numFmtId="166" fontId="20" fillId="6" borderId="18" xfId="0" applyNumberFormat="1" applyFont="1" applyFill="1" applyBorder="1" applyAlignment="1">
      <alignment vertical="center" wrapText="1"/>
    </xf>
    <xf numFmtId="166" fontId="20" fillId="6" borderId="7" xfId="0" applyNumberFormat="1" applyFont="1" applyFill="1" applyBorder="1" applyAlignment="1">
      <alignment vertical="center" wrapText="1"/>
    </xf>
    <xf numFmtId="0" fontId="19" fillId="0" borderId="25" xfId="0" applyFont="1" applyBorder="1" applyAlignment="1">
      <alignment horizontal="left" vertical="top"/>
    </xf>
    <xf numFmtId="0" fontId="19" fillId="0" borderId="26" xfId="0" applyFont="1" applyBorder="1" applyAlignment="1">
      <alignment horizontal="justify" vertical="top" wrapText="1"/>
    </xf>
    <xf numFmtId="4" fontId="19" fillId="5" borderId="0" xfId="0" applyNumberFormat="1" applyFont="1" applyFill="1" applyAlignment="1">
      <alignment horizontal="right" vertical="top"/>
    </xf>
    <xf numFmtId="49" fontId="19" fillId="0" borderId="27" xfId="0" applyNumberFormat="1" applyFont="1" applyBorder="1" applyAlignment="1">
      <alignment horizontal="left" vertical="center"/>
    </xf>
    <xf numFmtId="0" fontId="19" fillId="0" borderId="28" xfId="0" applyFont="1" applyBorder="1" applyAlignment="1">
      <alignment horizontal="left" vertical="center" wrapText="1"/>
    </xf>
    <xf numFmtId="4" fontId="19" fillId="0" borderId="0" xfId="0" applyNumberFormat="1" applyFont="1" applyAlignment="1">
      <alignment horizontal="right" vertical="center" wrapText="1"/>
    </xf>
    <xf numFmtId="166" fontId="19" fillId="0" borderId="0" xfId="0" applyNumberFormat="1" applyFont="1" applyAlignment="1">
      <alignment horizontal="right" vertical="center" wrapText="1"/>
    </xf>
    <xf numFmtId="49" fontId="19" fillId="0" borderId="0" xfId="0" applyNumberFormat="1" applyFont="1" applyAlignment="1">
      <alignment horizontal="left" vertical="center"/>
    </xf>
    <xf numFmtId="0" fontId="19" fillId="0" borderId="9" xfId="0" applyFont="1" applyBorder="1" applyAlignment="1">
      <alignment horizontal="left" vertical="center" wrapText="1"/>
    </xf>
    <xf numFmtId="166" fontId="19" fillId="0" borderId="8" xfId="0" applyNumberFormat="1" applyFont="1" applyBorder="1" applyAlignment="1">
      <alignment vertical="center" wrapText="1"/>
    </xf>
    <xf numFmtId="0" fontId="19" fillId="0" borderId="27" xfId="0" applyFont="1" applyBorder="1" applyAlignment="1">
      <alignment horizontal="left" vertical="center"/>
    </xf>
    <xf numFmtId="0" fontId="20" fillId="0" borderId="28" xfId="0" applyFont="1" applyBorder="1" applyAlignment="1">
      <alignment horizontal="justify" vertical="center" wrapText="1"/>
    </xf>
    <xf numFmtId="4" fontId="20" fillId="0" borderId="0" xfId="0" applyNumberFormat="1" applyFont="1" applyAlignment="1">
      <alignment horizontal="right" vertical="center"/>
    </xf>
    <xf numFmtId="166" fontId="20" fillId="0" borderId="0" xfId="0" applyNumberFormat="1" applyFont="1" applyAlignment="1">
      <alignment horizontal="right" vertical="center"/>
    </xf>
    <xf numFmtId="166" fontId="19" fillId="0" borderId="8" xfId="0" applyNumberFormat="1" applyFont="1" applyBorder="1" applyAlignment="1">
      <alignment vertical="center"/>
    </xf>
    <xf numFmtId="0" fontId="19" fillId="0" borderId="9" xfId="0" applyFont="1" applyBorder="1" applyAlignment="1">
      <alignment vertical="top" wrapText="1"/>
    </xf>
    <xf numFmtId="0" fontId="20" fillId="0" borderId="0" xfId="0" applyFont="1" applyAlignment="1">
      <alignment horizontal="left" vertical="center"/>
    </xf>
    <xf numFmtId="0" fontId="20" fillId="0" borderId="9" xfId="0" applyFont="1" applyBorder="1" applyAlignment="1">
      <alignment horizontal="justify" vertical="center" wrapText="1"/>
    </xf>
    <xf numFmtId="166" fontId="20" fillId="0" borderId="8" xfId="0" applyNumberFormat="1" applyFont="1" applyBorder="1" applyAlignment="1">
      <alignment vertical="center"/>
    </xf>
    <xf numFmtId="4" fontId="19" fillId="2" borderId="0" xfId="0" applyNumberFormat="1" applyFont="1" applyFill="1" applyAlignment="1">
      <alignment horizontal="right" vertical="top"/>
    </xf>
    <xf numFmtId="166" fontId="19" fillId="2" borderId="0" xfId="0" applyNumberFormat="1" applyFont="1" applyFill="1" applyAlignment="1">
      <alignment horizontal="right" vertical="top"/>
    </xf>
    <xf numFmtId="49" fontId="20" fillId="6" borderId="2" xfId="0" applyNumberFormat="1" applyFont="1" applyFill="1" applyBorder="1" applyAlignment="1">
      <alignment horizontal="left" vertical="center"/>
    </xf>
    <xf numFmtId="0" fontId="20" fillId="6" borderId="16" xfId="0" applyFont="1" applyFill="1" applyBorder="1" applyAlignment="1">
      <alignment horizontal="justify" vertical="center" wrapText="1"/>
    </xf>
    <xf numFmtId="4" fontId="20" fillId="6" borderId="2" xfId="0" applyNumberFormat="1" applyFont="1" applyFill="1" applyBorder="1" applyAlignment="1">
      <alignment horizontal="right" vertical="center" wrapText="1"/>
    </xf>
    <xf numFmtId="166" fontId="20" fillId="6" borderId="2" xfId="0" applyNumberFormat="1" applyFont="1" applyFill="1" applyBorder="1" applyAlignment="1">
      <alignment horizontal="right" vertical="center" wrapText="1"/>
    </xf>
    <xf numFmtId="166" fontId="20" fillId="6" borderId="15" xfId="0" applyNumberFormat="1" applyFont="1" applyFill="1" applyBorder="1" applyAlignment="1">
      <alignment vertical="center" wrapText="1"/>
    </xf>
    <xf numFmtId="166" fontId="20" fillId="6" borderId="2" xfId="0" applyNumberFormat="1" applyFont="1" applyFill="1" applyBorder="1" applyAlignment="1">
      <alignment vertical="center" wrapText="1"/>
    </xf>
    <xf numFmtId="0" fontId="20" fillId="0" borderId="27" xfId="0" applyFont="1" applyBorder="1" applyAlignment="1">
      <alignment horizontal="left" vertical="center"/>
    </xf>
    <xf numFmtId="4" fontId="20" fillId="0" borderId="27" xfId="0" applyNumberFormat="1" applyFont="1" applyBorder="1" applyAlignment="1">
      <alignment horizontal="right" vertical="center"/>
    </xf>
    <xf numFmtId="166" fontId="20" fillId="0" borderId="27" xfId="0" applyNumberFormat="1" applyFont="1" applyBorder="1" applyAlignment="1">
      <alignment horizontal="right" vertical="center"/>
    </xf>
    <xf numFmtId="0" fontId="19" fillId="0" borderId="0" xfId="0" applyFont="1" applyAlignment="1">
      <alignment horizontal="left" vertical="center"/>
    </xf>
    <xf numFmtId="4" fontId="20" fillId="0" borderId="0" xfId="0" applyNumberFormat="1" applyFont="1" applyAlignment="1">
      <alignment horizontal="right" vertical="top"/>
    </xf>
    <xf numFmtId="166" fontId="20" fillId="0" borderId="0" xfId="0" applyNumberFormat="1" applyFont="1" applyAlignment="1">
      <alignment horizontal="right" vertical="top"/>
    </xf>
    <xf numFmtId="0" fontId="18" fillId="0" borderId="9" xfId="0" applyFont="1" applyBorder="1" applyAlignment="1">
      <alignment horizontal="justify" vertical="top" wrapText="1"/>
    </xf>
    <xf numFmtId="0" fontId="20" fillId="0" borderId="0" xfId="0" applyFont="1" applyAlignment="1">
      <alignment horizontal="left" vertical="top"/>
    </xf>
    <xf numFmtId="0" fontId="20" fillId="0" borderId="9" xfId="0" applyFont="1" applyBorder="1" applyAlignment="1">
      <alignment horizontal="justify" vertical="top" wrapText="1"/>
    </xf>
    <xf numFmtId="0" fontId="19" fillId="0" borderId="22" xfId="0" applyFont="1" applyBorder="1" applyAlignment="1">
      <alignment horizontal="justify" vertical="top" wrapText="1"/>
    </xf>
    <xf numFmtId="166" fontId="19" fillId="0" borderId="21" xfId="0" applyNumberFormat="1" applyFont="1" applyBorder="1" applyAlignment="1">
      <alignment vertical="top"/>
    </xf>
    <xf numFmtId="166" fontId="19" fillId="0" borderId="2" xfId="0" applyNumberFormat="1" applyFont="1" applyBorder="1" applyAlignment="1">
      <alignment horizontal="right" vertical="top"/>
    </xf>
    <xf numFmtId="166" fontId="19" fillId="0" borderId="2" xfId="0" applyNumberFormat="1" applyFont="1" applyBorder="1" applyAlignment="1">
      <alignment vertical="top"/>
    </xf>
    <xf numFmtId="4" fontId="19" fillId="0" borderId="1" xfId="0" applyNumberFormat="1" applyFont="1" applyBorder="1" applyAlignment="1" applyProtection="1">
      <alignment vertical="top"/>
      <protection locked="0"/>
    </xf>
    <xf numFmtId="4" fontId="19" fillId="0" borderId="1" xfId="0" applyNumberFormat="1" applyFont="1" applyBorder="1" applyAlignment="1" applyProtection="1">
      <alignment horizontal="right" vertical="top"/>
      <protection locked="0"/>
    </xf>
    <xf numFmtId="4" fontId="20" fillId="6" borderId="20" xfId="0" applyNumberFormat="1" applyFont="1" applyFill="1" applyBorder="1" applyAlignment="1" applyProtection="1">
      <alignment horizontal="right" vertical="center" wrapText="1"/>
      <protection locked="0"/>
    </xf>
    <xf numFmtId="4" fontId="20" fillId="4" borderId="13" xfId="0" applyNumberFormat="1" applyFont="1" applyFill="1" applyBorder="1" applyAlignment="1" applyProtection="1">
      <alignment horizontal="right" vertical="center" wrapText="1"/>
      <protection locked="0"/>
    </xf>
    <xf numFmtId="4" fontId="19" fillId="0" borderId="1" xfId="0" applyNumberFormat="1" applyFont="1" applyBorder="1" applyAlignment="1" applyProtection="1">
      <alignment horizontal="right" vertical="center" wrapText="1"/>
      <protection locked="0"/>
    </xf>
    <xf numFmtId="4" fontId="19" fillId="0" borderId="1" xfId="0" applyNumberFormat="1" applyFont="1" applyBorder="1" applyAlignment="1" applyProtection="1">
      <alignment horizontal="right" vertical="center"/>
      <protection locked="0"/>
    </xf>
    <xf numFmtId="4" fontId="20" fillId="0" borderId="1" xfId="0" applyNumberFormat="1" applyFont="1" applyBorder="1" applyAlignment="1" applyProtection="1">
      <alignment horizontal="right" vertical="center"/>
      <protection locked="0"/>
    </xf>
    <xf numFmtId="4" fontId="20" fillId="6" borderId="17" xfId="0" applyNumberFormat="1" applyFont="1" applyFill="1" applyBorder="1" applyAlignment="1" applyProtection="1">
      <alignment horizontal="right" vertical="center" wrapText="1"/>
      <protection locked="0"/>
    </xf>
    <xf numFmtId="4" fontId="20" fillId="6" borderId="30" xfId="0" applyNumberFormat="1" applyFont="1" applyFill="1" applyBorder="1" applyAlignment="1" applyProtection="1">
      <alignment horizontal="right" vertical="center" wrapText="1"/>
      <protection locked="0"/>
    </xf>
    <xf numFmtId="4" fontId="19" fillId="0" borderId="23" xfId="0" applyNumberFormat="1" applyFont="1" applyBorder="1" applyAlignment="1" applyProtection="1">
      <alignment horizontal="right" vertical="top"/>
      <protection locked="0"/>
    </xf>
    <xf numFmtId="4" fontId="19" fillId="9" borderId="1" xfId="0" applyNumberFormat="1" applyFont="1" applyFill="1" applyBorder="1" applyAlignment="1" applyProtection="1">
      <alignment horizontal="right" vertical="top"/>
      <protection locked="0"/>
    </xf>
    <xf numFmtId="0" fontId="20" fillId="10" borderId="0" xfId="0" applyFont="1" applyFill="1" applyAlignment="1">
      <alignment horizontal="center" vertical="center"/>
    </xf>
    <xf numFmtId="49" fontId="20" fillId="0" borderId="0" xfId="0" quotePrefix="1" applyNumberFormat="1" applyFont="1" applyAlignment="1">
      <alignment horizontal="left" vertical="center"/>
    </xf>
    <xf numFmtId="167" fontId="19" fillId="0" borderId="0" xfId="0" applyNumberFormat="1" applyFont="1" applyAlignment="1">
      <alignment horizontal="right" vertical="center" wrapText="1"/>
    </xf>
    <xf numFmtId="167" fontId="19" fillId="0" borderId="0" xfId="0" applyNumberFormat="1" applyFont="1" applyAlignment="1">
      <alignment horizontal="left" vertical="center" wrapText="1"/>
    </xf>
    <xf numFmtId="8" fontId="19" fillId="0" borderId="0" xfId="0" applyNumberFormat="1" applyFont="1" applyAlignment="1">
      <alignment horizontal="right" vertical="center" wrapText="1"/>
    </xf>
    <xf numFmtId="167" fontId="19" fillId="0" borderId="24" xfId="0" applyNumberFormat="1" applyFont="1" applyBorder="1" applyAlignment="1">
      <alignment horizontal="right" vertical="center" wrapText="1"/>
    </xf>
    <xf numFmtId="9" fontId="19" fillId="0" borderId="0" xfId="37" applyFont="1" applyFill="1" applyAlignment="1">
      <alignment vertical="top"/>
    </xf>
    <xf numFmtId="0" fontId="19" fillId="0" borderId="9" xfId="0" applyFont="1" applyBorder="1" applyAlignment="1">
      <alignment horizontal="justify" vertical="center" wrapText="1"/>
    </xf>
    <xf numFmtId="8" fontId="19" fillId="0" borderId="8" xfId="0" applyNumberFormat="1" applyFont="1" applyBorder="1" applyAlignment="1">
      <alignment vertical="center" wrapText="1"/>
    </xf>
    <xf numFmtId="167" fontId="19" fillId="0" borderId="0" xfId="0" applyNumberFormat="1" applyFont="1" applyAlignment="1">
      <alignment vertical="center" wrapText="1"/>
    </xf>
    <xf numFmtId="8" fontId="19" fillId="0" borderId="0" xfId="0" applyNumberFormat="1" applyFont="1" applyAlignment="1">
      <alignment vertical="center" wrapText="1"/>
    </xf>
    <xf numFmtId="167" fontId="19" fillId="0" borderId="1" xfId="0" applyNumberFormat="1" applyFont="1" applyBorder="1" applyAlignment="1">
      <alignment horizontal="right" vertical="center" wrapText="1"/>
    </xf>
    <xf numFmtId="167" fontId="19" fillId="0" borderId="1" xfId="0" applyNumberFormat="1" applyFont="1" applyBorder="1" applyAlignment="1" applyProtection="1">
      <alignment horizontal="right" vertical="center" wrapText="1"/>
      <protection locked="0"/>
    </xf>
    <xf numFmtId="9" fontId="19" fillId="0" borderId="0" xfId="37" applyFont="1" applyAlignment="1">
      <alignment vertical="top" wrapText="1"/>
    </xf>
    <xf numFmtId="167" fontId="20" fillId="4" borderId="5" xfId="0" applyNumberFormat="1" applyFont="1" applyFill="1" applyBorder="1" applyAlignment="1" applyProtection="1">
      <alignment vertical="center" wrapText="1"/>
      <protection locked="0"/>
    </xf>
    <xf numFmtId="4" fontId="20" fillId="7" borderId="13" xfId="0" applyNumberFormat="1" applyFont="1" applyFill="1" applyBorder="1" applyAlignment="1" applyProtection="1">
      <alignment horizontal="right" vertical="center"/>
      <protection locked="0"/>
    </xf>
    <xf numFmtId="4" fontId="19" fillId="5" borderId="0" xfId="0" applyNumberFormat="1" applyFont="1" applyFill="1" applyAlignment="1">
      <alignment horizontal="right" vertical="center" wrapText="1"/>
    </xf>
    <xf numFmtId="10" fontId="19" fillId="0" borderId="0" xfId="37" applyNumberFormat="1" applyFont="1" applyAlignment="1">
      <alignment vertical="top"/>
    </xf>
    <xf numFmtId="9" fontId="19" fillId="0" borderId="0" xfId="37" applyFont="1" applyBorder="1" applyAlignment="1">
      <alignment vertical="top"/>
    </xf>
    <xf numFmtId="0" fontId="22" fillId="0" borderId="35" xfId="0" applyFont="1" applyBorder="1" applyAlignment="1">
      <alignment horizontal="justify" vertical="top" wrapText="1"/>
    </xf>
    <xf numFmtId="0" fontId="22" fillId="0" borderId="36" xfId="0" applyFont="1" applyBorder="1" applyAlignment="1">
      <alignment horizontal="justify" vertical="top" wrapText="1"/>
    </xf>
    <xf numFmtId="167" fontId="19" fillId="0" borderId="0" xfId="0" applyNumberFormat="1" applyFont="1" applyAlignment="1">
      <alignment horizontal="right" vertical="top" wrapText="1"/>
    </xf>
    <xf numFmtId="167" fontId="19" fillId="0" borderId="0" xfId="0" applyNumberFormat="1" applyFont="1" applyAlignment="1">
      <alignment horizontal="left" vertical="top" wrapText="1"/>
    </xf>
    <xf numFmtId="8" fontId="19" fillId="0" borderId="0" xfId="0" applyNumberFormat="1" applyFont="1" applyAlignment="1">
      <alignment horizontal="right" vertical="top" wrapText="1"/>
    </xf>
    <xf numFmtId="49" fontId="20" fillId="0" borderId="0" xfId="0" quotePrefix="1" applyNumberFormat="1" applyFont="1" applyAlignment="1">
      <alignment horizontal="left" vertical="top"/>
    </xf>
    <xf numFmtId="8" fontId="19" fillId="0" borderId="8" xfId="0" applyNumberFormat="1" applyFont="1" applyBorder="1" applyAlignment="1">
      <alignment vertical="top" wrapText="1"/>
    </xf>
    <xf numFmtId="167" fontId="19" fillId="0" borderId="0" xfId="0" applyNumberFormat="1" applyFont="1" applyAlignment="1">
      <alignment vertical="top" wrapText="1"/>
    </xf>
    <xf numFmtId="8" fontId="19" fillId="0" borderId="0" xfId="0" applyNumberFormat="1" applyFont="1" applyAlignment="1">
      <alignment vertical="top" wrapText="1"/>
    </xf>
    <xf numFmtId="167" fontId="19" fillId="0" borderId="1" xfId="0" applyNumberFormat="1" applyFont="1" applyBorder="1" applyAlignment="1">
      <alignment horizontal="right" vertical="top" wrapText="1"/>
    </xf>
    <xf numFmtId="167" fontId="19" fillId="0" borderId="1" xfId="0" applyNumberFormat="1" applyFont="1" applyBorder="1" applyAlignment="1" applyProtection="1">
      <alignment horizontal="right" vertical="top" wrapText="1"/>
      <protection locked="0"/>
    </xf>
    <xf numFmtId="167" fontId="19" fillId="0" borderId="24" xfId="0" applyNumberFormat="1" applyFont="1" applyBorder="1" applyAlignment="1">
      <alignment horizontal="right" vertical="top" wrapText="1"/>
    </xf>
    <xf numFmtId="4" fontId="19" fillId="0" borderId="0" xfId="0" applyNumberFormat="1" applyFont="1" applyAlignment="1">
      <alignment horizontal="right" vertical="top" wrapText="1"/>
    </xf>
    <xf numFmtId="9" fontId="19" fillId="0" borderId="0" xfId="37" applyFont="1" applyAlignment="1">
      <alignment vertical="center"/>
    </xf>
    <xf numFmtId="8" fontId="19" fillId="0" borderId="0" xfId="0" applyNumberFormat="1" applyFont="1" applyAlignment="1">
      <alignment horizontal="left" vertical="top"/>
    </xf>
    <xf numFmtId="4" fontId="19" fillId="5" borderId="1" xfId="0" applyNumberFormat="1" applyFont="1" applyFill="1" applyBorder="1" applyAlignment="1" applyProtection="1">
      <alignment horizontal="right" vertical="top"/>
      <protection locked="0"/>
    </xf>
    <xf numFmtId="167" fontId="19" fillId="5" borderId="1" xfId="0" applyNumberFormat="1" applyFont="1" applyFill="1" applyBorder="1" applyAlignment="1" applyProtection="1">
      <alignment vertical="top"/>
      <protection locked="0"/>
    </xf>
    <xf numFmtId="0" fontId="19" fillId="0" borderId="0" xfId="0" applyFont="1" applyAlignment="1">
      <alignment vertical="top" wrapText="1"/>
    </xf>
    <xf numFmtId="10" fontId="19" fillId="11" borderId="0" xfId="37" applyNumberFormat="1" applyFont="1" applyFill="1" applyAlignment="1">
      <alignment vertical="top"/>
    </xf>
    <xf numFmtId="167" fontId="19" fillId="5" borderId="3" xfId="0" applyNumberFormat="1" applyFont="1" applyFill="1" applyBorder="1" applyAlignment="1">
      <alignment horizontal="right" vertical="top"/>
    </xf>
    <xf numFmtId="8" fontId="19" fillId="5" borderId="3" xfId="0" applyNumberFormat="1" applyFont="1" applyFill="1" applyBorder="1" applyAlignment="1">
      <alignment vertical="top"/>
    </xf>
    <xf numFmtId="167" fontId="19" fillId="10" borderId="1" xfId="0" applyNumberFormat="1" applyFont="1" applyFill="1" applyBorder="1" applyAlignment="1" applyProtection="1">
      <alignment vertical="top"/>
      <protection locked="0"/>
    </xf>
    <xf numFmtId="0" fontId="19" fillId="10" borderId="0" xfId="0" applyFont="1" applyFill="1" applyAlignment="1">
      <alignment vertical="top" wrapText="1"/>
    </xf>
    <xf numFmtId="0" fontId="19" fillId="9" borderId="0" xfId="0" applyFont="1" applyFill="1" applyAlignment="1">
      <alignment vertical="top" wrapText="1"/>
    </xf>
    <xf numFmtId="0" fontId="19" fillId="9" borderId="0" xfId="0" applyFont="1" applyFill="1" applyAlignment="1">
      <alignment vertical="top"/>
    </xf>
    <xf numFmtId="167" fontId="19" fillId="9" borderId="1" xfId="0" applyNumberFormat="1" applyFont="1" applyFill="1" applyBorder="1" applyAlignment="1" applyProtection="1">
      <alignment horizontal="right" vertical="top"/>
      <protection locked="0"/>
    </xf>
    <xf numFmtId="4" fontId="19" fillId="8" borderId="1" xfId="0" applyNumberFormat="1" applyFont="1" applyFill="1" applyBorder="1" applyAlignment="1" applyProtection="1">
      <alignment horizontal="right" vertical="top"/>
      <protection locked="0"/>
    </xf>
    <xf numFmtId="4" fontId="19" fillId="12" borderId="1" xfId="0" applyNumberFormat="1" applyFont="1" applyFill="1" applyBorder="1" applyAlignment="1" applyProtection="1">
      <alignment horizontal="right" vertical="top"/>
      <protection locked="0"/>
    </xf>
    <xf numFmtId="166" fontId="19" fillId="0" borderId="0" xfId="0" applyNumberFormat="1" applyFont="1" applyAlignment="1">
      <alignment vertical="center" wrapText="1"/>
    </xf>
    <xf numFmtId="166" fontId="19" fillId="0" borderId="0" xfId="0" applyNumberFormat="1" applyFont="1" applyAlignment="1">
      <alignment vertical="center"/>
    </xf>
    <xf numFmtId="166" fontId="20" fillId="0" borderId="0" xfId="0" applyNumberFormat="1" applyFont="1" applyAlignment="1">
      <alignment vertical="center"/>
    </xf>
    <xf numFmtId="166" fontId="17" fillId="0" borderId="0" xfId="0" applyNumberFormat="1" applyFont="1" applyAlignment="1">
      <alignment vertical="center"/>
    </xf>
    <xf numFmtId="4" fontId="20" fillId="6" borderId="32" xfId="0" applyNumberFormat="1" applyFont="1" applyFill="1" applyBorder="1" applyAlignment="1">
      <alignment horizontal="center" vertical="center"/>
    </xf>
    <xf numFmtId="4" fontId="20" fillId="6" borderId="13" xfId="0" applyNumberFormat="1" applyFont="1" applyFill="1" applyBorder="1" applyAlignment="1">
      <alignment horizontal="center" vertical="center"/>
    </xf>
    <xf numFmtId="10" fontId="17" fillId="0" borderId="0" xfId="0" applyNumberFormat="1" applyFont="1" applyAlignment="1">
      <alignment horizontal="center" vertical="center"/>
    </xf>
    <xf numFmtId="0" fontId="20" fillId="0" borderId="0" xfId="0" applyFont="1" applyAlignment="1">
      <alignment horizontal="center" vertical="center" wrapText="1"/>
    </xf>
    <xf numFmtId="0" fontId="20" fillId="6" borderId="2" xfId="0" applyFont="1" applyFill="1" applyBorder="1" applyAlignment="1">
      <alignment horizontal="center" vertical="center"/>
    </xf>
    <xf numFmtId="0" fontId="20" fillId="6" borderId="3" xfId="0" applyFont="1" applyFill="1" applyBorder="1" applyAlignment="1">
      <alignment horizontal="center" vertical="center"/>
    </xf>
    <xf numFmtId="0" fontId="20" fillId="6" borderId="16" xfId="0" applyFont="1" applyFill="1" applyBorder="1" applyAlignment="1">
      <alignment horizontal="center" vertical="center" wrapText="1"/>
    </xf>
    <xf numFmtId="0" fontId="20" fillId="6" borderId="22" xfId="0" applyFont="1" applyFill="1" applyBorder="1" applyAlignment="1">
      <alignment horizontal="center" vertical="center" wrapText="1"/>
    </xf>
    <xf numFmtId="4" fontId="20" fillId="6" borderId="2" xfId="0" applyNumberFormat="1" applyFont="1" applyFill="1" applyBorder="1" applyAlignment="1">
      <alignment horizontal="center" vertical="center"/>
    </xf>
    <xf numFmtId="4" fontId="20" fillId="6" borderId="3" xfId="0" applyNumberFormat="1" applyFont="1" applyFill="1" applyBorder="1" applyAlignment="1">
      <alignment horizontal="center" vertical="center"/>
    </xf>
    <xf numFmtId="166" fontId="20" fillId="6" borderId="2" xfId="0" applyNumberFormat="1" applyFont="1" applyFill="1" applyBorder="1" applyAlignment="1">
      <alignment horizontal="center" vertical="center"/>
    </xf>
    <xf numFmtId="166" fontId="20" fillId="6" borderId="3" xfId="0" applyNumberFormat="1" applyFont="1" applyFill="1" applyBorder="1" applyAlignment="1">
      <alignment horizontal="center" vertical="center"/>
    </xf>
    <xf numFmtId="166" fontId="20" fillId="6" borderId="15" xfId="0" applyNumberFormat="1" applyFont="1" applyFill="1" applyBorder="1" applyAlignment="1">
      <alignment horizontal="center" vertical="center"/>
    </xf>
    <xf numFmtId="166" fontId="20" fillId="6" borderId="21" xfId="0" applyNumberFormat="1" applyFont="1" applyFill="1" applyBorder="1" applyAlignment="1">
      <alignment horizontal="center" vertical="center"/>
    </xf>
    <xf numFmtId="4" fontId="20" fillId="6" borderId="10" xfId="0" applyNumberFormat="1" applyFont="1" applyFill="1" applyBorder="1" applyAlignment="1">
      <alignment horizontal="center" vertical="center"/>
    </xf>
    <xf numFmtId="4" fontId="20" fillId="6" borderId="5" xfId="0" applyNumberFormat="1" applyFont="1" applyFill="1" applyBorder="1" applyAlignment="1">
      <alignment horizontal="center" vertical="center"/>
    </xf>
    <xf numFmtId="4" fontId="20" fillId="6" borderId="34" xfId="0" applyNumberFormat="1" applyFont="1" applyFill="1" applyBorder="1" applyAlignment="1">
      <alignment horizontal="center" vertical="center"/>
    </xf>
    <xf numFmtId="4" fontId="20" fillId="5" borderId="32" xfId="0" applyNumberFormat="1" applyFont="1" applyFill="1" applyBorder="1" applyAlignment="1">
      <alignment horizontal="center" vertical="center"/>
    </xf>
    <xf numFmtId="167" fontId="20" fillId="6" borderId="17" xfId="0" applyNumberFormat="1" applyFont="1" applyFill="1" applyBorder="1" applyAlignment="1">
      <alignment horizontal="center" vertical="center"/>
    </xf>
    <xf numFmtId="167" fontId="20" fillId="6" borderId="2" xfId="0" applyNumberFormat="1" applyFont="1" applyFill="1" applyBorder="1" applyAlignment="1">
      <alignment horizontal="center" vertical="center"/>
    </xf>
    <xf numFmtId="167" fontId="20" fillId="6" borderId="23" xfId="0" applyNumberFormat="1" applyFont="1" applyFill="1" applyBorder="1" applyAlignment="1">
      <alignment horizontal="center" vertical="center"/>
    </xf>
    <xf numFmtId="167" fontId="20" fillId="6" borderId="3" xfId="0" applyNumberFormat="1" applyFont="1" applyFill="1" applyBorder="1" applyAlignment="1">
      <alignment horizontal="center" vertical="center"/>
    </xf>
    <xf numFmtId="4" fontId="20" fillId="6" borderId="33" xfId="0" applyNumberFormat="1" applyFont="1" applyFill="1" applyBorder="1" applyAlignment="1">
      <alignment horizontal="center" vertical="center"/>
    </xf>
    <xf numFmtId="8" fontId="20" fillId="6" borderId="2" xfId="0" applyNumberFormat="1" applyFont="1" applyFill="1" applyBorder="1" applyAlignment="1">
      <alignment horizontal="center" vertical="center"/>
    </xf>
    <xf numFmtId="8" fontId="20" fillId="6" borderId="3" xfId="0" applyNumberFormat="1" applyFont="1" applyFill="1" applyBorder="1" applyAlignment="1">
      <alignment horizontal="center" vertical="center"/>
    </xf>
    <xf numFmtId="8" fontId="20" fillId="6" borderId="15" xfId="0" applyNumberFormat="1" applyFont="1" applyFill="1" applyBorder="1" applyAlignment="1">
      <alignment horizontal="center" vertical="center"/>
    </xf>
    <xf numFmtId="8" fontId="20" fillId="6" borderId="21" xfId="0" applyNumberFormat="1" applyFont="1" applyFill="1" applyBorder="1" applyAlignment="1">
      <alignment horizontal="center" vertical="center"/>
    </xf>
    <xf numFmtId="4" fontId="20" fillId="6" borderId="12" xfId="0" applyNumberFormat="1" applyFont="1" applyFill="1" applyBorder="1" applyAlignment="1">
      <alignment horizontal="center" vertical="center"/>
    </xf>
  </cellXfs>
  <cellStyles count="38">
    <cellStyle name="BodyStyle" xfId="16" xr:uid="{00000000-0005-0000-0000-000000000000}"/>
    <cellStyle name="com formula" xfId="17" xr:uid="{00000000-0005-0000-0000-000001000000}"/>
    <cellStyle name="Comma_ACABAMEN" xfId="31" xr:uid="{00000000-0005-0000-0000-000002000000}"/>
    <cellStyle name="Estilo 1" xfId="1" xr:uid="{00000000-0005-0000-0000-000003000000}"/>
    <cellStyle name="Estilo 1 2" xfId="18" xr:uid="{00000000-0005-0000-0000-000004000000}"/>
    <cellStyle name="Euro" xfId="2" xr:uid="{00000000-0005-0000-0000-000005000000}"/>
    <cellStyle name="Euro 2" xfId="32" xr:uid="{00000000-0005-0000-0000-000006000000}"/>
    <cellStyle name="Excel Built-in Normal" xfId="3" xr:uid="{00000000-0005-0000-0000-000007000000}"/>
    <cellStyle name="Moeda 2" xfId="4" xr:uid="{00000000-0005-0000-0000-000008000000}"/>
    <cellStyle name="Moeda 2 2" xfId="19" xr:uid="{00000000-0005-0000-0000-000009000000}"/>
    <cellStyle name="Moeda 2 2 2" xfId="29" xr:uid="{00000000-0005-0000-0000-00000A000000}"/>
    <cellStyle name="Normal" xfId="0" builtinId="0"/>
    <cellStyle name="Normal 10" xfId="30" xr:uid="{00000000-0005-0000-0000-00000C000000}"/>
    <cellStyle name="Normal 2" xfId="5" xr:uid="{00000000-0005-0000-0000-00000D000000}"/>
    <cellStyle name="Normal 2 2" xfId="21" xr:uid="{00000000-0005-0000-0000-00000E000000}"/>
    <cellStyle name="Normal 2 3" xfId="20" xr:uid="{00000000-0005-0000-0000-00000F000000}"/>
    <cellStyle name="Normal 2 8" xfId="22" xr:uid="{00000000-0005-0000-0000-000010000000}"/>
    <cellStyle name="Normal 2 9" xfId="23" xr:uid="{00000000-0005-0000-0000-000011000000}"/>
    <cellStyle name="Normal 3" xfId="6" xr:uid="{00000000-0005-0000-0000-000012000000}"/>
    <cellStyle name="Normal 3 2" xfId="24" xr:uid="{00000000-0005-0000-0000-000013000000}"/>
    <cellStyle name="Normal 3 2 2" xfId="34" xr:uid="{00000000-0005-0000-0000-000014000000}"/>
    <cellStyle name="Normal 3 3" xfId="28" xr:uid="{00000000-0005-0000-0000-000015000000}"/>
    <cellStyle name="Normal 3 4" xfId="33" xr:uid="{00000000-0005-0000-0000-000016000000}"/>
    <cellStyle name="Normal 4" xfId="7" xr:uid="{00000000-0005-0000-0000-000017000000}"/>
    <cellStyle name="Normal 4 2" xfId="25" xr:uid="{00000000-0005-0000-0000-000018000000}"/>
    <cellStyle name="Normal 4 2 2" xfId="35" xr:uid="{00000000-0005-0000-0000-000019000000}"/>
    <cellStyle name="Normal 5" xfId="8" xr:uid="{00000000-0005-0000-0000-00001A000000}"/>
    <cellStyle name="Normal 6" xfId="9" xr:uid="{00000000-0005-0000-0000-00001B000000}"/>
    <cellStyle name="Normal 7" xfId="10" xr:uid="{00000000-0005-0000-0000-00001C000000}"/>
    <cellStyle name="Normal 8" xfId="11" xr:uid="{00000000-0005-0000-0000-00001D000000}"/>
    <cellStyle name="Normal 8 2" xfId="36" xr:uid="{00000000-0005-0000-0000-00001E000000}"/>
    <cellStyle name="Normal 9" xfId="27" xr:uid="{00000000-0005-0000-0000-00001F000000}"/>
    <cellStyle name="Numeric" xfId="26" xr:uid="{00000000-0005-0000-0000-000020000000}"/>
    <cellStyle name="Percentagem" xfId="37" builtinId="5"/>
    <cellStyle name="Percentagem 2" xfId="12" xr:uid="{00000000-0005-0000-0000-000022000000}"/>
    <cellStyle name="Percentagem 3" xfId="13" xr:uid="{00000000-0005-0000-0000-000023000000}"/>
    <cellStyle name="Simbolo" xfId="14" xr:uid="{00000000-0005-0000-0000-000024000000}"/>
    <cellStyle name="STYLE1" xfId="15" xr:uid="{00000000-0005-0000-0000-000025000000}"/>
  </cellStyles>
  <dxfs count="0"/>
  <tableStyles count="1" defaultTableStyle="TableStyleMedium2" defaultPivotStyle="PivotStyleLight16">
    <tableStyle name="Invisible" pivot="0" table="0" count="0" xr9:uid="{79EB36DB-8E07-474F-B30F-648A7B0D3238}"/>
  </tableStyles>
  <colors>
    <mruColors>
      <color rgb="FFFFFF99"/>
      <color rgb="FFFFFFCC"/>
      <color rgb="FF6038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6788-2DDB-44FD-B1EB-B388FA279A86}">
  <sheetPr>
    <tabColor theme="6" tint="0.39997558519241921"/>
    <outlinePr summaryBelow="0"/>
    <pageSetUpPr fitToPage="1"/>
  </sheetPr>
  <dimension ref="A1:AA807"/>
  <sheetViews>
    <sheetView showGridLines="0" tabSelected="1" zoomScaleNormal="100" zoomScaleSheetLayoutView="100" workbookViewId="0">
      <selection activeCell="H6" sqref="H6"/>
    </sheetView>
  </sheetViews>
  <sheetFormatPr defaultColWidth="0" defaultRowHeight="11.25" outlineLevelRow="2"/>
  <cols>
    <col min="1" max="1" width="2.7109375" style="3" customWidth="1"/>
    <col min="2" max="2" width="4.5703125" style="4" customWidth="1"/>
    <col min="3" max="3" width="30.5703125" style="2" customWidth="1"/>
    <col min="4" max="4" width="6.5703125" style="1" customWidth="1"/>
    <col min="5" max="5" width="8.5703125" style="117" customWidth="1"/>
    <col min="6" max="6" width="10.85546875" style="120" bestFit="1" customWidth="1"/>
    <col min="7" max="7" width="6.5703125" style="1" customWidth="1"/>
    <col min="8" max="8" width="10" style="120" customWidth="1"/>
    <col min="9" max="9" width="2.7109375" style="3" customWidth="1"/>
    <col min="10" max="10" width="10" style="3" hidden="1" customWidth="1"/>
    <col min="11" max="11" width="6.5703125" style="3" hidden="1" customWidth="1"/>
    <col min="12" max="12" width="10" style="3" hidden="1" customWidth="1"/>
    <col min="13" max="13" width="6.5703125" style="3" hidden="1" customWidth="1"/>
    <col min="14" max="14" width="10" style="3" hidden="1" customWidth="1"/>
    <col min="15" max="15" width="6.5703125" style="3" hidden="1" customWidth="1"/>
    <col min="16" max="16" width="10" style="3" hidden="1" customWidth="1"/>
    <col min="17" max="17" width="6.5703125" style="3" hidden="1" customWidth="1"/>
    <col min="18" max="18" width="10" style="3" hidden="1" customWidth="1"/>
    <col min="19" max="19" width="6.5703125" style="3" hidden="1" customWidth="1"/>
    <col min="20" max="20" width="10" style="3" hidden="1" customWidth="1"/>
    <col min="21" max="21" width="6.5703125" style="3" hidden="1" customWidth="1"/>
    <col min="22" max="22" width="10" style="3" hidden="1" customWidth="1"/>
    <col min="23" max="23" width="6.5703125" style="3" hidden="1" customWidth="1"/>
    <col min="24" max="24" width="10" style="3" hidden="1" customWidth="1"/>
    <col min="25" max="26" width="0" style="3" hidden="1" customWidth="1"/>
    <col min="27" max="27" width="6.5703125" style="3" hidden="1" customWidth="1"/>
    <col min="28" max="16384" width="20.5703125" style="3" hidden="1"/>
  </cols>
  <sheetData>
    <row r="1" spans="2:8" s="7" customFormat="1" ht="9.9499999999999993" customHeight="1">
      <c r="B1" s="231"/>
      <c r="C1" s="231"/>
      <c r="D1" s="20"/>
      <c r="E1" s="99"/>
      <c r="F1" s="20"/>
      <c r="G1" s="22"/>
      <c r="H1" s="228"/>
    </row>
    <row r="2" spans="2:8" ht="39.75" customHeight="1">
      <c r="B2" s="11" t="e" vm="1">
        <v>#VALUE!</v>
      </c>
      <c r="C2" s="232" t="s">
        <v>688</v>
      </c>
      <c r="D2" s="232"/>
      <c r="E2" s="232"/>
      <c r="F2" s="232"/>
      <c r="G2" s="232"/>
      <c r="H2" s="232"/>
    </row>
    <row r="3" spans="2:8" ht="15" customHeight="1">
      <c r="B3" s="8"/>
      <c r="C3" s="9"/>
      <c r="D3" s="10"/>
      <c r="E3" s="100"/>
      <c r="F3" s="101"/>
      <c r="G3" s="10"/>
      <c r="H3" s="101"/>
    </row>
    <row r="4" spans="2:8" s="6" customFormat="1" ht="18" customHeight="1">
      <c r="B4" s="233" t="s">
        <v>733</v>
      </c>
      <c r="C4" s="235" t="s">
        <v>0</v>
      </c>
      <c r="D4" s="237" t="s">
        <v>282</v>
      </c>
      <c r="E4" s="239" t="s">
        <v>264</v>
      </c>
      <c r="F4" s="241" t="s">
        <v>265</v>
      </c>
      <c r="G4" s="229" t="s">
        <v>985</v>
      </c>
      <c r="H4" s="230"/>
    </row>
    <row r="5" spans="2:8" s="5" customFormat="1" ht="18" customHeight="1">
      <c r="B5" s="234"/>
      <c r="C5" s="236"/>
      <c r="D5" s="238"/>
      <c r="E5" s="240"/>
      <c r="F5" s="242"/>
      <c r="G5" s="103" t="s">
        <v>282</v>
      </c>
      <c r="H5" s="102" t="s">
        <v>265</v>
      </c>
    </row>
    <row r="6" spans="2:8" s="5" customFormat="1" ht="18" customHeight="1">
      <c r="B6" s="17" t="s">
        <v>689</v>
      </c>
      <c r="C6" s="24" t="s">
        <v>557</v>
      </c>
      <c r="D6" s="16"/>
      <c r="E6" s="104"/>
      <c r="F6" s="105">
        <f>+SUM(F7,F18,F235,F245,F371,F569,F621,F697)</f>
        <v>1105518.4800399998</v>
      </c>
      <c r="G6" s="193"/>
      <c r="H6" s="106">
        <f>+SUM(H7,H18,H235,H245,H371,H569,H621,H697)</f>
        <v>22837.370818999974</v>
      </c>
    </row>
    <row r="7" spans="2:8" s="6" customFormat="1" ht="18" customHeight="1">
      <c r="B7" s="15" t="s">
        <v>3</v>
      </c>
      <c r="C7" s="25" t="s">
        <v>281</v>
      </c>
      <c r="D7" s="18"/>
      <c r="E7" s="107"/>
      <c r="F7" s="108">
        <f>+SUM(F8,F12,F16)</f>
        <v>141507.4</v>
      </c>
      <c r="G7" s="170"/>
      <c r="H7" s="109">
        <f>+SUM(H8,H12,H16)</f>
        <v>10668.329539999973</v>
      </c>
    </row>
    <row r="8" spans="2:8" s="110" customFormat="1" ht="18" customHeight="1" outlineLevel="1">
      <c r="B8" s="111" t="s">
        <v>7</v>
      </c>
      <c r="C8" s="112" t="s">
        <v>525</v>
      </c>
      <c r="D8" s="113"/>
      <c r="E8" s="114"/>
      <c r="F8" s="115">
        <f>+SUM(F9:F11)</f>
        <v>90509.33</v>
      </c>
      <c r="G8" s="175"/>
      <c r="H8" s="116">
        <f>+SUM(H9:H11)</f>
        <v>9050.9329999999882</v>
      </c>
    </row>
    <row r="9" spans="2:8" ht="135" outlineLevel="2">
      <c r="B9" s="19"/>
      <c r="C9" s="26" t="s">
        <v>846</v>
      </c>
      <c r="D9" s="1">
        <v>1</v>
      </c>
      <c r="E9" s="117">
        <v>88020.33</v>
      </c>
      <c r="F9" s="118">
        <f>+D9*E9</f>
        <v>88020.33</v>
      </c>
      <c r="G9" s="167">
        <v>9.9999999999999867E-2</v>
      </c>
      <c r="H9" s="120">
        <f>+IF(OR($E9="",G9=""),"",$E9*G9)</f>
        <v>8802.0329999999885</v>
      </c>
    </row>
    <row r="10" spans="2:8" ht="33.75" outlineLevel="2">
      <c r="C10" s="27" t="s">
        <v>527</v>
      </c>
      <c r="D10" s="1">
        <v>1</v>
      </c>
      <c r="E10" s="117">
        <v>1310</v>
      </c>
      <c r="F10" s="118">
        <f>+D10*E10</f>
        <v>1310</v>
      </c>
      <c r="G10" s="168">
        <v>9.9999999999999867E-2</v>
      </c>
      <c r="H10" s="120">
        <f t="shared" ref="H10" si="0">+IF(OR($E10="",G10=""),"",$E10*G10)</f>
        <v>130.99999999999983</v>
      </c>
    </row>
    <row r="11" spans="2:8" ht="56.25" outlineLevel="2">
      <c r="C11" s="27" t="s">
        <v>575</v>
      </c>
      <c r="D11" s="1">
        <v>1</v>
      </c>
      <c r="E11" s="117">
        <v>1179</v>
      </c>
      <c r="F11" s="118">
        <f>+D11*E11</f>
        <v>1179</v>
      </c>
      <c r="G11" s="168">
        <v>9.9999999999999867E-2</v>
      </c>
      <c r="H11" s="120">
        <f t="shared" ref="H11" si="1">+IF(OR($E11="",G11=""),"",$E11*G11)</f>
        <v>117.89999999999985</v>
      </c>
    </row>
    <row r="12" spans="2:8" s="110" customFormat="1" ht="18" customHeight="1" outlineLevel="1">
      <c r="B12" s="121" t="s">
        <v>10</v>
      </c>
      <c r="C12" s="122" t="s">
        <v>273</v>
      </c>
      <c r="D12" s="123"/>
      <c r="E12" s="124"/>
      <c r="F12" s="125">
        <f>+SUM(F13:F15)</f>
        <v>8148.07</v>
      </c>
      <c r="G12" s="169"/>
      <c r="H12" s="126">
        <f>+SUM(H13:H15)</f>
        <v>1617.3965399999845</v>
      </c>
    </row>
    <row r="13" spans="2:8" ht="67.5" outlineLevel="2">
      <c r="C13" s="27" t="s">
        <v>576</v>
      </c>
      <c r="D13" s="1">
        <v>1</v>
      </c>
      <c r="F13" s="118"/>
      <c r="G13" s="168"/>
    </row>
    <row r="14" spans="2:8" ht="90" outlineLevel="2">
      <c r="C14" s="27" t="s">
        <v>526</v>
      </c>
      <c r="D14" s="1">
        <v>1</v>
      </c>
      <c r="E14" s="117">
        <v>7285.57</v>
      </c>
      <c r="F14" s="118">
        <f>+D14*E14</f>
        <v>7285.57</v>
      </c>
      <c r="G14" s="168">
        <v>0.22199999999999787</v>
      </c>
      <c r="H14" s="120">
        <f t="shared" ref="H14" si="2">+IF(OR($E14="",G14=""),"",$E14*G14)</f>
        <v>1617.3965399999845</v>
      </c>
    </row>
    <row r="15" spans="2:8" ht="33.75" outlineLevel="2">
      <c r="C15" s="27" t="s">
        <v>283</v>
      </c>
      <c r="D15" s="1">
        <v>1</v>
      </c>
      <c r="E15" s="117">
        <v>862.5</v>
      </c>
      <c r="F15" s="118">
        <f>+D15*E15</f>
        <v>862.5</v>
      </c>
      <c r="G15" s="168"/>
      <c r="H15" s="120" t="str">
        <f t="shared" ref="H15" si="3">+IF(OR($E15="",G15=""),"",$E15*G15)</f>
        <v/>
      </c>
    </row>
    <row r="16" spans="2:8" s="110" customFormat="1" ht="18" customHeight="1" outlineLevel="1">
      <c r="B16" s="121" t="s">
        <v>11</v>
      </c>
      <c r="C16" s="122" t="s">
        <v>2</v>
      </c>
      <c r="D16" s="123"/>
      <c r="E16" s="124"/>
      <c r="F16" s="125">
        <f>+SUM(F17:F17)</f>
        <v>42850</v>
      </c>
      <c r="G16" s="169"/>
      <c r="H16" s="126">
        <f>+SUM(H17:H17)</f>
        <v>0</v>
      </c>
    </row>
    <row r="17" spans="2:8" ht="180" outlineLevel="2">
      <c r="C17" s="27" t="s">
        <v>569</v>
      </c>
      <c r="D17" s="1">
        <v>1</v>
      </c>
      <c r="E17" s="117">
        <v>42850</v>
      </c>
      <c r="F17" s="118">
        <f>+D17*E17</f>
        <v>42850</v>
      </c>
      <c r="G17" s="168"/>
      <c r="H17" s="120" t="str">
        <f>+IF(OR($E17="",G17=""),"",$E17*G17)</f>
        <v/>
      </c>
    </row>
    <row r="18" spans="2:8" s="6" customFormat="1" ht="18" customHeight="1">
      <c r="B18" s="15" t="s">
        <v>4</v>
      </c>
      <c r="C18" s="25" t="s">
        <v>518</v>
      </c>
      <c r="D18" s="18"/>
      <c r="E18" s="107"/>
      <c r="F18" s="108">
        <f>+SUM(F19,F29,F36,F41,F46,F50,F58,F71,F117,F199,F208,F219,F231)</f>
        <v>647189.61439999996</v>
      </c>
      <c r="G18" s="170"/>
      <c r="H18" s="109">
        <f>+SUM(H19,H29,H36,H41,H46,H50,H58,H71,H117,H199,H208,H219,H231)</f>
        <v>12168.953000000001</v>
      </c>
    </row>
    <row r="19" spans="2:8" s="110" customFormat="1" ht="18" customHeight="1" outlineLevel="1">
      <c r="B19" s="121" t="s">
        <v>8</v>
      </c>
      <c r="C19" s="122" t="s">
        <v>14</v>
      </c>
      <c r="D19" s="123"/>
      <c r="E19" s="124"/>
      <c r="F19" s="125">
        <f>+SUM(F20:F28)</f>
        <v>48802.37999999999</v>
      </c>
      <c r="G19" s="169"/>
      <c r="H19" s="126">
        <f>+SUM(H20:H28)</f>
        <v>0</v>
      </c>
    </row>
    <row r="20" spans="2:8" ht="180" outlineLevel="2">
      <c r="B20" s="19"/>
      <c r="C20" s="26" t="s">
        <v>570</v>
      </c>
      <c r="D20" s="1">
        <v>65</v>
      </c>
      <c r="E20" s="117">
        <v>37.200000000000003</v>
      </c>
      <c r="F20" s="118">
        <f t="shared" ref="F20:F28" si="4">+D20*E20</f>
        <v>2418</v>
      </c>
      <c r="G20" s="177"/>
      <c r="H20" s="120" t="str">
        <f t="shared" ref="H20" si="5">+IF(OR($E20="",G20=""),"",$E20*G20)</f>
        <v/>
      </c>
    </row>
    <row r="21" spans="2:8" ht="180" outlineLevel="2">
      <c r="C21" s="27" t="s">
        <v>284</v>
      </c>
      <c r="D21" s="1">
        <v>27.5</v>
      </c>
      <c r="E21" s="117">
        <v>49.2</v>
      </c>
      <c r="F21" s="118">
        <f t="shared" si="4"/>
        <v>1353</v>
      </c>
      <c r="G21" s="177"/>
      <c r="H21" s="120" t="str">
        <f t="shared" ref="H21" si="6">+IF(OR($E21="",G21=""),"",$E21*G21)</f>
        <v/>
      </c>
    </row>
    <row r="22" spans="2:8" ht="168.75" outlineLevel="2">
      <c r="C22" s="27" t="s">
        <v>577</v>
      </c>
      <c r="D22" s="1">
        <v>100.2</v>
      </c>
      <c r="E22" s="117">
        <v>40.200000000000003</v>
      </c>
      <c r="F22" s="118">
        <f t="shared" si="4"/>
        <v>4028.0400000000004</v>
      </c>
      <c r="G22" s="177"/>
      <c r="H22" s="120" t="str">
        <f t="shared" ref="H22" si="7">+IF(OR($E22="",G22=""),"",$E22*G22)</f>
        <v/>
      </c>
    </row>
    <row r="23" spans="2:8" ht="191.25" outlineLevel="2">
      <c r="C23" s="27" t="s">
        <v>578</v>
      </c>
      <c r="D23" s="1">
        <v>37</v>
      </c>
      <c r="E23" s="117">
        <v>52.2</v>
      </c>
      <c r="F23" s="118">
        <f t="shared" si="4"/>
        <v>1931.4</v>
      </c>
      <c r="G23" s="177"/>
      <c r="H23" s="120" t="str">
        <f t="shared" ref="H23" si="8">+IF(OR($E23="",G23=""),"",$E23*G23)</f>
        <v/>
      </c>
    </row>
    <row r="24" spans="2:8" ht="180" outlineLevel="2">
      <c r="C24" s="27" t="s">
        <v>528</v>
      </c>
      <c r="D24" s="1">
        <v>376</v>
      </c>
      <c r="E24" s="117">
        <v>56.4</v>
      </c>
      <c r="F24" s="118">
        <f t="shared" si="4"/>
        <v>21206.399999999998</v>
      </c>
      <c r="G24" s="177"/>
      <c r="H24" s="120" t="str">
        <f t="shared" ref="H24" si="9">+IF(OR($E24="",G24=""),"",$E24*G24)</f>
        <v/>
      </c>
    </row>
    <row r="25" spans="2:8" ht="168.75" outlineLevel="2">
      <c r="C25" s="27" t="s">
        <v>285</v>
      </c>
      <c r="D25" s="1">
        <v>9.3000000000000007</v>
      </c>
      <c r="E25" s="117">
        <v>80.400000000000006</v>
      </c>
      <c r="F25" s="118">
        <f t="shared" si="4"/>
        <v>747.72000000000014</v>
      </c>
      <c r="G25" s="177"/>
      <c r="H25" s="120" t="str">
        <f t="shared" ref="H25" si="10">+IF(OR($E25="",G25=""),"",$E25*G25)</f>
        <v/>
      </c>
    </row>
    <row r="26" spans="2:8" ht="191.25" outlineLevel="2">
      <c r="C26" s="27" t="s">
        <v>579</v>
      </c>
      <c r="D26" s="1">
        <v>123</v>
      </c>
      <c r="E26" s="117">
        <v>43.2</v>
      </c>
      <c r="F26" s="118">
        <f t="shared" si="4"/>
        <v>5313.6</v>
      </c>
      <c r="G26" s="177"/>
      <c r="H26" s="120" t="str">
        <f t="shared" ref="H26" si="11">+IF(OR($E26="",G26=""),"",$E26*G26)</f>
        <v/>
      </c>
    </row>
    <row r="27" spans="2:8" ht="202.5" outlineLevel="2">
      <c r="C27" s="27" t="s">
        <v>571</v>
      </c>
      <c r="D27" s="1">
        <v>107.3</v>
      </c>
      <c r="E27" s="117">
        <v>77.400000000000006</v>
      </c>
      <c r="F27" s="118">
        <f t="shared" si="4"/>
        <v>8305.02</v>
      </c>
      <c r="G27" s="177"/>
      <c r="H27" s="120" t="str">
        <f t="shared" ref="H27" si="12">+IF(OR($E27="",G27=""),"",$E27*G27)</f>
        <v/>
      </c>
    </row>
    <row r="28" spans="2:8" ht="202.5" outlineLevel="2">
      <c r="B28" s="127"/>
      <c r="C28" s="128" t="s">
        <v>572</v>
      </c>
      <c r="D28" s="1">
        <v>36</v>
      </c>
      <c r="E28" s="117">
        <v>97.2</v>
      </c>
      <c r="F28" s="118">
        <f t="shared" si="4"/>
        <v>3499.2000000000003</v>
      </c>
      <c r="G28" s="177"/>
      <c r="H28" s="120" t="str">
        <f t="shared" ref="H28" si="13">+IF(OR($E28="",G28=""),"",$E28*G28)</f>
        <v/>
      </c>
    </row>
    <row r="29" spans="2:8" s="110" customFormat="1" ht="18" customHeight="1" outlineLevel="1">
      <c r="B29" s="121" t="s">
        <v>37</v>
      </c>
      <c r="C29" s="122" t="s">
        <v>266</v>
      </c>
      <c r="D29" s="123"/>
      <c r="E29" s="124"/>
      <c r="F29" s="125">
        <f>+SUM(F30:F35)</f>
        <v>6467.7150000000001</v>
      </c>
      <c r="G29" s="169"/>
      <c r="H29" s="126">
        <f>+SUM(H30:H35)</f>
        <v>518.70000000000005</v>
      </c>
    </row>
    <row r="30" spans="2:8" ht="45" outlineLevel="2">
      <c r="B30" s="19"/>
      <c r="C30" s="26" t="s">
        <v>580</v>
      </c>
      <c r="F30" s="118"/>
      <c r="G30" s="168"/>
    </row>
    <row r="31" spans="2:8" ht="33.75" outlineLevel="2">
      <c r="C31" s="27" t="s">
        <v>522</v>
      </c>
      <c r="D31" s="1">
        <v>87</v>
      </c>
      <c r="E31" s="117">
        <v>20.350000000000001</v>
      </c>
      <c r="F31" s="118">
        <f>+D31*E31</f>
        <v>1770.45</v>
      </c>
      <c r="G31" s="177"/>
      <c r="H31" s="120" t="str">
        <f t="shared" ref="H31" si="14">+IF(OR($E31="",G31=""),"",$E31*G31)</f>
        <v/>
      </c>
    </row>
    <row r="32" spans="2:8" ht="33.75" outlineLevel="2">
      <c r="C32" s="27" t="s">
        <v>558</v>
      </c>
      <c r="D32" s="1">
        <v>90.9</v>
      </c>
      <c r="E32" s="117">
        <v>20.350000000000001</v>
      </c>
      <c r="F32" s="118">
        <f>+D32*E32</f>
        <v>1849.8150000000003</v>
      </c>
      <c r="G32" s="177"/>
      <c r="H32" s="120" t="str">
        <f t="shared" ref="H32" si="15">+IF(OR($E32="",G32=""),"",$E32*G32)</f>
        <v/>
      </c>
    </row>
    <row r="33" spans="2:8" ht="45" outlineLevel="2">
      <c r="C33" s="27" t="s">
        <v>581</v>
      </c>
      <c r="D33" s="1">
        <v>21</v>
      </c>
      <c r="E33" s="117">
        <v>86.45</v>
      </c>
      <c r="F33" s="118">
        <f>+D33*E33</f>
        <v>1815.45</v>
      </c>
      <c r="G33" s="168">
        <v>6</v>
      </c>
      <c r="H33" s="120">
        <f t="shared" ref="H33" si="16">+IF(OR($E33="",G33=""),"",$E33*G33)</f>
        <v>518.70000000000005</v>
      </c>
    </row>
    <row r="34" spans="2:8" ht="45" outlineLevel="2">
      <c r="C34" s="27" t="s">
        <v>531</v>
      </c>
      <c r="D34" s="1">
        <v>15</v>
      </c>
      <c r="E34" s="117">
        <v>68.8</v>
      </c>
      <c r="F34" s="118">
        <f>+D34*E34</f>
        <v>1032</v>
      </c>
      <c r="G34" s="168"/>
      <c r="H34" s="120" t="str">
        <f t="shared" ref="H34" si="17">+IF(OR($E34="",G34=""),"",$E34*G34)</f>
        <v/>
      </c>
    </row>
    <row r="35" spans="2:8" ht="123.75" outlineLevel="2">
      <c r="B35" s="127"/>
      <c r="C35" s="128" t="s">
        <v>582</v>
      </c>
      <c r="D35" s="1">
        <v>120</v>
      </c>
      <c r="F35" s="118"/>
      <c r="G35" s="168"/>
    </row>
    <row r="36" spans="2:8" s="110" customFormat="1" ht="18" customHeight="1" outlineLevel="1">
      <c r="B36" s="121" t="s">
        <v>38</v>
      </c>
      <c r="C36" s="122" t="s">
        <v>18</v>
      </c>
      <c r="D36" s="123"/>
      <c r="E36" s="124"/>
      <c r="F36" s="125">
        <f>+SUM(F37:F40)</f>
        <v>12487.530999999999</v>
      </c>
      <c r="G36" s="169"/>
      <c r="H36" s="126">
        <f>+SUM(H37:H40)</f>
        <v>0</v>
      </c>
    </row>
    <row r="37" spans="2:8" ht="101.25" outlineLevel="2">
      <c r="B37" s="19"/>
      <c r="C37" s="26" t="s">
        <v>583</v>
      </c>
      <c r="D37" s="1">
        <v>150</v>
      </c>
      <c r="E37" s="117">
        <v>37.549999999999997</v>
      </c>
      <c r="F37" s="118">
        <f>+D37*E37</f>
        <v>5632.5</v>
      </c>
      <c r="G37" s="168"/>
      <c r="H37" s="120" t="str">
        <f t="shared" ref="H37" si="18">+IF(OR($E37="",G37=""),"",$E37*G37)</f>
        <v/>
      </c>
    </row>
    <row r="38" spans="2:8" ht="101.25" outlineLevel="2">
      <c r="C38" s="27" t="s">
        <v>584</v>
      </c>
      <c r="D38" s="1">
        <v>19.3</v>
      </c>
      <c r="E38" s="117">
        <v>65.22</v>
      </c>
      <c r="F38" s="118">
        <f>+D38*E38</f>
        <v>1258.7460000000001</v>
      </c>
      <c r="G38" s="168"/>
      <c r="H38" s="120" t="str">
        <f t="shared" ref="H38" si="19">+IF(OR($E38="",G38=""),"",$E38*G38)</f>
        <v/>
      </c>
    </row>
    <row r="39" spans="2:8" ht="90" outlineLevel="2">
      <c r="C39" s="27" t="s">
        <v>585</v>
      </c>
      <c r="D39" s="1">
        <v>60.5</v>
      </c>
      <c r="E39" s="117">
        <v>56.49</v>
      </c>
      <c r="F39" s="118">
        <f>+D39*E39</f>
        <v>3417.645</v>
      </c>
      <c r="G39" s="168"/>
      <c r="H39" s="120" t="str">
        <f t="shared" ref="H39" si="20">+IF(OR($E39="",G39=""),"",$E39*G39)</f>
        <v/>
      </c>
    </row>
    <row r="40" spans="2:8" ht="78.75" outlineLevel="2">
      <c r="B40" s="127"/>
      <c r="C40" s="128" t="s">
        <v>523</v>
      </c>
      <c r="D40" s="1">
        <v>48.2</v>
      </c>
      <c r="E40" s="117">
        <v>45.2</v>
      </c>
      <c r="F40" s="118">
        <f>+D40*E40</f>
        <v>2178.6400000000003</v>
      </c>
      <c r="G40" s="168"/>
      <c r="H40" s="120" t="str">
        <f t="shared" ref="H40" si="21">+IF(OR($E40="",G40=""),"",$E40*G40)</f>
        <v/>
      </c>
    </row>
    <row r="41" spans="2:8" s="110" customFormat="1" ht="18" customHeight="1" outlineLevel="1">
      <c r="B41" s="121" t="s">
        <v>39</v>
      </c>
      <c r="C41" s="122" t="s">
        <v>267</v>
      </c>
      <c r="D41" s="123"/>
      <c r="E41" s="124"/>
      <c r="F41" s="125">
        <f>+SUM(F42:F45)</f>
        <v>16626.962499999998</v>
      </c>
      <c r="G41" s="169"/>
      <c r="H41" s="126">
        <f>+SUM(H42:H45)</f>
        <v>0</v>
      </c>
    </row>
    <row r="42" spans="2:8" ht="112.5" outlineLevel="2">
      <c r="B42" s="19"/>
      <c r="C42" s="26" t="s">
        <v>493</v>
      </c>
      <c r="D42" s="1">
        <v>85</v>
      </c>
      <c r="E42" s="117">
        <v>189.13</v>
      </c>
      <c r="F42" s="118">
        <f>+D42*E42</f>
        <v>16076.05</v>
      </c>
      <c r="G42" s="212"/>
      <c r="H42" s="120" t="str">
        <f t="shared" ref="H42" si="22">+IF(OR($E42="",G42=""),"",$E42*G42)</f>
        <v/>
      </c>
    </row>
    <row r="43" spans="2:8" ht="112.5" outlineLevel="2">
      <c r="C43" s="27" t="s">
        <v>573</v>
      </c>
      <c r="F43" s="118"/>
      <c r="G43" s="168"/>
    </row>
    <row r="44" spans="2:8" ht="202.5" outlineLevel="2">
      <c r="C44" s="27" t="s">
        <v>574</v>
      </c>
      <c r="F44" s="118"/>
      <c r="G44" s="168"/>
    </row>
    <row r="45" spans="2:8" ht="67.5" outlineLevel="2">
      <c r="B45" s="127"/>
      <c r="C45" s="128" t="s">
        <v>586</v>
      </c>
      <c r="D45" s="1">
        <v>2.95</v>
      </c>
      <c r="E45" s="117">
        <v>186.75</v>
      </c>
      <c r="F45" s="118">
        <f>+D45*E45</f>
        <v>550.91250000000002</v>
      </c>
      <c r="G45" s="168"/>
      <c r="H45" s="120" t="str">
        <f t="shared" ref="H45" si="23">+IF(OR($E45="",G45=""),"",$E45*G45)</f>
        <v/>
      </c>
    </row>
    <row r="46" spans="2:8" s="110" customFormat="1" ht="18" customHeight="1" outlineLevel="1">
      <c r="B46" s="121" t="s">
        <v>40</v>
      </c>
      <c r="C46" s="122" t="s">
        <v>20</v>
      </c>
      <c r="D46" s="123"/>
      <c r="E46" s="124"/>
      <c r="F46" s="125">
        <f>+SUM(F47:F49)</f>
        <v>12516.09</v>
      </c>
      <c r="G46" s="169"/>
      <c r="H46" s="126">
        <f>+SUM(H47:H49)</f>
        <v>0</v>
      </c>
    </row>
    <row r="47" spans="2:8" ht="101.25" outlineLevel="2">
      <c r="B47" s="19"/>
      <c r="C47" s="26" t="s">
        <v>587</v>
      </c>
      <c r="D47" s="129">
        <v>143</v>
      </c>
      <c r="E47" s="117">
        <v>49.66</v>
      </c>
      <c r="F47" s="118">
        <f>+D47*E47</f>
        <v>7101.3799999999992</v>
      </c>
      <c r="G47" s="212"/>
      <c r="H47" s="120" t="str">
        <f t="shared" ref="H47" si="24">+IF(OR($E47="",G47=""),"",$E47*G47)</f>
        <v/>
      </c>
    </row>
    <row r="48" spans="2:8" ht="101.25" outlineLevel="2">
      <c r="C48" s="27" t="s">
        <v>587</v>
      </c>
      <c r="F48" s="118"/>
      <c r="G48" s="168"/>
    </row>
    <row r="49" spans="2:8" ht="90" outlineLevel="2">
      <c r="B49" s="127"/>
      <c r="C49" s="128" t="s">
        <v>524</v>
      </c>
      <c r="D49" s="1">
        <v>751</v>
      </c>
      <c r="E49" s="117">
        <v>7.21</v>
      </c>
      <c r="F49" s="118">
        <f>+D49*E49</f>
        <v>5414.71</v>
      </c>
      <c r="G49" s="223"/>
      <c r="H49" s="120" t="str">
        <f t="shared" ref="H49" si="25">+IF(OR($E49="",G49=""),"",$E49*G49)</f>
        <v/>
      </c>
    </row>
    <row r="50" spans="2:8" s="110" customFormat="1" ht="18" customHeight="1" outlineLevel="1">
      <c r="B50" s="121" t="s">
        <v>41</v>
      </c>
      <c r="C50" s="122" t="s">
        <v>268</v>
      </c>
      <c r="D50" s="123"/>
      <c r="E50" s="124"/>
      <c r="F50" s="125">
        <f>+SUM(F51:F57)</f>
        <v>31441.414000000001</v>
      </c>
      <c r="G50" s="169"/>
      <c r="H50" s="126">
        <f>+SUM(H51:H57)</f>
        <v>0</v>
      </c>
    </row>
    <row r="51" spans="2:8" ht="135" outlineLevel="2">
      <c r="B51" s="19"/>
      <c r="C51" s="26" t="s">
        <v>588</v>
      </c>
      <c r="D51" s="1">
        <v>357.3</v>
      </c>
      <c r="E51" s="117">
        <v>26.4</v>
      </c>
      <c r="F51" s="118">
        <f t="shared" ref="F51:F57" si="26">+D51*E51</f>
        <v>9432.7199999999993</v>
      </c>
      <c r="G51" s="177"/>
      <c r="H51" s="120" t="str">
        <f t="shared" ref="H51" si="27">+IF(OR($E51="",G51=""),"",$E51*G51)</f>
        <v/>
      </c>
    </row>
    <row r="52" spans="2:8" ht="146.25" outlineLevel="2">
      <c r="C52" s="27" t="s">
        <v>589</v>
      </c>
      <c r="D52" s="1">
        <v>166.1</v>
      </c>
      <c r="E52" s="117">
        <v>33.6</v>
      </c>
      <c r="F52" s="118">
        <f t="shared" si="26"/>
        <v>5580.96</v>
      </c>
      <c r="G52" s="177"/>
      <c r="H52" s="120" t="str">
        <f t="shared" ref="H52" si="28">+IF(OR($E52="",G52=""),"",$E52*G52)</f>
        <v/>
      </c>
    </row>
    <row r="53" spans="2:8" ht="123.75" outlineLevel="2">
      <c r="C53" s="27" t="s">
        <v>590</v>
      </c>
      <c r="D53" s="1">
        <v>200</v>
      </c>
      <c r="E53" s="117">
        <v>37.200000000000003</v>
      </c>
      <c r="F53" s="118">
        <f t="shared" si="26"/>
        <v>7440.0000000000009</v>
      </c>
      <c r="G53" s="168"/>
      <c r="H53" s="120" t="str">
        <f t="shared" ref="H53" si="29">+IF(OR($E53="",G53=""),"",$E53*G53)</f>
        <v/>
      </c>
    </row>
    <row r="54" spans="2:8" ht="112.5" outlineLevel="2">
      <c r="C54" s="27" t="s">
        <v>260</v>
      </c>
      <c r="D54" s="1">
        <v>30.1</v>
      </c>
      <c r="E54" s="117">
        <v>33.6</v>
      </c>
      <c r="F54" s="118">
        <f t="shared" si="26"/>
        <v>1011.3600000000001</v>
      </c>
      <c r="G54" s="168"/>
      <c r="H54" s="120" t="str">
        <f t="shared" ref="H54" si="30">+IF(OR($E54="",G54=""),"",$E54*G54)</f>
        <v/>
      </c>
    </row>
    <row r="55" spans="2:8" ht="78.75" outlineLevel="2">
      <c r="C55" s="27" t="s">
        <v>591</v>
      </c>
      <c r="D55" s="1">
        <v>379.1</v>
      </c>
      <c r="E55" s="117">
        <v>9.83</v>
      </c>
      <c r="F55" s="118">
        <f t="shared" si="26"/>
        <v>3726.5530000000003</v>
      </c>
      <c r="G55" s="223"/>
      <c r="H55" s="120" t="str">
        <f t="shared" ref="H55" si="31">+IF(OR($E55="",G55=""),"",$E55*G55)</f>
        <v/>
      </c>
    </row>
    <row r="56" spans="2:8" ht="78.75" outlineLevel="2">
      <c r="C56" s="27" t="s">
        <v>592</v>
      </c>
      <c r="D56" s="1">
        <v>50.7</v>
      </c>
      <c r="E56" s="117">
        <v>9.83</v>
      </c>
      <c r="F56" s="118">
        <f t="shared" si="26"/>
        <v>498.38100000000003</v>
      </c>
      <c r="G56" s="168"/>
      <c r="H56" s="120" t="str">
        <f t="shared" ref="H56" si="32">+IF(OR($E56="",G56=""),"",$E56*G56)</f>
        <v/>
      </c>
    </row>
    <row r="57" spans="2:8" ht="90" outlineLevel="2">
      <c r="B57" s="127"/>
      <c r="C57" s="128" t="s">
        <v>593</v>
      </c>
      <c r="D57" s="1">
        <v>203</v>
      </c>
      <c r="E57" s="117">
        <v>18.48</v>
      </c>
      <c r="F57" s="118">
        <f t="shared" si="26"/>
        <v>3751.44</v>
      </c>
      <c r="G57" s="168"/>
      <c r="H57" s="120" t="str">
        <f t="shared" ref="H57" si="33">+IF(OR($E57="",G57=""),"",$E57*G57)</f>
        <v/>
      </c>
    </row>
    <row r="58" spans="2:8" s="110" customFormat="1" ht="18" customHeight="1" outlineLevel="1">
      <c r="B58" s="121" t="s">
        <v>43</v>
      </c>
      <c r="C58" s="122" t="s">
        <v>269</v>
      </c>
      <c r="D58" s="123"/>
      <c r="E58" s="124"/>
      <c r="F58" s="125">
        <f>+SUM(F59:F70)</f>
        <v>13339.05</v>
      </c>
      <c r="G58" s="169"/>
      <c r="H58" s="126">
        <f>+SUM(H59:H70)</f>
        <v>0</v>
      </c>
    </row>
    <row r="59" spans="2:8" ht="78.75" outlineLevel="2">
      <c r="B59" s="19"/>
      <c r="C59" s="26" t="s">
        <v>594</v>
      </c>
      <c r="D59" s="1">
        <v>10</v>
      </c>
      <c r="E59" s="117">
        <v>220.74</v>
      </c>
      <c r="F59" s="118">
        <f t="shared" ref="F59:F70" si="34">+D59*E59</f>
        <v>2207.4</v>
      </c>
      <c r="G59" s="212"/>
      <c r="H59" s="120" t="str">
        <f t="shared" ref="H59" si="35">+IF(OR($E59="",G59=""),"",$E59*G59)</f>
        <v/>
      </c>
    </row>
    <row r="60" spans="2:8" ht="46.5" customHeight="1" outlineLevel="2">
      <c r="C60" s="27" t="s">
        <v>259</v>
      </c>
      <c r="F60" s="118"/>
      <c r="G60" s="212"/>
    </row>
    <row r="61" spans="2:8" ht="15" customHeight="1" outlineLevel="2">
      <c r="C61" s="27" t="s">
        <v>258</v>
      </c>
      <c r="D61" s="1">
        <v>4</v>
      </c>
      <c r="E61" s="117">
        <v>218.41</v>
      </c>
      <c r="F61" s="118">
        <f t="shared" si="34"/>
        <v>873.64</v>
      </c>
      <c r="G61" s="212"/>
      <c r="H61" s="120" t="str">
        <f t="shared" ref="H61" si="36">+IF(OR($E61="",G61=""),"",$E61*G61)</f>
        <v/>
      </c>
    </row>
    <row r="62" spans="2:8" ht="15" customHeight="1" outlineLevel="2">
      <c r="C62" s="27" t="s">
        <v>257</v>
      </c>
      <c r="D62" s="1">
        <v>3</v>
      </c>
      <c r="E62" s="117">
        <v>211.61</v>
      </c>
      <c r="F62" s="118">
        <f t="shared" si="34"/>
        <v>634.83000000000004</v>
      </c>
      <c r="G62" s="212"/>
      <c r="H62" s="120" t="str">
        <f t="shared" ref="H62" si="37">+IF(OR($E62="",G62=""),"",$E62*G62)</f>
        <v/>
      </c>
    </row>
    <row r="63" spans="2:8" ht="22.5" outlineLevel="2">
      <c r="C63" s="27" t="s">
        <v>286</v>
      </c>
      <c r="D63" s="1">
        <v>4</v>
      </c>
      <c r="E63" s="117">
        <v>158.03</v>
      </c>
      <c r="F63" s="118">
        <f t="shared" si="34"/>
        <v>632.12</v>
      </c>
      <c r="G63" s="212"/>
      <c r="H63" s="120" t="str">
        <f t="shared" ref="H63" si="38">+IF(OR($E63="",G63=""),"",$E63*G63)</f>
        <v/>
      </c>
    </row>
    <row r="64" spans="2:8" ht="48" customHeight="1" outlineLevel="2">
      <c r="C64" s="27" t="s">
        <v>256</v>
      </c>
      <c r="F64" s="118"/>
      <c r="G64" s="212"/>
    </row>
    <row r="65" spans="2:8" ht="15" customHeight="1" outlineLevel="2">
      <c r="C65" s="27" t="s">
        <v>255</v>
      </c>
      <c r="D65" s="1">
        <v>14</v>
      </c>
      <c r="E65" s="117">
        <v>61.13</v>
      </c>
      <c r="F65" s="118">
        <f t="shared" si="34"/>
        <v>855.82</v>
      </c>
      <c r="G65" s="212"/>
      <c r="H65" s="120" t="str">
        <f t="shared" ref="H65" si="39">+IF(OR($E65="",G65=""),"",$E65*G65)</f>
        <v/>
      </c>
    </row>
    <row r="66" spans="2:8" ht="15" customHeight="1" outlineLevel="2">
      <c r="C66" s="27" t="s">
        <v>254</v>
      </c>
      <c r="D66" s="1">
        <v>14</v>
      </c>
      <c r="E66" s="117">
        <v>154.79</v>
      </c>
      <c r="F66" s="118">
        <f t="shared" si="34"/>
        <v>2167.06</v>
      </c>
      <c r="G66" s="212"/>
      <c r="H66" s="120" t="str">
        <f t="shared" ref="H66" si="40">+IF(OR($E66="",G66=""),"",$E66*G66)</f>
        <v/>
      </c>
    </row>
    <row r="67" spans="2:8" ht="15" customHeight="1" outlineLevel="2">
      <c r="C67" s="27" t="s">
        <v>253</v>
      </c>
      <c r="D67" s="1">
        <v>5</v>
      </c>
      <c r="E67" s="117">
        <v>162.59</v>
      </c>
      <c r="F67" s="118">
        <f t="shared" si="34"/>
        <v>812.95</v>
      </c>
      <c r="G67" s="212"/>
      <c r="H67" s="120" t="str">
        <f t="shared" ref="H67" si="41">+IF(OR($E67="",G67=""),"",$E67*G67)</f>
        <v/>
      </c>
    </row>
    <row r="68" spans="2:8" ht="15" customHeight="1" outlineLevel="2">
      <c r="C68" s="27" t="s">
        <v>252</v>
      </c>
      <c r="D68" s="1">
        <v>1</v>
      </c>
      <c r="E68" s="117">
        <v>174.1</v>
      </c>
      <c r="F68" s="118">
        <f t="shared" si="34"/>
        <v>174.1</v>
      </c>
      <c r="G68" s="212"/>
      <c r="H68" s="120" t="str">
        <f t="shared" ref="H68" si="42">+IF(OR($E68="",G68=""),"",$E68*G68)</f>
        <v/>
      </c>
    </row>
    <row r="69" spans="2:8" ht="22.5" outlineLevel="2">
      <c r="C69" s="27" t="s">
        <v>287</v>
      </c>
      <c r="D69" s="1">
        <v>2</v>
      </c>
      <c r="E69" s="117">
        <v>46.83</v>
      </c>
      <c r="F69" s="118">
        <f t="shared" si="34"/>
        <v>93.66</v>
      </c>
      <c r="G69" s="212"/>
      <c r="H69" s="120" t="str">
        <f t="shared" ref="H69" si="43">+IF(OR($E69="",G69=""),"",$E69*G69)</f>
        <v/>
      </c>
    </row>
    <row r="70" spans="2:8" ht="292.5" outlineLevel="2">
      <c r="B70" s="127"/>
      <c r="C70" s="128" t="s">
        <v>595</v>
      </c>
      <c r="D70" s="1">
        <v>1</v>
      </c>
      <c r="E70" s="117">
        <v>4887.47</v>
      </c>
      <c r="F70" s="118">
        <f t="shared" si="34"/>
        <v>4887.47</v>
      </c>
      <c r="G70" s="168"/>
      <c r="H70" s="120" t="str">
        <f t="shared" ref="H70" si="44">+IF(OR($E70="",G70=""),"",$E70*G70)</f>
        <v/>
      </c>
    </row>
    <row r="71" spans="2:8" s="110" customFormat="1" ht="18" customHeight="1" outlineLevel="1">
      <c r="B71" s="121" t="s">
        <v>44</v>
      </c>
      <c r="C71" s="122" t="s">
        <v>270</v>
      </c>
      <c r="D71" s="123"/>
      <c r="E71" s="124"/>
      <c r="F71" s="125">
        <f>+SUM(F72:F116)</f>
        <v>203798.83600000004</v>
      </c>
      <c r="G71" s="169"/>
      <c r="H71" s="126">
        <f>+SUM(H72:H116)</f>
        <v>0</v>
      </c>
    </row>
    <row r="72" spans="2:8" s="6" customFormat="1" ht="15" customHeight="1" outlineLevel="2">
      <c r="B72" s="130"/>
      <c r="C72" s="131" t="s">
        <v>555</v>
      </c>
      <c r="D72" s="132"/>
      <c r="E72" s="133"/>
      <c r="F72" s="118"/>
      <c r="G72" s="168"/>
      <c r="H72" s="120"/>
    </row>
    <row r="73" spans="2:8" s="6" customFormat="1" ht="15" customHeight="1" outlineLevel="2">
      <c r="B73" s="134"/>
      <c r="C73" s="135" t="s">
        <v>559</v>
      </c>
      <c r="D73" s="194">
        <v>1</v>
      </c>
      <c r="E73" s="133">
        <v>13199</v>
      </c>
      <c r="F73" s="136">
        <f>+SUM(F74:F95)*0.1</f>
        <v>13199</v>
      </c>
      <c r="G73" s="171"/>
      <c r="H73" s="225" t="str">
        <f t="shared" ref="H73" si="45">+IF(OR($E73="",G73=""),"",$E73*G73)</f>
        <v/>
      </c>
    </row>
    <row r="74" spans="2:8" s="6" customFormat="1" ht="15" customHeight="1" outlineLevel="2">
      <c r="B74" s="134"/>
      <c r="C74" s="135" t="s">
        <v>560</v>
      </c>
      <c r="D74" s="194">
        <v>39</v>
      </c>
      <c r="E74" s="133">
        <v>75</v>
      </c>
      <c r="F74" s="136">
        <f>+D74*E74</f>
        <v>2925</v>
      </c>
      <c r="G74" s="171"/>
      <c r="H74" s="225" t="str">
        <f t="shared" ref="H74" si="46">+IF(OR($E74="",G74=""),"",$E74*G74)</f>
        <v/>
      </c>
    </row>
    <row r="75" spans="2:8" s="6" customFormat="1" ht="22.5" outlineLevel="2">
      <c r="B75" s="134"/>
      <c r="C75" s="135" t="s">
        <v>690</v>
      </c>
      <c r="D75" s="194">
        <v>12</v>
      </c>
      <c r="E75" s="133">
        <v>325</v>
      </c>
      <c r="F75" s="136">
        <f>+D75*E75</f>
        <v>3900</v>
      </c>
      <c r="G75" s="171"/>
      <c r="H75" s="225" t="str">
        <f t="shared" ref="H75" si="47">+IF(OR($E75="",G75=""),"",$E75*G75)</f>
        <v/>
      </c>
    </row>
    <row r="76" spans="2:8" s="6" customFormat="1" ht="15" customHeight="1" outlineLevel="2">
      <c r="B76" s="134"/>
      <c r="C76" s="135" t="s">
        <v>561</v>
      </c>
      <c r="D76" s="194">
        <v>1</v>
      </c>
      <c r="E76" s="133">
        <v>17750</v>
      </c>
      <c r="F76" s="136">
        <f>+D76*E76</f>
        <v>17750</v>
      </c>
      <c r="G76" s="171"/>
      <c r="H76" s="225" t="str">
        <f t="shared" ref="H76" si="48">+IF(OR($E76="",G76=""),"",$E76*G76)</f>
        <v/>
      </c>
    </row>
    <row r="77" spans="2:8" ht="202.5" outlineLevel="2">
      <c r="C77" s="27" t="s">
        <v>596</v>
      </c>
      <c r="D77" s="129"/>
      <c r="F77" s="118"/>
      <c r="G77" s="168"/>
    </row>
    <row r="78" spans="2:8" ht="56.25" outlineLevel="2">
      <c r="C78" s="27" t="s">
        <v>289</v>
      </c>
      <c r="D78" s="129">
        <v>1</v>
      </c>
      <c r="E78" s="117">
        <v>4000</v>
      </c>
      <c r="F78" s="118">
        <f t="shared" ref="F78:F116" si="49">+D78*E78</f>
        <v>4000</v>
      </c>
      <c r="G78" s="168"/>
      <c r="H78" s="120" t="str">
        <f t="shared" ref="H78" si="50">+IF(OR($E78="",G78=""),"",$E78*G78)</f>
        <v/>
      </c>
    </row>
    <row r="79" spans="2:8" ht="56.25" outlineLevel="2">
      <c r="C79" s="27" t="s">
        <v>288</v>
      </c>
      <c r="D79" s="129">
        <v>1</v>
      </c>
      <c r="E79" s="117">
        <v>4000</v>
      </c>
      <c r="F79" s="118">
        <f t="shared" si="49"/>
        <v>4000</v>
      </c>
      <c r="G79" s="168"/>
      <c r="H79" s="120" t="str">
        <f t="shared" ref="H79" si="51">+IF(OR($E79="",G79=""),"",$E79*G79)</f>
        <v/>
      </c>
    </row>
    <row r="80" spans="2:8" ht="56.25" outlineLevel="2">
      <c r="C80" s="27" t="s">
        <v>290</v>
      </c>
      <c r="D80" s="129">
        <v>1</v>
      </c>
      <c r="E80" s="117">
        <v>4000</v>
      </c>
      <c r="F80" s="118">
        <f t="shared" si="49"/>
        <v>4000</v>
      </c>
      <c r="G80" s="168"/>
      <c r="H80" s="120" t="str">
        <f t="shared" ref="H80" si="52">+IF(OR($E80="",G80=""),"",$E80*G80)</f>
        <v/>
      </c>
    </row>
    <row r="81" spans="3:8" ht="56.25" outlineLevel="2">
      <c r="C81" s="27" t="s">
        <v>291</v>
      </c>
      <c r="D81" s="129">
        <v>3</v>
      </c>
      <c r="E81" s="117">
        <v>3900</v>
      </c>
      <c r="F81" s="118">
        <f t="shared" si="49"/>
        <v>11700</v>
      </c>
      <c r="G81" s="168"/>
      <c r="H81" s="120" t="str">
        <f t="shared" ref="H81" si="53">+IF(OR($E81="",G81=""),"",$E81*G81)</f>
        <v/>
      </c>
    </row>
    <row r="82" spans="3:8" ht="56.25" outlineLevel="2">
      <c r="C82" s="27" t="s">
        <v>292</v>
      </c>
      <c r="D82" s="129">
        <v>10</v>
      </c>
      <c r="E82" s="117">
        <v>3000</v>
      </c>
      <c r="F82" s="118">
        <f t="shared" si="49"/>
        <v>30000</v>
      </c>
      <c r="G82" s="168"/>
      <c r="H82" s="120" t="str">
        <f t="shared" ref="H82" si="54">+IF(OR($E82="",G82=""),"",$E82*G82)</f>
        <v/>
      </c>
    </row>
    <row r="83" spans="3:8" ht="56.25" outlineLevel="2">
      <c r="C83" s="27" t="s">
        <v>293</v>
      </c>
      <c r="D83" s="129">
        <v>2</v>
      </c>
      <c r="E83" s="117">
        <v>3000</v>
      </c>
      <c r="F83" s="118">
        <f t="shared" si="49"/>
        <v>6000</v>
      </c>
      <c r="G83" s="168"/>
      <c r="H83" s="120" t="str">
        <f t="shared" ref="H83" si="55">+IF(OR($E83="",G83=""),"",$E83*G83)</f>
        <v/>
      </c>
    </row>
    <row r="84" spans="3:8" ht="56.25" outlineLevel="2">
      <c r="C84" s="27" t="s">
        <v>294</v>
      </c>
      <c r="D84" s="129">
        <v>3</v>
      </c>
      <c r="E84" s="117">
        <v>2835</v>
      </c>
      <c r="F84" s="118">
        <f t="shared" si="49"/>
        <v>8505</v>
      </c>
      <c r="G84" s="168"/>
      <c r="H84" s="120" t="str">
        <f t="shared" ref="H84" si="56">+IF(OR($E84="",G84=""),"",$E84*G84)</f>
        <v/>
      </c>
    </row>
    <row r="85" spans="3:8" ht="56.25" outlineLevel="2">
      <c r="C85" s="27" t="s">
        <v>295</v>
      </c>
      <c r="D85" s="129">
        <v>3</v>
      </c>
      <c r="E85" s="117">
        <v>2835</v>
      </c>
      <c r="F85" s="118">
        <f t="shared" si="49"/>
        <v>8505</v>
      </c>
      <c r="G85" s="168"/>
      <c r="H85" s="120" t="str">
        <f t="shared" ref="H85" si="57">+IF(OR($E85="",G85=""),"",$E85*G85)</f>
        <v/>
      </c>
    </row>
    <row r="86" spans="3:8" ht="56.25" outlineLevel="2">
      <c r="C86" s="27" t="s">
        <v>296</v>
      </c>
      <c r="D86" s="129">
        <v>3</v>
      </c>
      <c r="E86" s="117">
        <v>2835</v>
      </c>
      <c r="F86" s="118">
        <f t="shared" si="49"/>
        <v>8505</v>
      </c>
      <c r="G86" s="168"/>
      <c r="H86" s="120" t="str">
        <f t="shared" ref="H86" si="58">+IF(OR($E86="",G86=""),"",$E86*G86)</f>
        <v/>
      </c>
    </row>
    <row r="87" spans="3:8" ht="56.25" outlineLevel="2">
      <c r="C87" s="27" t="s">
        <v>297</v>
      </c>
      <c r="D87" s="129">
        <v>3</v>
      </c>
      <c r="E87" s="117">
        <v>2600</v>
      </c>
      <c r="F87" s="118">
        <f t="shared" si="49"/>
        <v>7800</v>
      </c>
      <c r="G87" s="168"/>
      <c r="H87" s="120" t="str">
        <f t="shared" ref="H87" si="59">+IF(OR($E87="",G87=""),"",$E87*G87)</f>
        <v/>
      </c>
    </row>
    <row r="88" spans="3:8" ht="56.25" outlineLevel="2">
      <c r="C88" s="27" t="s">
        <v>298</v>
      </c>
      <c r="D88" s="129">
        <v>1</v>
      </c>
      <c r="E88" s="117">
        <v>1400</v>
      </c>
      <c r="F88" s="118">
        <f t="shared" si="49"/>
        <v>1400</v>
      </c>
      <c r="G88" s="168"/>
      <c r="H88" s="120" t="str">
        <f t="shared" ref="H88" si="60">+IF(OR($E88="",G88=""),"",$E88*G88)</f>
        <v/>
      </c>
    </row>
    <row r="89" spans="3:8" ht="56.25" outlineLevel="2">
      <c r="C89" s="27" t="s">
        <v>299</v>
      </c>
      <c r="D89" s="129">
        <v>1</v>
      </c>
      <c r="E89" s="117">
        <v>1300</v>
      </c>
      <c r="F89" s="118">
        <f t="shared" si="49"/>
        <v>1300</v>
      </c>
      <c r="G89" s="168"/>
      <c r="H89" s="120" t="str">
        <f t="shared" ref="H89" si="61">+IF(OR($E89="",G89=""),"",$E89*G89)</f>
        <v/>
      </c>
    </row>
    <row r="90" spans="3:8" ht="45" outlineLevel="2">
      <c r="C90" s="27" t="s">
        <v>300</v>
      </c>
      <c r="D90" s="129">
        <v>1</v>
      </c>
      <c r="E90" s="117">
        <v>2250</v>
      </c>
      <c r="F90" s="118">
        <f t="shared" si="49"/>
        <v>2250</v>
      </c>
      <c r="G90" s="168"/>
      <c r="H90" s="120" t="str">
        <f t="shared" ref="H90" si="62">+IF(OR($E90="",G90=""),"",$E90*G90)</f>
        <v/>
      </c>
    </row>
    <row r="91" spans="3:8" ht="45" outlineLevel="2">
      <c r="C91" s="27" t="s">
        <v>301</v>
      </c>
      <c r="D91" s="129">
        <v>1</v>
      </c>
      <c r="E91" s="117">
        <v>2250</v>
      </c>
      <c r="F91" s="118">
        <f t="shared" si="49"/>
        <v>2250</v>
      </c>
      <c r="G91" s="168"/>
      <c r="H91" s="120" t="str">
        <f t="shared" ref="H91" si="63">+IF(OR($E91="",G91=""),"",$E91*G91)</f>
        <v/>
      </c>
    </row>
    <row r="92" spans="3:8" ht="45" outlineLevel="2">
      <c r="C92" s="27" t="s">
        <v>302</v>
      </c>
      <c r="D92" s="129">
        <v>2</v>
      </c>
      <c r="E92" s="117">
        <v>800</v>
      </c>
      <c r="F92" s="118">
        <f t="shared" si="49"/>
        <v>1600</v>
      </c>
      <c r="G92" s="168"/>
      <c r="H92" s="120" t="str">
        <f t="shared" ref="H92" si="64">+IF(OR($E92="",G92=""),"",$E92*G92)</f>
        <v/>
      </c>
    </row>
    <row r="93" spans="3:8" ht="45" outlineLevel="2">
      <c r="C93" s="27" t="s">
        <v>303</v>
      </c>
      <c r="D93" s="129">
        <v>2</v>
      </c>
      <c r="E93" s="117">
        <v>1000</v>
      </c>
      <c r="F93" s="118">
        <f t="shared" si="49"/>
        <v>2000</v>
      </c>
      <c r="G93" s="168"/>
      <c r="H93" s="120" t="str">
        <f t="shared" ref="H93" si="65">+IF(OR($E93="",G93=""),"",$E93*G93)</f>
        <v/>
      </c>
    </row>
    <row r="94" spans="3:8" ht="45" outlineLevel="2">
      <c r="C94" s="27" t="s">
        <v>304</v>
      </c>
      <c r="D94" s="129">
        <v>2</v>
      </c>
      <c r="E94" s="117">
        <v>800</v>
      </c>
      <c r="F94" s="118">
        <f t="shared" si="49"/>
        <v>1600</v>
      </c>
      <c r="G94" s="168"/>
      <c r="H94" s="120" t="str">
        <f t="shared" ref="H94" si="66">+IF(OR($E94="",G94=""),"",$E94*G94)</f>
        <v/>
      </c>
    </row>
    <row r="95" spans="3:8" ht="45" outlineLevel="2">
      <c r="C95" s="27" t="s">
        <v>305</v>
      </c>
      <c r="D95" s="129">
        <v>2</v>
      </c>
      <c r="E95" s="117">
        <v>1000</v>
      </c>
      <c r="F95" s="118">
        <f t="shared" si="49"/>
        <v>2000</v>
      </c>
      <c r="G95" s="168"/>
      <c r="H95" s="120" t="str">
        <f t="shared" ref="H95" si="67">+IF(OR($E95="",G95=""),"",$E95*G95)</f>
        <v/>
      </c>
    </row>
    <row r="96" spans="3:8" ht="67.5" outlineLevel="2">
      <c r="C96" s="27" t="s">
        <v>562</v>
      </c>
      <c r="F96" s="118"/>
      <c r="G96" s="168"/>
    </row>
    <row r="97" spans="3:8" ht="45" outlineLevel="2">
      <c r="C97" s="27" t="s">
        <v>306</v>
      </c>
      <c r="D97" s="1">
        <v>3</v>
      </c>
      <c r="E97" s="117">
        <v>1722.34</v>
      </c>
      <c r="F97" s="118">
        <f t="shared" si="49"/>
        <v>5167.0199999999995</v>
      </c>
      <c r="G97" s="168"/>
      <c r="H97" s="120" t="str">
        <f t="shared" ref="H97" si="68">+IF(OR($E97="",G97=""),"",$E97*G97)</f>
        <v/>
      </c>
    </row>
    <row r="98" spans="3:8" ht="56.25" outlineLevel="2">
      <c r="C98" s="27" t="s">
        <v>563</v>
      </c>
      <c r="F98" s="118"/>
      <c r="G98" s="168"/>
    </row>
    <row r="99" spans="3:8" ht="45" outlineLevel="2">
      <c r="C99" s="27" t="s">
        <v>307</v>
      </c>
      <c r="D99" s="1">
        <v>4</v>
      </c>
      <c r="E99" s="117">
        <v>2971.08</v>
      </c>
      <c r="F99" s="118">
        <f t="shared" si="49"/>
        <v>11884.32</v>
      </c>
      <c r="G99" s="168"/>
      <c r="H99" s="120" t="str">
        <f t="shared" ref="H99" si="69">+IF(OR($E99="",G99=""),"",$E99*G99)</f>
        <v/>
      </c>
    </row>
    <row r="100" spans="3:8" ht="45" outlineLevel="2">
      <c r="C100" s="27" t="s">
        <v>308</v>
      </c>
      <c r="D100" s="1">
        <v>4</v>
      </c>
      <c r="E100" s="117">
        <v>2971.08</v>
      </c>
      <c r="F100" s="118">
        <f t="shared" si="49"/>
        <v>11884.32</v>
      </c>
      <c r="G100" s="168"/>
      <c r="H100" s="120" t="str">
        <f t="shared" ref="H100" si="70">+IF(OR($E100="",G100=""),"",$E100*G100)</f>
        <v/>
      </c>
    </row>
    <row r="101" spans="3:8" ht="78.75" outlineLevel="2">
      <c r="C101" s="27" t="s">
        <v>597</v>
      </c>
      <c r="F101" s="118"/>
      <c r="G101" s="168"/>
    </row>
    <row r="102" spans="3:8" ht="45" outlineLevel="2">
      <c r="C102" s="27" t="s">
        <v>309</v>
      </c>
      <c r="D102" s="1">
        <v>29.9</v>
      </c>
      <c r="E102" s="117">
        <v>75.459999999999994</v>
      </c>
      <c r="F102" s="118">
        <f t="shared" si="49"/>
        <v>2256.2539999999999</v>
      </c>
      <c r="G102" s="168"/>
      <c r="H102" s="120" t="str">
        <f t="shared" ref="H102" si="71">+IF(OR($E102="",G102=""),"",$E102*G102)</f>
        <v/>
      </c>
    </row>
    <row r="103" spans="3:8" ht="45" outlineLevel="2">
      <c r="C103" s="27" t="s">
        <v>310</v>
      </c>
      <c r="D103" s="1">
        <v>29.7</v>
      </c>
      <c r="E103" s="117">
        <v>78.599999999999994</v>
      </c>
      <c r="F103" s="118">
        <f t="shared" si="49"/>
        <v>2334.4199999999996</v>
      </c>
      <c r="G103" s="168"/>
      <c r="H103" s="120" t="str">
        <f t="shared" ref="H103" si="72">+IF(OR($E103="",G103=""),"",$E103*G103)</f>
        <v/>
      </c>
    </row>
    <row r="104" spans="3:8" ht="45" outlineLevel="2">
      <c r="C104" s="27" t="s">
        <v>311</v>
      </c>
      <c r="D104" s="1">
        <v>3.3</v>
      </c>
      <c r="E104" s="117">
        <v>688.54</v>
      </c>
      <c r="F104" s="118">
        <f t="shared" si="49"/>
        <v>2272.1819999999998</v>
      </c>
      <c r="G104" s="168"/>
      <c r="H104" s="120" t="str">
        <f t="shared" ref="H104" si="73">+IF(OR($E104="",G104=""),"",$E104*G104)</f>
        <v/>
      </c>
    </row>
    <row r="105" spans="3:8" ht="45" outlineLevel="2">
      <c r="C105" s="27" t="s">
        <v>598</v>
      </c>
      <c r="F105" s="118"/>
      <c r="G105" s="168"/>
    </row>
    <row r="106" spans="3:8" ht="29.25" customHeight="1" outlineLevel="2">
      <c r="C106" s="27" t="s">
        <v>532</v>
      </c>
      <c r="F106" s="118"/>
      <c r="G106" s="168"/>
    </row>
    <row r="107" spans="3:8" ht="29.25" customHeight="1" outlineLevel="2">
      <c r="C107" s="27" t="s">
        <v>533</v>
      </c>
      <c r="F107" s="118"/>
      <c r="G107" s="168"/>
    </row>
    <row r="108" spans="3:8" ht="29.25" customHeight="1" outlineLevel="2">
      <c r="C108" s="27" t="s">
        <v>534</v>
      </c>
      <c r="F108" s="118"/>
      <c r="G108" s="168"/>
    </row>
    <row r="109" spans="3:8" ht="29.25" customHeight="1" outlineLevel="2">
      <c r="C109" s="27" t="s">
        <v>535</v>
      </c>
      <c r="F109" s="118"/>
      <c r="G109" s="168"/>
    </row>
    <row r="110" spans="3:8" ht="33.75" outlineLevel="2">
      <c r="C110" s="27" t="s">
        <v>312</v>
      </c>
      <c r="D110" s="1">
        <v>2</v>
      </c>
      <c r="E110" s="117">
        <v>802.38</v>
      </c>
      <c r="F110" s="118">
        <f t="shared" si="49"/>
        <v>1604.76</v>
      </c>
      <c r="G110" s="168"/>
      <c r="H110" s="120" t="str">
        <f t="shared" ref="H110" si="74">+IF(OR($E110="",G110=""),"",$E110*G110)</f>
        <v/>
      </c>
    </row>
    <row r="111" spans="3:8" ht="33.75" outlineLevel="2">
      <c r="C111" s="27" t="s">
        <v>313</v>
      </c>
      <c r="D111" s="1">
        <v>2</v>
      </c>
      <c r="E111" s="117">
        <v>793.7</v>
      </c>
      <c r="F111" s="118">
        <f t="shared" si="49"/>
        <v>1587.4</v>
      </c>
      <c r="G111" s="168"/>
      <c r="H111" s="120" t="str">
        <f t="shared" ref="H111" si="75">+IF(OR($E111="",G111=""),"",$E111*G111)</f>
        <v/>
      </c>
    </row>
    <row r="112" spans="3:8" ht="33.75" outlineLevel="2">
      <c r="C112" s="27" t="s">
        <v>314</v>
      </c>
      <c r="D112" s="1">
        <v>1</v>
      </c>
      <c r="E112" s="117">
        <v>778.14</v>
      </c>
      <c r="F112" s="118">
        <f t="shared" si="49"/>
        <v>778.14</v>
      </c>
      <c r="G112" s="168"/>
      <c r="H112" s="120" t="str">
        <f t="shared" ref="H112" si="76">+IF(OR($E112="",G112=""),"",$E112*G112)</f>
        <v/>
      </c>
    </row>
    <row r="113" spans="2:8" ht="33.75" outlineLevel="2">
      <c r="C113" s="27" t="s">
        <v>315</v>
      </c>
      <c r="D113" s="129">
        <v>1</v>
      </c>
      <c r="E113" s="117">
        <v>2491.36</v>
      </c>
      <c r="F113" s="118">
        <f t="shared" si="49"/>
        <v>2491.36</v>
      </c>
      <c r="G113" s="168"/>
      <c r="H113" s="120" t="str">
        <f t="shared" ref="H113" si="77">+IF(OR($E113="",G113=""),"",$E113*G113)</f>
        <v/>
      </c>
    </row>
    <row r="114" spans="2:8" ht="67.5" outlineLevel="2">
      <c r="C114" s="27" t="s">
        <v>316</v>
      </c>
      <c r="D114" s="129">
        <v>7</v>
      </c>
      <c r="E114" s="117">
        <v>1244.76</v>
      </c>
      <c r="F114" s="118">
        <f t="shared" si="49"/>
        <v>8713.32</v>
      </c>
      <c r="G114" s="168"/>
      <c r="H114" s="120" t="str">
        <f t="shared" ref="H114" si="78">+IF(OR($E114="",G114=""),"",$E114*G114)</f>
        <v/>
      </c>
    </row>
    <row r="115" spans="2:8" ht="78.75" outlineLevel="2">
      <c r="C115" s="27" t="s">
        <v>317</v>
      </c>
      <c r="D115" s="1">
        <v>1</v>
      </c>
      <c r="E115" s="117">
        <v>3563.2</v>
      </c>
      <c r="F115" s="118">
        <f t="shared" si="49"/>
        <v>3563.2</v>
      </c>
      <c r="G115" s="168"/>
      <c r="H115" s="120" t="str">
        <f t="shared" ref="H115" si="79">+IF(OR($E115="",G115=""),"",$E115*G115)</f>
        <v/>
      </c>
    </row>
    <row r="116" spans="2:8" ht="56.25" outlineLevel="2">
      <c r="B116" s="127"/>
      <c r="C116" s="128" t="s">
        <v>318</v>
      </c>
      <c r="D116" s="129">
        <v>2</v>
      </c>
      <c r="E116" s="117">
        <v>2036.57</v>
      </c>
      <c r="F116" s="118">
        <f t="shared" si="49"/>
        <v>4073.14</v>
      </c>
      <c r="G116" s="168"/>
      <c r="H116" s="120" t="str">
        <f t="shared" ref="H116" si="80">+IF(OR($E116="",G116=""),"",$E116*G116)</f>
        <v/>
      </c>
    </row>
    <row r="117" spans="2:8" s="110" customFormat="1" ht="18" customHeight="1" outlineLevel="1">
      <c r="B117" s="121" t="s">
        <v>45</v>
      </c>
      <c r="C117" s="122" t="s">
        <v>1</v>
      </c>
      <c r="D117" s="123"/>
      <c r="E117" s="124"/>
      <c r="F117" s="125">
        <f>+SUM(F118:F198)</f>
        <v>228493.35199999996</v>
      </c>
      <c r="G117" s="169"/>
      <c r="H117" s="126">
        <f>+SUM(H118:H198)</f>
        <v>6693.393</v>
      </c>
    </row>
    <row r="118" spans="2:8" s="110" customFormat="1" ht="15" customHeight="1" outlineLevel="2">
      <c r="B118" s="137"/>
      <c r="C118" s="138" t="s">
        <v>22</v>
      </c>
      <c r="D118" s="139"/>
      <c r="E118" s="140"/>
      <c r="F118" s="141"/>
      <c r="G118" s="172"/>
      <c r="H118" s="226"/>
    </row>
    <row r="119" spans="2:8" ht="123.75" outlineLevel="2">
      <c r="C119" s="27" t="s">
        <v>324</v>
      </c>
      <c r="F119" s="118"/>
      <c r="G119" s="168"/>
    </row>
    <row r="120" spans="2:8" ht="168.75" outlineLevel="2">
      <c r="C120" s="27" t="s">
        <v>599</v>
      </c>
      <c r="F120" s="118"/>
      <c r="G120" s="168"/>
    </row>
    <row r="121" spans="2:8" ht="45" outlineLevel="2">
      <c r="C121" s="27" t="s">
        <v>320</v>
      </c>
      <c r="D121" s="1">
        <v>5</v>
      </c>
      <c r="E121" s="117">
        <v>1505.71</v>
      </c>
      <c r="F121" s="118">
        <f t="shared" ref="F121:F151" si="81">+D121*E121</f>
        <v>7528.55</v>
      </c>
      <c r="G121" s="177">
        <f>0.3*D121</f>
        <v>1.5</v>
      </c>
      <c r="H121" s="120">
        <f t="shared" ref="H121" si="82">+IF(OR($E121="",G121=""),"",$E121*G121)</f>
        <v>2258.5650000000001</v>
      </c>
    </row>
    <row r="122" spans="2:8" ht="56.25" outlineLevel="2">
      <c r="C122" s="27" t="s">
        <v>536</v>
      </c>
      <c r="D122" s="1">
        <v>5</v>
      </c>
      <c r="E122" s="117">
        <v>1505.71</v>
      </c>
      <c r="F122" s="118">
        <f t="shared" si="81"/>
        <v>7528.55</v>
      </c>
      <c r="G122" s="177">
        <f>0.3*D122</f>
        <v>1.5</v>
      </c>
      <c r="H122" s="120">
        <f t="shared" ref="H122" si="83">+IF(OR($E122="",G122=""),"",$E122*G122)</f>
        <v>2258.5650000000001</v>
      </c>
    </row>
    <row r="123" spans="2:8" ht="123.75" outlineLevel="2">
      <c r="C123" s="27" t="s">
        <v>537</v>
      </c>
      <c r="F123" s="118"/>
      <c r="G123" s="168"/>
    </row>
    <row r="124" spans="2:8" ht="45" outlineLevel="2">
      <c r="C124" s="27" t="s">
        <v>319</v>
      </c>
      <c r="D124" s="1">
        <v>7</v>
      </c>
      <c r="E124" s="117">
        <v>578.89</v>
      </c>
      <c r="F124" s="118">
        <f t="shared" si="81"/>
        <v>4052.23</v>
      </c>
      <c r="G124" s="168"/>
      <c r="H124" s="120" t="str">
        <f t="shared" ref="H124" si="84">+IF(OR($E124="",G124=""),"",$E124*G124)</f>
        <v/>
      </c>
    </row>
    <row r="125" spans="2:8" ht="45" outlineLevel="2">
      <c r="C125" s="27" t="s">
        <v>321</v>
      </c>
      <c r="D125" s="1">
        <v>7</v>
      </c>
      <c r="E125" s="117">
        <v>578.89</v>
      </c>
      <c r="F125" s="118">
        <f t="shared" si="81"/>
        <v>4052.23</v>
      </c>
      <c r="G125" s="168"/>
      <c r="H125" s="120" t="str">
        <f t="shared" ref="H125" si="85">+IF(OR($E125="",G125=""),"",$E125*G125)</f>
        <v/>
      </c>
    </row>
    <row r="126" spans="2:8" ht="135" outlineLevel="2">
      <c r="C126" s="27" t="s">
        <v>600</v>
      </c>
      <c r="F126" s="118"/>
      <c r="G126" s="168"/>
    </row>
    <row r="127" spans="2:8" ht="45" outlineLevel="2">
      <c r="C127" s="27" t="s">
        <v>515</v>
      </c>
      <c r="D127" s="1">
        <v>7</v>
      </c>
      <c r="E127" s="117">
        <v>698.45</v>
      </c>
      <c r="F127" s="118">
        <f t="shared" si="81"/>
        <v>4889.1500000000005</v>
      </c>
      <c r="G127" s="168"/>
      <c r="H127" s="120" t="str">
        <f t="shared" ref="H127" si="86">+IF(OR($E127="",G127=""),"",$E127*G127)</f>
        <v/>
      </c>
    </row>
    <row r="128" spans="2:8" ht="90" outlineLevel="2">
      <c r="C128" s="142" t="s">
        <v>538</v>
      </c>
      <c r="D128" s="119"/>
      <c r="F128" s="118"/>
      <c r="G128" s="168"/>
    </row>
    <row r="129" spans="2:8" ht="33.75" outlineLevel="2">
      <c r="C129" s="27" t="s">
        <v>495</v>
      </c>
      <c r="D129" s="1">
        <v>4</v>
      </c>
      <c r="E129" s="117">
        <v>8441.36</v>
      </c>
      <c r="F129" s="118">
        <f t="shared" si="81"/>
        <v>33765.440000000002</v>
      </c>
      <c r="G129" s="168"/>
      <c r="H129" s="120" t="str">
        <f t="shared" ref="H129" si="87">+IF(OR($E129="",G129=""),"",$E129*G129)</f>
        <v/>
      </c>
    </row>
    <row r="130" spans="2:8" ht="78.75" outlineLevel="2">
      <c r="C130" s="27" t="s">
        <v>322</v>
      </c>
      <c r="D130" s="1">
        <v>1</v>
      </c>
      <c r="E130" s="117">
        <v>1711.38</v>
      </c>
      <c r="F130" s="118">
        <f t="shared" si="81"/>
        <v>1711.38</v>
      </c>
      <c r="G130" s="168"/>
      <c r="H130" s="120" t="str">
        <f t="shared" ref="H130" si="88">+IF(OR($E130="",G130=""),"",$E130*G130)</f>
        <v/>
      </c>
    </row>
    <row r="131" spans="2:8" s="110" customFormat="1" ht="15" customHeight="1" outlineLevel="2">
      <c r="B131" s="143"/>
      <c r="C131" s="144" t="s">
        <v>23</v>
      </c>
      <c r="D131" s="139"/>
      <c r="E131" s="140"/>
      <c r="F131" s="145"/>
      <c r="G131" s="173"/>
      <c r="H131" s="227"/>
    </row>
    <row r="132" spans="2:8" ht="78.75" outlineLevel="2">
      <c r="C132" s="27" t="s">
        <v>601</v>
      </c>
      <c r="F132" s="118"/>
      <c r="G132" s="168"/>
    </row>
    <row r="133" spans="2:8" ht="33.75" outlineLevel="2">
      <c r="C133" s="27" t="s">
        <v>323</v>
      </c>
      <c r="D133" s="1">
        <v>1</v>
      </c>
      <c r="E133" s="117">
        <v>983.68</v>
      </c>
      <c r="F133" s="118">
        <f t="shared" si="81"/>
        <v>983.68</v>
      </c>
      <c r="G133" s="168"/>
      <c r="H133" s="120" t="str">
        <f t="shared" ref="H133" si="89">+IF(OR($E133="",G133=""),"",$E133*G133)</f>
        <v/>
      </c>
    </row>
    <row r="134" spans="2:8" ht="56.25" outlineLevel="2">
      <c r="C134" s="27" t="s">
        <v>602</v>
      </c>
      <c r="D134" s="1">
        <v>4</v>
      </c>
      <c r="E134" s="117">
        <v>956.48</v>
      </c>
      <c r="F134" s="118">
        <f t="shared" si="81"/>
        <v>3825.92</v>
      </c>
      <c r="G134" s="168"/>
      <c r="H134" s="120" t="str">
        <f t="shared" ref="H134" si="90">+IF(OR($E134="",G134=""),"",$E134*G134)</f>
        <v/>
      </c>
    </row>
    <row r="135" spans="2:8" ht="67.5" outlineLevel="2">
      <c r="C135" s="27" t="s">
        <v>603</v>
      </c>
      <c r="F135" s="118"/>
      <c r="G135" s="168"/>
    </row>
    <row r="136" spans="2:8" ht="45" outlineLevel="2">
      <c r="C136" s="27" t="s">
        <v>496</v>
      </c>
      <c r="D136" s="1">
        <v>1</v>
      </c>
      <c r="E136" s="117">
        <v>954.18</v>
      </c>
      <c r="F136" s="118">
        <f t="shared" si="81"/>
        <v>954.18</v>
      </c>
      <c r="G136" s="168"/>
      <c r="H136" s="120" t="str">
        <f t="shared" ref="H136" si="91">+IF(OR($E136="",G136=""),"",$E136*G136)</f>
        <v/>
      </c>
    </row>
    <row r="137" spans="2:8" ht="67.5" outlineLevel="2">
      <c r="C137" s="27" t="s">
        <v>539</v>
      </c>
      <c r="F137" s="118"/>
      <c r="G137" s="168"/>
    </row>
    <row r="138" spans="2:8" ht="33.75" outlineLevel="2">
      <c r="C138" s="27" t="s">
        <v>497</v>
      </c>
      <c r="D138" s="1">
        <v>4</v>
      </c>
      <c r="E138" s="117">
        <v>584.17999999999995</v>
      </c>
      <c r="F138" s="118">
        <f t="shared" si="81"/>
        <v>2336.7199999999998</v>
      </c>
      <c r="G138" s="168"/>
      <c r="H138" s="120" t="str">
        <f t="shared" ref="H138" si="92">+IF(OR($E138="",G138=""),"",$E138*G138)</f>
        <v/>
      </c>
    </row>
    <row r="139" spans="2:8" ht="135" outlineLevel="2">
      <c r="C139" s="27" t="s">
        <v>604</v>
      </c>
      <c r="F139" s="118"/>
      <c r="G139" s="168"/>
    </row>
    <row r="140" spans="2:8" ht="33.75" outlineLevel="2">
      <c r="C140" s="27" t="s">
        <v>498</v>
      </c>
      <c r="D140" s="1">
        <v>2</v>
      </c>
      <c r="E140" s="117">
        <v>1126.33</v>
      </c>
      <c r="F140" s="118">
        <f t="shared" si="81"/>
        <v>2252.66</v>
      </c>
      <c r="G140" s="177">
        <f>0.05*D140</f>
        <v>0.1</v>
      </c>
      <c r="H140" s="120">
        <f t="shared" ref="H140" si="93">+IF(OR($E140="",G140=""),"",$E140*G140)</f>
        <v>112.633</v>
      </c>
    </row>
    <row r="141" spans="2:8" ht="33.75" outlineLevel="2">
      <c r="C141" s="27" t="s">
        <v>499</v>
      </c>
      <c r="D141" s="1">
        <v>8</v>
      </c>
      <c r="E141" s="117">
        <v>1628.06</v>
      </c>
      <c r="F141" s="118">
        <f t="shared" si="81"/>
        <v>13024.48</v>
      </c>
      <c r="G141" s="177">
        <f>0.05*D141</f>
        <v>0.4</v>
      </c>
      <c r="H141" s="120">
        <f t="shared" ref="H141" si="94">+IF(OR($E141="",G141=""),"",$E141*G141)</f>
        <v>651.22400000000005</v>
      </c>
    </row>
    <row r="142" spans="2:8" ht="33.75" outlineLevel="2">
      <c r="C142" s="27" t="s">
        <v>500</v>
      </c>
      <c r="D142" s="1">
        <v>1</v>
      </c>
      <c r="E142" s="117">
        <v>1501.04</v>
      </c>
      <c r="F142" s="118">
        <f t="shared" si="81"/>
        <v>1501.04</v>
      </c>
      <c r="G142" s="177">
        <f>0.05*D142</f>
        <v>0.05</v>
      </c>
      <c r="H142" s="120">
        <f t="shared" ref="H142" si="95">+IF(OR($E142="",G142=""),"",$E142*G142)</f>
        <v>75.052000000000007</v>
      </c>
    </row>
    <row r="143" spans="2:8" ht="33.75" outlineLevel="2">
      <c r="C143" s="27" t="s">
        <v>501</v>
      </c>
      <c r="D143" s="1">
        <v>4</v>
      </c>
      <c r="E143" s="117">
        <v>2519.0700000000002</v>
      </c>
      <c r="F143" s="118">
        <f t="shared" si="81"/>
        <v>10076.280000000001</v>
      </c>
      <c r="G143" s="177">
        <f>0.05*D143</f>
        <v>0.2</v>
      </c>
      <c r="H143" s="120">
        <f t="shared" ref="H143" si="96">+IF(OR($E143="",G143=""),"",$E143*G143)</f>
        <v>503.81400000000008</v>
      </c>
    </row>
    <row r="144" spans="2:8" ht="33.75" outlineLevel="2">
      <c r="C144" s="27" t="s">
        <v>502</v>
      </c>
      <c r="D144" s="1">
        <v>1</v>
      </c>
      <c r="E144" s="117">
        <v>875.47</v>
      </c>
      <c r="F144" s="118">
        <f t="shared" si="81"/>
        <v>875.47</v>
      </c>
      <c r="G144" s="177">
        <f>0.05*D144</f>
        <v>0.05</v>
      </c>
      <c r="H144" s="120">
        <f t="shared" ref="H144" si="97">+IF(OR($E144="",G144=""),"",$E144*G144)</f>
        <v>43.773500000000006</v>
      </c>
    </row>
    <row r="145" spans="3:8" ht="78.75" outlineLevel="2">
      <c r="C145" s="27" t="s">
        <v>605</v>
      </c>
      <c r="F145" s="118"/>
      <c r="G145" s="168"/>
    </row>
    <row r="146" spans="3:8" ht="33.75" outlineLevel="2">
      <c r="C146" s="27" t="s">
        <v>503</v>
      </c>
      <c r="D146" s="1">
        <v>2</v>
      </c>
      <c r="E146" s="117">
        <v>353.03</v>
      </c>
      <c r="F146" s="118">
        <f t="shared" si="81"/>
        <v>706.06</v>
      </c>
      <c r="G146" s="168"/>
      <c r="H146" s="120" t="str">
        <f t="shared" ref="H146" si="98">+IF(OR($E146="",G146=""),"",$E146*G146)</f>
        <v/>
      </c>
    </row>
    <row r="147" spans="3:8" ht="33.75" outlineLevel="2">
      <c r="C147" s="27" t="s">
        <v>504</v>
      </c>
      <c r="D147" s="1">
        <v>2</v>
      </c>
      <c r="E147" s="117">
        <v>545.53</v>
      </c>
      <c r="F147" s="118">
        <f t="shared" si="81"/>
        <v>1091.06</v>
      </c>
      <c r="G147" s="168"/>
      <c r="H147" s="120" t="str">
        <f t="shared" ref="H147" si="99">+IF(OR($E147="",G147=""),"",$E147*G147)</f>
        <v/>
      </c>
    </row>
    <row r="148" spans="3:8" ht="33.75" outlineLevel="2">
      <c r="C148" s="27" t="s">
        <v>505</v>
      </c>
      <c r="D148" s="1">
        <v>2</v>
      </c>
      <c r="E148" s="117">
        <v>588.46</v>
      </c>
      <c r="F148" s="118">
        <f t="shared" si="81"/>
        <v>1176.92</v>
      </c>
      <c r="G148" s="168"/>
      <c r="H148" s="120" t="str">
        <f t="shared" ref="H148" si="100">+IF(OR($E148="",G148=""),"",$E148*G148)</f>
        <v/>
      </c>
    </row>
    <row r="149" spans="3:8" ht="78.75" outlineLevel="2">
      <c r="C149" s="27" t="s">
        <v>540</v>
      </c>
      <c r="F149" s="118"/>
      <c r="G149" s="168"/>
    </row>
    <row r="150" spans="3:8" ht="33.75" outlineLevel="2">
      <c r="C150" s="27" t="s">
        <v>506</v>
      </c>
      <c r="D150" s="1">
        <v>4</v>
      </c>
      <c r="E150" s="117">
        <v>707.4</v>
      </c>
      <c r="F150" s="118">
        <f t="shared" si="81"/>
        <v>2829.6</v>
      </c>
      <c r="G150" s="212"/>
      <c r="H150" s="120" t="str">
        <f t="shared" ref="H150" si="101">+IF(OR($E150="",G150=""),"",$E150*G150)</f>
        <v/>
      </c>
    </row>
    <row r="151" spans="3:8" ht="33.75" outlineLevel="2">
      <c r="C151" s="27" t="s">
        <v>507</v>
      </c>
      <c r="D151" s="1">
        <v>1</v>
      </c>
      <c r="E151" s="117">
        <v>903.9</v>
      </c>
      <c r="F151" s="118">
        <f t="shared" si="81"/>
        <v>903.9</v>
      </c>
      <c r="G151" s="212"/>
      <c r="H151" s="120" t="str">
        <f t="shared" ref="H151" si="102">+IF(OR($E151="",G151=""),"",$E151*G151)</f>
        <v/>
      </c>
    </row>
    <row r="152" spans="3:8" ht="33.75" outlineLevel="2">
      <c r="C152" s="27" t="s">
        <v>508</v>
      </c>
      <c r="D152" s="1">
        <v>4</v>
      </c>
      <c r="E152" s="117">
        <v>628.79999999999995</v>
      </c>
      <c r="F152" s="118">
        <f t="shared" ref="F152:F183" si="103">+D152*E152</f>
        <v>2515.1999999999998</v>
      </c>
      <c r="G152" s="212"/>
      <c r="H152" s="120" t="str">
        <f t="shared" ref="H152" si="104">+IF(OR($E152="",G152=""),"",$E152*G152)</f>
        <v/>
      </c>
    </row>
    <row r="153" spans="3:8" ht="33.75" outlineLevel="2">
      <c r="C153" s="27" t="s">
        <v>509</v>
      </c>
      <c r="D153" s="1">
        <v>1</v>
      </c>
      <c r="E153" s="117">
        <v>628.79999999999995</v>
      </c>
      <c r="F153" s="118">
        <f t="shared" si="103"/>
        <v>628.79999999999995</v>
      </c>
      <c r="G153" s="212"/>
      <c r="H153" s="120" t="str">
        <f t="shared" ref="H153" si="105">+IF(OR($E153="",G153=""),"",$E153*G153)</f>
        <v/>
      </c>
    </row>
    <row r="154" spans="3:8" ht="78.75" outlineLevel="2">
      <c r="C154" s="27" t="s">
        <v>564</v>
      </c>
      <c r="F154" s="118"/>
      <c r="G154" s="168"/>
    </row>
    <row r="155" spans="3:8" ht="56.25" outlineLevel="2">
      <c r="C155" s="27" t="s">
        <v>510</v>
      </c>
      <c r="D155" s="1">
        <v>8</v>
      </c>
      <c r="E155" s="117">
        <v>1650.6</v>
      </c>
      <c r="F155" s="118">
        <f t="shared" si="103"/>
        <v>13204.8</v>
      </c>
      <c r="G155" s="177">
        <f>0.05*D155</f>
        <v>0.4</v>
      </c>
      <c r="H155" s="120">
        <f t="shared" ref="H155" si="106">+IF(OR($E155="",G155=""),"",$E155*G155)</f>
        <v>660.24</v>
      </c>
    </row>
    <row r="156" spans="3:8" ht="56.25" outlineLevel="2">
      <c r="C156" s="27" t="s">
        <v>511</v>
      </c>
      <c r="D156" s="1">
        <v>1</v>
      </c>
      <c r="E156" s="117">
        <v>1558.9</v>
      </c>
      <c r="F156" s="118">
        <f t="shared" si="103"/>
        <v>1558.9</v>
      </c>
      <c r="G156" s="177">
        <f>0.05*D156</f>
        <v>0.05</v>
      </c>
      <c r="H156" s="120">
        <f t="shared" ref="H156" si="107">+IF(OR($E156="",G156=""),"",$E156*G156)</f>
        <v>77.945000000000007</v>
      </c>
    </row>
    <row r="157" spans="3:8" ht="56.25" outlineLevel="2">
      <c r="C157" s="27" t="s">
        <v>512</v>
      </c>
      <c r="D157" s="1">
        <v>1</v>
      </c>
      <c r="E157" s="117">
        <v>1031.6300000000001</v>
      </c>
      <c r="F157" s="118">
        <f t="shared" si="103"/>
        <v>1031.6300000000001</v>
      </c>
      <c r="G157" s="177">
        <f>0.05*D157</f>
        <v>0.05</v>
      </c>
      <c r="H157" s="120">
        <f t="shared" ref="H157" si="108">+IF(OR($E157="",G157=""),"",$E157*G157)</f>
        <v>51.581500000000005</v>
      </c>
    </row>
    <row r="158" spans="3:8" ht="67.5" outlineLevel="2">
      <c r="C158" s="27" t="s">
        <v>325</v>
      </c>
      <c r="D158" s="1">
        <v>1</v>
      </c>
      <c r="E158" s="117">
        <v>738.19</v>
      </c>
      <c r="F158" s="118">
        <f t="shared" si="103"/>
        <v>738.19</v>
      </c>
      <c r="G158" s="168"/>
      <c r="H158" s="120" t="str">
        <f t="shared" ref="H158" si="109">+IF(OR($E158="",G158=""),"",$E158*G158)</f>
        <v/>
      </c>
    </row>
    <row r="159" spans="3:8" ht="112.5" outlineLevel="2">
      <c r="C159" s="27" t="s">
        <v>606</v>
      </c>
      <c r="D159" s="1">
        <v>1</v>
      </c>
      <c r="E159" s="117">
        <v>6469.47</v>
      </c>
      <c r="F159" s="118">
        <f t="shared" si="103"/>
        <v>6469.47</v>
      </c>
      <c r="G159" s="168"/>
      <c r="H159" s="120" t="str">
        <f t="shared" ref="H159" si="110">+IF(OR($E159="",G159=""),"",$E159*G159)</f>
        <v/>
      </c>
    </row>
    <row r="160" spans="3:8" ht="67.5" outlineLevel="2">
      <c r="C160" s="27" t="s">
        <v>565</v>
      </c>
      <c r="D160" s="1">
        <v>11</v>
      </c>
      <c r="E160" s="117">
        <v>491.25</v>
      </c>
      <c r="F160" s="118">
        <f t="shared" si="103"/>
        <v>5403.75</v>
      </c>
      <c r="G160" s="168"/>
      <c r="H160" s="120" t="str">
        <f t="shared" ref="H160" si="111">+IF(OR($E160="",G160=""),"",$E160*G160)</f>
        <v/>
      </c>
    </row>
    <row r="161" spans="2:8" ht="101.25" outlineLevel="2">
      <c r="C161" s="27" t="s">
        <v>326</v>
      </c>
      <c r="D161" s="1">
        <v>81.2</v>
      </c>
      <c r="E161" s="117">
        <v>181.26</v>
      </c>
      <c r="F161" s="118">
        <f t="shared" si="103"/>
        <v>14718.312</v>
      </c>
      <c r="G161" s="168"/>
      <c r="H161" s="120" t="str">
        <f t="shared" ref="H161" si="112">+IF(OR($E161="",G161=""),"",$E161*G161)</f>
        <v/>
      </c>
    </row>
    <row r="162" spans="2:8" ht="66" customHeight="1" outlineLevel="2">
      <c r="C162" s="27" t="s">
        <v>24</v>
      </c>
      <c r="F162" s="118"/>
      <c r="G162" s="168"/>
    </row>
    <row r="163" spans="2:8" outlineLevel="2">
      <c r="C163" s="27" t="s">
        <v>25</v>
      </c>
      <c r="D163" s="1">
        <v>71</v>
      </c>
      <c r="E163" s="117">
        <v>46.78</v>
      </c>
      <c r="F163" s="118">
        <f t="shared" si="103"/>
        <v>3321.38</v>
      </c>
      <c r="G163" s="168"/>
      <c r="H163" s="120" t="str">
        <f t="shared" ref="H163" si="113">+IF(OR($E163="",G163=""),"",$E163*G163)</f>
        <v/>
      </c>
    </row>
    <row r="164" spans="2:8" ht="22.5" outlineLevel="2">
      <c r="C164" s="27" t="s">
        <v>327</v>
      </c>
      <c r="D164" s="1">
        <v>48</v>
      </c>
      <c r="E164" s="117">
        <v>31.74</v>
      </c>
      <c r="F164" s="118">
        <f t="shared" si="103"/>
        <v>1523.52</v>
      </c>
      <c r="G164" s="168"/>
      <c r="H164" s="120" t="str">
        <f t="shared" ref="H164" si="114">+IF(OR($E164="",G164=""),"",$E164*G164)</f>
        <v/>
      </c>
    </row>
    <row r="165" spans="2:8" ht="78.75" outlineLevel="2">
      <c r="C165" s="27" t="s">
        <v>328</v>
      </c>
      <c r="D165" s="1">
        <v>40</v>
      </c>
      <c r="E165" s="117">
        <v>15.8</v>
      </c>
      <c r="F165" s="118">
        <f t="shared" si="103"/>
        <v>632</v>
      </c>
      <c r="G165" s="168"/>
      <c r="H165" s="120" t="str">
        <f t="shared" ref="H165" si="115">+IF(OR($E165="",G165=""),"",$E165*G165)</f>
        <v/>
      </c>
    </row>
    <row r="166" spans="2:8" ht="67.5" outlineLevel="2">
      <c r="C166" s="27" t="s">
        <v>607</v>
      </c>
      <c r="D166" s="1">
        <v>1</v>
      </c>
      <c r="E166" s="117">
        <v>1033.02</v>
      </c>
      <c r="F166" s="118">
        <f t="shared" si="103"/>
        <v>1033.02</v>
      </c>
      <c r="G166" s="168"/>
      <c r="H166" s="120" t="str">
        <f t="shared" ref="H166" si="116">+IF(OR($E166="",G166=""),"",$E166*G166)</f>
        <v/>
      </c>
    </row>
    <row r="167" spans="2:8" ht="90" outlineLevel="2">
      <c r="C167" s="27" t="s">
        <v>608</v>
      </c>
      <c r="D167" s="1">
        <v>26.5</v>
      </c>
      <c r="E167" s="117">
        <v>189.95</v>
      </c>
      <c r="F167" s="118">
        <f t="shared" si="103"/>
        <v>5033.6749999999993</v>
      </c>
      <c r="G167" s="168"/>
      <c r="H167" s="120" t="str">
        <f t="shared" ref="H167" si="117">+IF(OR($E167="",G167=""),"",$E167*G167)</f>
        <v/>
      </c>
    </row>
    <row r="168" spans="2:8" ht="90" outlineLevel="2">
      <c r="C168" s="27" t="s">
        <v>609</v>
      </c>
      <c r="F168" s="118"/>
      <c r="G168" s="168"/>
    </row>
    <row r="169" spans="2:8" outlineLevel="2">
      <c r="C169" s="27" t="s">
        <v>513</v>
      </c>
      <c r="D169" s="1">
        <v>2</v>
      </c>
      <c r="E169" s="117">
        <v>690.21</v>
      </c>
      <c r="F169" s="118">
        <f t="shared" si="103"/>
        <v>1380.42</v>
      </c>
      <c r="G169" s="168"/>
      <c r="H169" s="120" t="str">
        <f t="shared" ref="H169" si="118">+IF(OR($E169="",G169=""),"",$E169*G169)</f>
        <v/>
      </c>
    </row>
    <row r="170" spans="2:8" ht="22.5" outlineLevel="2">
      <c r="C170" s="27" t="s">
        <v>514</v>
      </c>
      <c r="D170" s="1">
        <v>2</v>
      </c>
      <c r="E170" s="117">
        <v>736.22</v>
      </c>
      <c r="F170" s="118">
        <f t="shared" si="103"/>
        <v>1472.44</v>
      </c>
      <c r="G170" s="168"/>
      <c r="H170" s="120" t="str">
        <f t="shared" ref="H170" si="119">+IF(OR($E170="",G170=""),"",$E170*G170)</f>
        <v/>
      </c>
    </row>
    <row r="171" spans="2:8" s="110" customFormat="1" ht="15" customHeight="1" outlineLevel="2">
      <c r="B171" s="143"/>
      <c r="C171" s="144" t="s">
        <v>26</v>
      </c>
      <c r="D171" s="139"/>
      <c r="E171" s="140"/>
      <c r="F171" s="145"/>
      <c r="G171" s="173"/>
      <c r="H171" s="227"/>
    </row>
    <row r="172" spans="2:8" ht="78.75" outlineLevel="2">
      <c r="C172" s="27" t="s">
        <v>566</v>
      </c>
      <c r="D172" s="1">
        <v>579</v>
      </c>
      <c r="E172" s="117">
        <v>24.46</v>
      </c>
      <c r="F172" s="118">
        <f t="shared" si="103"/>
        <v>14162.34</v>
      </c>
      <c r="G172" s="168"/>
      <c r="H172" s="120" t="str">
        <f t="shared" ref="H172" si="120">+IF(OR($E172="",G172=""),"",$E172*G172)</f>
        <v/>
      </c>
    </row>
    <row r="173" spans="2:8" ht="56.25" outlineLevel="2">
      <c r="C173" s="27" t="s">
        <v>610</v>
      </c>
      <c r="D173" s="1">
        <v>463</v>
      </c>
      <c r="E173" s="117">
        <v>15.03</v>
      </c>
      <c r="F173" s="118">
        <f t="shared" si="103"/>
        <v>6958.8899999999994</v>
      </c>
      <c r="G173" s="168"/>
      <c r="H173" s="120" t="str">
        <f t="shared" ref="H173" si="121">+IF(OR($E173="",G173=""),"",$E173*G173)</f>
        <v/>
      </c>
    </row>
    <row r="174" spans="2:8" ht="101.25" outlineLevel="2">
      <c r="C174" s="27" t="s">
        <v>261</v>
      </c>
      <c r="D174" s="1">
        <v>1</v>
      </c>
      <c r="E174" s="117">
        <v>3569.41</v>
      </c>
      <c r="F174" s="118">
        <f t="shared" si="103"/>
        <v>3569.41</v>
      </c>
      <c r="G174" s="168"/>
      <c r="H174" s="120" t="str">
        <f t="shared" ref="H174" si="122">+IF(OR($E174="",G174=""),"",$E174*G174)</f>
        <v/>
      </c>
    </row>
    <row r="175" spans="2:8" ht="90" outlineLevel="2">
      <c r="C175" s="27" t="s">
        <v>611</v>
      </c>
      <c r="D175" s="1">
        <v>26.5</v>
      </c>
      <c r="E175" s="117">
        <v>98.25</v>
      </c>
      <c r="F175" s="118">
        <f t="shared" si="103"/>
        <v>2603.625</v>
      </c>
      <c r="G175" s="168"/>
      <c r="H175" s="120" t="str">
        <f t="shared" ref="H175" si="123">+IF(OR($E175="",G175=""),"",$E175*G175)</f>
        <v/>
      </c>
    </row>
    <row r="176" spans="2:8" ht="123.75" outlineLevel="2">
      <c r="C176" s="27" t="s">
        <v>612</v>
      </c>
      <c r="F176" s="118"/>
      <c r="G176" s="168"/>
    </row>
    <row r="177" spans="3:8" ht="45" outlineLevel="2">
      <c r="C177" s="27" t="s">
        <v>334</v>
      </c>
      <c r="D177" s="1">
        <v>1</v>
      </c>
      <c r="E177" s="117">
        <v>227.01</v>
      </c>
      <c r="F177" s="118">
        <f t="shared" si="103"/>
        <v>227.01</v>
      </c>
      <c r="G177" s="177"/>
      <c r="H177" s="120" t="str">
        <f t="shared" ref="H177" si="124">+IF(OR($E177="",G177=""),"",$E177*G177)</f>
        <v/>
      </c>
    </row>
    <row r="178" spans="3:8" ht="45" outlineLevel="2">
      <c r="C178" s="27" t="s">
        <v>333</v>
      </c>
      <c r="D178" s="1">
        <v>1</v>
      </c>
      <c r="E178" s="117">
        <v>186.09</v>
      </c>
      <c r="F178" s="118">
        <f t="shared" si="103"/>
        <v>186.09</v>
      </c>
      <c r="G178" s="177"/>
      <c r="H178" s="120" t="str">
        <f t="shared" ref="H178" si="125">+IF(OR($E178="",G178=""),"",$E178*G178)</f>
        <v/>
      </c>
    </row>
    <row r="179" spans="3:8" ht="45" outlineLevel="2">
      <c r="C179" s="27" t="s">
        <v>332</v>
      </c>
      <c r="D179" s="1">
        <v>2</v>
      </c>
      <c r="E179" s="117">
        <v>270.64</v>
      </c>
      <c r="F179" s="118">
        <f t="shared" si="103"/>
        <v>541.28</v>
      </c>
      <c r="G179" s="177"/>
      <c r="H179" s="120" t="str">
        <f t="shared" ref="H179" si="126">+IF(OR($E179="",G179=""),"",$E179*G179)</f>
        <v/>
      </c>
    </row>
    <row r="180" spans="3:8" ht="45" outlineLevel="2">
      <c r="C180" s="27" t="s">
        <v>331</v>
      </c>
      <c r="D180" s="1">
        <v>1</v>
      </c>
      <c r="E180" s="117">
        <v>187.26</v>
      </c>
      <c r="F180" s="118">
        <f t="shared" si="103"/>
        <v>187.26</v>
      </c>
      <c r="G180" s="177"/>
      <c r="H180" s="120" t="str">
        <f t="shared" ref="H180" si="127">+IF(OR($E180="",G180=""),"",$E180*G180)</f>
        <v/>
      </c>
    </row>
    <row r="181" spans="3:8" ht="45" outlineLevel="2">
      <c r="C181" s="27" t="s">
        <v>330</v>
      </c>
      <c r="D181" s="1">
        <v>1</v>
      </c>
      <c r="E181" s="117">
        <v>471.36</v>
      </c>
      <c r="F181" s="118">
        <f t="shared" si="103"/>
        <v>471.36</v>
      </c>
      <c r="G181" s="177"/>
      <c r="H181" s="120" t="str">
        <f t="shared" ref="H181" si="128">+IF(OR($E181="",G181=""),"",$E181*G181)</f>
        <v/>
      </c>
    </row>
    <row r="182" spans="3:8" ht="45" outlineLevel="2">
      <c r="C182" s="27" t="s">
        <v>329</v>
      </c>
      <c r="D182" s="1">
        <v>1</v>
      </c>
      <c r="E182" s="117">
        <v>212.11</v>
      </c>
      <c r="F182" s="118">
        <f t="shared" si="103"/>
        <v>212.11</v>
      </c>
      <c r="G182" s="177"/>
      <c r="H182" s="120" t="str">
        <f t="shared" ref="H182" si="129">+IF(OR($E182="",G182=""),"",$E182*G182)</f>
        <v/>
      </c>
    </row>
    <row r="183" spans="3:8" ht="90" outlineLevel="2">
      <c r="C183" s="27" t="s">
        <v>541</v>
      </c>
      <c r="D183" s="1">
        <v>5</v>
      </c>
      <c r="E183" s="117">
        <v>345.32</v>
      </c>
      <c r="F183" s="118">
        <f t="shared" si="103"/>
        <v>1726.6</v>
      </c>
      <c r="G183" s="177"/>
      <c r="H183" s="120" t="str">
        <f t="shared" ref="H183" si="130">+IF(OR($E183="",G183=""),"",$E183*G183)</f>
        <v/>
      </c>
    </row>
    <row r="184" spans="3:8" ht="112.5" outlineLevel="2">
      <c r="C184" s="27" t="s">
        <v>613</v>
      </c>
      <c r="D184" s="1">
        <v>8</v>
      </c>
      <c r="E184" s="117">
        <v>271.63</v>
      </c>
      <c r="F184" s="118">
        <f t="shared" ref="F184:F198" si="131">+D184*E184</f>
        <v>2173.04</v>
      </c>
      <c r="G184" s="177"/>
      <c r="H184" s="120" t="str">
        <f t="shared" ref="H184" si="132">+IF(OR($E184="",G184=""),"",$E184*G184)</f>
        <v/>
      </c>
    </row>
    <row r="185" spans="3:8" ht="101.25" outlineLevel="2">
      <c r="C185" s="27" t="s">
        <v>614</v>
      </c>
      <c r="F185" s="118"/>
      <c r="G185" s="168"/>
    </row>
    <row r="186" spans="3:8" ht="45" outlineLevel="2">
      <c r="C186" s="27" t="s">
        <v>335</v>
      </c>
      <c r="D186" s="1">
        <v>2</v>
      </c>
      <c r="E186" s="117">
        <v>470.75</v>
      </c>
      <c r="F186" s="118">
        <f t="shared" si="131"/>
        <v>941.5</v>
      </c>
      <c r="G186" s="177"/>
      <c r="H186" s="120" t="str">
        <f t="shared" ref="H186" si="133">+IF(OR($E186="",G186=""),"",$E186*G186)</f>
        <v/>
      </c>
    </row>
    <row r="187" spans="3:8" ht="45" outlineLevel="2">
      <c r="C187" s="27" t="s">
        <v>336</v>
      </c>
      <c r="D187" s="1">
        <v>2</v>
      </c>
      <c r="E187" s="117">
        <v>263.37</v>
      </c>
      <c r="F187" s="118">
        <f t="shared" si="131"/>
        <v>526.74</v>
      </c>
      <c r="G187" s="177"/>
      <c r="H187" s="120" t="str">
        <f t="shared" ref="H187" si="134">+IF(OR($E187="",G187=""),"",$E187*G187)</f>
        <v/>
      </c>
    </row>
    <row r="188" spans="3:8" ht="45" outlineLevel="2">
      <c r="C188" s="27" t="s">
        <v>337</v>
      </c>
      <c r="D188" s="1">
        <v>2</v>
      </c>
      <c r="E188" s="117">
        <v>275.76</v>
      </c>
      <c r="F188" s="118">
        <f t="shared" si="131"/>
        <v>551.52</v>
      </c>
      <c r="G188" s="177"/>
      <c r="H188" s="120" t="str">
        <f t="shared" ref="H188" si="135">+IF(OR($E188="",G188=""),"",$E188*G188)</f>
        <v/>
      </c>
    </row>
    <row r="189" spans="3:8" ht="112.5" outlineLevel="2">
      <c r="C189" s="27" t="s">
        <v>542</v>
      </c>
      <c r="F189" s="118"/>
      <c r="G189" s="168"/>
    </row>
    <row r="190" spans="3:8" ht="56.25" outlineLevel="2">
      <c r="C190" s="27" t="s">
        <v>338</v>
      </c>
      <c r="D190" s="1">
        <v>3</v>
      </c>
      <c r="E190" s="117">
        <v>951.21</v>
      </c>
      <c r="F190" s="118">
        <f t="shared" si="131"/>
        <v>2853.63</v>
      </c>
      <c r="G190" s="168"/>
      <c r="H190" s="120" t="str">
        <f t="shared" ref="H190" si="136">+IF(OR($E190="",G190=""),"",$E190*G190)</f>
        <v/>
      </c>
    </row>
    <row r="191" spans="3:8" ht="56.25" outlineLevel="2">
      <c r="C191" s="27" t="s">
        <v>339</v>
      </c>
      <c r="D191" s="1">
        <v>3</v>
      </c>
      <c r="E191" s="117">
        <v>1279.53</v>
      </c>
      <c r="F191" s="118">
        <f t="shared" si="131"/>
        <v>3838.59</v>
      </c>
      <c r="G191" s="168"/>
      <c r="H191" s="120" t="str">
        <f t="shared" ref="H191" si="137">+IF(OR($E191="",G191=""),"",$E191*G191)</f>
        <v/>
      </c>
    </row>
    <row r="192" spans="3:8" ht="56.25" outlineLevel="2">
      <c r="C192" s="27" t="s">
        <v>340</v>
      </c>
      <c r="D192" s="1">
        <v>12</v>
      </c>
      <c r="E192" s="117">
        <v>1114.8499999999999</v>
      </c>
      <c r="F192" s="118">
        <f t="shared" si="131"/>
        <v>13378.199999999999</v>
      </c>
      <c r="G192" s="168"/>
      <c r="H192" s="120" t="str">
        <f t="shared" ref="H192" si="138">+IF(OR($E192="",G192=""),"",$E192*G192)</f>
        <v/>
      </c>
    </row>
    <row r="193" spans="2:8" ht="56.25" outlineLevel="2">
      <c r="C193" s="27" t="s">
        <v>341</v>
      </c>
      <c r="D193" s="1">
        <v>3</v>
      </c>
      <c r="E193" s="117">
        <v>1279.53</v>
      </c>
      <c r="F193" s="118">
        <f t="shared" si="131"/>
        <v>3838.59</v>
      </c>
      <c r="G193" s="168"/>
      <c r="H193" s="120" t="str">
        <f t="shared" ref="H193" si="139">+IF(OR($E193="",G193=""),"",$E193*G193)</f>
        <v/>
      </c>
    </row>
    <row r="194" spans="2:8" ht="112.5" outlineLevel="2">
      <c r="C194" s="27" t="s">
        <v>543</v>
      </c>
      <c r="F194" s="118"/>
      <c r="G194" s="168"/>
    </row>
    <row r="195" spans="2:8" ht="56.25" outlineLevel="2">
      <c r="C195" s="27" t="s">
        <v>342</v>
      </c>
      <c r="D195" s="1">
        <v>4</v>
      </c>
      <c r="E195" s="117">
        <v>493.17</v>
      </c>
      <c r="F195" s="118">
        <f t="shared" si="131"/>
        <v>1972.68</v>
      </c>
      <c r="G195" s="177"/>
      <c r="H195" s="120" t="str">
        <f t="shared" ref="H195" si="140">+IF(OR($E195="",G195=""),"",$E195*G195)</f>
        <v/>
      </c>
    </row>
    <row r="196" spans="2:8" ht="112.5" outlineLevel="2">
      <c r="C196" s="27" t="s">
        <v>556</v>
      </c>
      <c r="F196" s="118"/>
      <c r="G196" s="168"/>
    </row>
    <row r="197" spans="2:8" ht="56.25" outlineLevel="2">
      <c r="C197" s="27" t="s">
        <v>343</v>
      </c>
      <c r="D197" s="1">
        <v>2</v>
      </c>
      <c r="E197" s="117">
        <v>241.17</v>
      </c>
      <c r="F197" s="118">
        <f t="shared" si="131"/>
        <v>482.34</v>
      </c>
      <c r="G197" s="223"/>
      <c r="H197" s="120" t="str">
        <f t="shared" ref="H197" si="141">+IF(OR($E197="",G197=""),"",$E197*G197)</f>
        <v/>
      </c>
    </row>
    <row r="198" spans="2:8" ht="56.25" outlineLevel="2">
      <c r="B198" s="127"/>
      <c r="C198" s="128" t="s">
        <v>344</v>
      </c>
      <c r="D198" s="1">
        <v>2</v>
      </c>
      <c r="E198" s="117">
        <v>179.77</v>
      </c>
      <c r="F198" s="118">
        <f t="shared" si="131"/>
        <v>359.54</v>
      </c>
      <c r="G198" s="223"/>
      <c r="H198" s="120" t="str">
        <f t="shared" ref="H198" si="142">+IF(OR($E198="",G198=""),"",$E198*G198)</f>
        <v/>
      </c>
    </row>
    <row r="199" spans="2:8" s="110" customFormat="1" ht="18" customHeight="1" outlineLevel="1">
      <c r="B199" s="121" t="s">
        <v>46</v>
      </c>
      <c r="C199" s="122" t="s">
        <v>27</v>
      </c>
      <c r="D199" s="123"/>
      <c r="E199" s="124"/>
      <c r="F199" s="125">
        <f>+SUM(F200:F207)</f>
        <v>12354.26</v>
      </c>
      <c r="G199" s="169"/>
      <c r="H199" s="126">
        <f>+SUM(H200:H207)</f>
        <v>0</v>
      </c>
    </row>
    <row r="200" spans="2:8" ht="78.75" outlineLevel="2">
      <c r="B200" s="19"/>
      <c r="C200" s="26" t="s">
        <v>345</v>
      </c>
      <c r="D200" s="1">
        <v>48</v>
      </c>
      <c r="E200" s="117">
        <v>129.69</v>
      </c>
      <c r="F200" s="118">
        <f t="shared" ref="F200:F207" si="143">+D200*E200</f>
        <v>6225.12</v>
      </c>
      <c r="G200" s="168"/>
      <c r="H200" s="120" t="str">
        <f t="shared" ref="H200" si="144">+IF(OR($E200="",G200=""),"",$E200*G200)</f>
        <v/>
      </c>
    </row>
    <row r="201" spans="2:8" ht="90" outlineLevel="2">
      <c r="C201" s="27" t="s">
        <v>544</v>
      </c>
      <c r="D201" s="1">
        <v>7</v>
      </c>
      <c r="E201" s="117">
        <v>407.46</v>
      </c>
      <c r="F201" s="118">
        <f t="shared" si="143"/>
        <v>2852.22</v>
      </c>
      <c r="G201" s="168"/>
      <c r="H201" s="120" t="str">
        <f t="shared" ref="H201" si="145">+IF(OR($E201="",G201=""),"",$E201*G201)</f>
        <v/>
      </c>
    </row>
    <row r="202" spans="2:8" ht="90" outlineLevel="2">
      <c r="C202" s="27" t="s">
        <v>615</v>
      </c>
      <c r="F202" s="118"/>
      <c r="G202" s="168"/>
    </row>
    <row r="203" spans="2:8" ht="33.75" outlineLevel="2">
      <c r="C203" s="27" t="s">
        <v>346</v>
      </c>
      <c r="D203" s="1">
        <v>4</v>
      </c>
      <c r="E203" s="117">
        <v>263.73</v>
      </c>
      <c r="F203" s="118">
        <f t="shared" si="143"/>
        <v>1054.92</v>
      </c>
      <c r="G203" s="168"/>
      <c r="H203" s="120" t="str">
        <f t="shared" ref="H203" si="146">+IF(OR($E203="",G203=""),"",$E203*G203)</f>
        <v/>
      </c>
    </row>
    <row r="204" spans="2:8" ht="33.75" outlineLevel="2">
      <c r="C204" s="27" t="s">
        <v>347</v>
      </c>
      <c r="D204" s="1">
        <v>8</v>
      </c>
      <c r="E204" s="117">
        <v>90.44</v>
      </c>
      <c r="F204" s="118">
        <f t="shared" si="143"/>
        <v>723.52</v>
      </c>
      <c r="G204" s="168"/>
      <c r="H204" s="120" t="str">
        <f t="shared" ref="H204" si="147">+IF(OR($E204="",G204=""),"",$E204*G204)</f>
        <v/>
      </c>
    </row>
    <row r="205" spans="2:8" ht="33.75" outlineLevel="2">
      <c r="C205" s="27" t="s">
        <v>348</v>
      </c>
      <c r="D205" s="1">
        <v>4</v>
      </c>
      <c r="E205" s="117">
        <v>234.09</v>
      </c>
      <c r="F205" s="118">
        <f t="shared" si="143"/>
        <v>936.36</v>
      </c>
      <c r="G205" s="168"/>
      <c r="H205" s="120" t="str">
        <f t="shared" ref="H205" si="148">+IF(OR($E205="",G205=""),"",$E205*G205)</f>
        <v/>
      </c>
    </row>
    <row r="206" spans="2:8" ht="33.75" outlineLevel="2">
      <c r="C206" s="27" t="s">
        <v>349</v>
      </c>
      <c r="D206" s="1">
        <v>4</v>
      </c>
      <c r="E206" s="117">
        <v>69.41</v>
      </c>
      <c r="F206" s="118">
        <f t="shared" si="143"/>
        <v>277.64</v>
      </c>
      <c r="G206" s="168"/>
      <c r="H206" s="120" t="str">
        <f t="shared" ref="H206" si="149">+IF(OR($E206="",G206=""),"",$E206*G206)</f>
        <v/>
      </c>
    </row>
    <row r="207" spans="2:8" ht="33.75" outlineLevel="2">
      <c r="B207" s="127"/>
      <c r="C207" s="128" t="s">
        <v>350</v>
      </c>
      <c r="D207" s="1">
        <v>4</v>
      </c>
      <c r="E207" s="117">
        <v>71.12</v>
      </c>
      <c r="F207" s="118">
        <f t="shared" si="143"/>
        <v>284.48</v>
      </c>
      <c r="G207" s="168"/>
      <c r="H207" s="120" t="str">
        <f t="shared" ref="H207" si="150">+IF(OR($E207="",G207=""),"",$E207*G207)</f>
        <v/>
      </c>
    </row>
    <row r="208" spans="2:8" s="110" customFormat="1" ht="18" customHeight="1" outlineLevel="1">
      <c r="B208" s="121" t="s">
        <v>47</v>
      </c>
      <c r="C208" s="122" t="s">
        <v>271</v>
      </c>
      <c r="D208" s="123"/>
      <c r="E208" s="124"/>
      <c r="F208" s="125">
        <f>+SUM(F209:F218)</f>
        <v>26403.643899999999</v>
      </c>
      <c r="G208" s="169"/>
      <c r="H208" s="126">
        <f>+SUM(H209:H218)</f>
        <v>0</v>
      </c>
    </row>
    <row r="209" spans="2:8" ht="101.25" outlineLevel="2">
      <c r="B209" s="19"/>
      <c r="C209" s="26" t="s">
        <v>616</v>
      </c>
      <c r="D209" s="1">
        <v>395</v>
      </c>
      <c r="E209" s="117">
        <v>16.38</v>
      </c>
      <c r="F209" s="118">
        <f t="shared" ref="F209:F218" si="151">+D209*E209</f>
        <v>6470.0999999999995</v>
      </c>
      <c r="G209" s="168"/>
      <c r="H209" s="120" t="str">
        <f t="shared" ref="H209" si="152">+IF(OR($E209="",G209=""),"",$E209*G209)</f>
        <v/>
      </c>
    </row>
    <row r="210" spans="2:8" ht="213.75" outlineLevel="2">
      <c r="C210" s="27" t="s">
        <v>617</v>
      </c>
      <c r="D210" s="1">
        <v>103</v>
      </c>
      <c r="E210" s="117">
        <v>8.1199999999999992</v>
      </c>
      <c r="F210" s="118">
        <f t="shared" si="151"/>
        <v>836.3599999999999</v>
      </c>
      <c r="G210" s="177"/>
      <c r="H210" s="120" t="str">
        <f t="shared" ref="H210" si="153">+IF(OR($E210="",G210=""),"",$E210*G210)</f>
        <v/>
      </c>
    </row>
    <row r="211" spans="2:8" ht="101.25" outlineLevel="2">
      <c r="C211" s="27" t="s">
        <v>618</v>
      </c>
      <c r="D211" s="1">
        <v>751</v>
      </c>
      <c r="E211" s="117">
        <v>8.1199999999999992</v>
      </c>
      <c r="F211" s="118">
        <f t="shared" si="151"/>
        <v>6098.119999999999</v>
      </c>
      <c r="G211" s="168"/>
      <c r="H211" s="120" t="str">
        <f t="shared" ref="H211" si="154">+IF(OR($E211="",G211=""),"",$E211*G211)</f>
        <v/>
      </c>
    </row>
    <row r="212" spans="2:8" ht="112.5" outlineLevel="2">
      <c r="C212" s="27" t="s">
        <v>619</v>
      </c>
      <c r="D212" s="1">
        <v>607.41</v>
      </c>
      <c r="E212" s="117">
        <v>8.1199999999999992</v>
      </c>
      <c r="F212" s="118">
        <f t="shared" si="151"/>
        <v>4932.1691999999994</v>
      </c>
      <c r="G212" s="168"/>
      <c r="H212" s="120" t="str">
        <f t="shared" ref="H212" si="155">+IF(OR($E212="",G212=""),"",$E212*G212)</f>
        <v/>
      </c>
    </row>
    <row r="213" spans="2:8" ht="90" outlineLevel="2">
      <c r="C213" s="27" t="s">
        <v>545</v>
      </c>
      <c r="D213" s="1">
        <v>357.3</v>
      </c>
      <c r="E213" s="117">
        <v>7.73</v>
      </c>
      <c r="F213" s="118">
        <f t="shared" si="151"/>
        <v>2761.9290000000001</v>
      </c>
      <c r="G213" s="168"/>
      <c r="H213" s="120" t="str">
        <f t="shared" ref="H213" si="156">+IF(OR($E213="",G213=""),"",$E213*G213)</f>
        <v/>
      </c>
    </row>
    <row r="214" spans="2:8" ht="90" outlineLevel="2">
      <c r="C214" s="27" t="s">
        <v>262</v>
      </c>
      <c r="D214" s="1">
        <v>379.1</v>
      </c>
      <c r="E214" s="117">
        <v>7.73</v>
      </c>
      <c r="F214" s="118">
        <f t="shared" si="151"/>
        <v>2930.4430000000002</v>
      </c>
      <c r="G214" s="168"/>
      <c r="H214" s="120" t="str">
        <f t="shared" ref="H214" si="157">+IF(OR($E214="",G214=""),"",$E214*G214)</f>
        <v/>
      </c>
    </row>
    <row r="215" spans="2:8" ht="90" outlineLevel="2">
      <c r="C215" s="27" t="s">
        <v>546</v>
      </c>
      <c r="D215" s="1">
        <v>50.7</v>
      </c>
      <c r="E215" s="117">
        <v>7.73</v>
      </c>
      <c r="F215" s="118">
        <f t="shared" si="151"/>
        <v>391.91100000000006</v>
      </c>
      <c r="G215" s="168"/>
      <c r="H215" s="120" t="str">
        <f t="shared" ref="H215" si="158">+IF(OR($E215="",G215=""),"",$E215*G215)</f>
        <v/>
      </c>
    </row>
    <row r="216" spans="2:8" ht="112.5" outlineLevel="2">
      <c r="C216" s="27" t="s">
        <v>620</v>
      </c>
      <c r="D216" s="146">
        <v>227.29</v>
      </c>
      <c r="E216" s="147">
        <v>7.73</v>
      </c>
      <c r="F216" s="118">
        <f t="shared" si="151"/>
        <v>1756.9517000000001</v>
      </c>
      <c r="G216" s="168"/>
      <c r="H216" s="120" t="str">
        <f t="shared" ref="H216" si="159">+IF(OR($E216="",G216=""),"",$E216*G216)</f>
        <v/>
      </c>
    </row>
    <row r="217" spans="2:8" ht="112.5" outlineLevel="2">
      <c r="C217" s="27" t="s">
        <v>494</v>
      </c>
      <c r="D217" s="1">
        <v>5</v>
      </c>
      <c r="E217" s="117">
        <v>27.52</v>
      </c>
      <c r="F217" s="118">
        <f t="shared" si="151"/>
        <v>137.6</v>
      </c>
      <c r="G217" s="168"/>
      <c r="H217" s="120" t="str">
        <f t="shared" ref="H217" si="160">+IF(OR($E217="",G217=""),"",$E217*G217)</f>
        <v/>
      </c>
    </row>
    <row r="218" spans="2:8" ht="146.25" outlineLevel="2">
      <c r="B218" s="127"/>
      <c r="C218" s="128" t="s">
        <v>516</v>
      </c>
      <c r="D218" s="1">
        <v>7</v>
      </c>
      <c r="E218" s="117">
        <v>12.58</v>
      </c>
      <c r="F218" s="118">
        <f t="shared" si="151"/>
        <v>88.06</v>
      </c>
      <c r="G218" s="168"/>
      <c r="H218" s="120" t="str">
        <f t="shared" ref="H218" si="161">+IF(OR($E218="",G218=""),"",$E218*G218)</f>
        <v/>
      </c>
    </row>
    <row r="219" spans="2:8" s="110" customFormat="1" ht="18" customHeight="1" outlineLevel="1">
      <c r="B219" s="121" t="s">
        <v>48</v>
      </c>
      <c r="C219" s="122" t="s">
        <v>272</v>
      </c>
      <c r="D219" s="123"/>
      <c r="E219" s="124"/>
      <c r="F219" s="125">
        <f>+SUM(F220:F230)</f>
        <v>28483.56</v>
      </c>
      <c r="G219" s="169"/>
      <c r="H219" s="126">
        <f>+SUM(H220:H230)</f>
        <v>4956.8600000000006</v>
      </c>
    </row>
    <row r="220" spans="2:8" ht="67.5" outlineLevel="2">
      <c r="B220" s="19"/>
      <c r="C220" s="26" t="s">
        <v>621</v>
      </c>
      <c r="D220" s="146"/>
      <c r="E220" s="147"/>
      <c r="F220" s="118"/>
      <c r="G220" s="168"/>
    </row>
    <row r="221" spans="2:8" ht="45" customHeight="1" outlineLevel="2">
      <c r="C221" s="27" t="s">
        <v>351</v>
      </c>
      <c r="D221" s="146">
        <v>20</v>
      </c>
      <c r="E221" s="147">
        <v>139.44</v>
      </c>
      <c r="F221" s="118">
        <f t="shared" ref="F221:F230" si="162">+D221*E221</f>
        <v>2788.8</v>
      </c>
      <c r="G221" s="224">
        <v>20</v>
      </c>
      <c r="H221" s="120">
        <f t="shared" ref="H221" si="163">+IF(OR($E221="",G221=""),"",$E221*G221)</f>
        <v>2788.8</v>
      </c>
    </row>
    <row r="222" spans="2:8" ht="33.75" outlineLevel="2">
      <c r="C222" s="27" t="s">
        <v>352</v>
      </c>
      <c r="D222" s="146">
        <v>8</v>
      </c>
      <c r="E222" s="147">
        <v>187.59</v>
      </c>
      <c r="F222" s="118">
        <f t="shared" si="162"/>
        <v>1500.72</v>
      </c>
      <c r="G222" s="168"/>
      <c r="H222" s="120" t="str">
        <f t="shared" ref="H222" si="164">+IF(OR($E222="",G222=""),"",$E222*G222)</f>
        <v/>
      </c>
    </row>
    <row r="223" spans="2:8" ht="22.5" outlineLevel="2">
      <c r="C223" s="27" t="s">
        <v>353</v>
      </c>
      <c r="D223" s="146">
        <v>10</v>
      </c>
      <c r="E223" s="147">
        <v>232.92</v>
      </c>
      <c r="F223" s="118">
        <f t="shared" si="162"/>
        <v>2329.1999999999998</v>
      </c>
      <c r="G223" s="168"/>
      <c r="H223" s="120" t="str">
        <f t="shared" ref="H223" si="165">+IF(OR($E223="",G223=""),"",$E223*G223)</f>
        <v/>
      </c>
    </row>
    <row r="224" spans="2:8" ht="33.75" outlineLevel="2">
      <c r="C224" s="27" t="s">
        <v>354</v>
      </c>
      <c r="D224" s="146">
        <v>10</v>
      </c>
      <c r="E224" s="147">
        <v>184.84</v>
      </c>
      <c r="F224" s="118">
        <f t="shared" si="162"/>
        <v>1848.4</v>
      </c>
      <c r="G224" s="177"/>
      <c r="H224" s="120" t="str">
        <f t="shared" ref="H224" si="166">+IF(OR($E224="",G224=""),"",$E224*G224)</f>
        <v/>
      </c>
    </row>
    <row r="225" spans="2:8" ht="22.5" outlineLevel="2">
      <c r="C225" s="27" t="s">
        <v>355</v>
      </c>
      <c r="D225" s="146">
        <v>10</v>
      </c>
      <c r="E225" s="147">
        <v>151.37</v>
      </c>
      <c r="F225" s="118">
        <f t="shared" si="162"/>
        <v>1513.7</v>
      </c>
      <c r="G225" s="177">
        <v>8</v>
      </c>
      <c r="H225" s="120">
        <f t="shared" ref="H225" si="167">+IF(OR($E225="",G225=""),"",$E225*G225)</f>
        <v>1210.96</v>
      </c>
    </row>
    <row r="226" spans="2:8" ht="33.75" outlineLevel="2">
      <c r="C226" s="27" t="s">
        <v>356</v>
      </c>
      <c r="D226" s="146">
        <v>28</v>
      </c>
      <c r="E226" s="147">
        <v>428.22</v>
      </c>
      <c r="F226" s="118">
        <f t="shared" si="162"/>
        <v>11990.16</v>
      </c>
      <c r="G226" s="168"/>
      <c r="H226" s="120" t="str">
        <f t="shared" ref="H226" si="168">+IF(OR($E226="",G226=""),"",$E226*G226)</f>
        <v/>
      </c>
    </row>
    <row r="227" spans="2:8" ht="33.75" outlineLevel="2">
      <c r="C227" s="27" t="s">
        <v>357</v>
      </c>
      <c r="D227" s="146">
        <v>10</v>
      </c>
      <c r="E227" s="147">
        <v>478.55</v>
      </c>
      <c r="F227" s="118">
        <f t="shared" si="162"/>
        <v>4785.5</v>
      </c>
      <c r="G227" s="177">
        <v>2</v>
      </c>
      <c r="H227" s="120">
        <f t="shared" ref="H227" si="169">+IF(OR($E227="",G227=""),"",$E227*G227)</f>
        <v>957.1</v>
      </c>
    </row>
    <row r="228" spans="2:8" ht="22.5" outlineLevel="2">
      <c r="C228" s="27" t="s">
        <v>358</v>
      </c>
      <c r="D228" s="146">
        <v>20</v>
      </c>
      <c r="E228" s="147">
        <v>26.2</v>
      </c>
      <c r="F228" s="118">
        <f t="shared" si="162"/>
        <v>524</v>
      </c>
      <c r="G228" s="168"/>
      <c r="H228" s="120" t="str">
        <f t="shared" ref="H228" si="170">+IF(OR($E228="",G228=""),"",$E228*G228)</f>
        <v/>
      </c>
    </row>
    <row r="229" spans="2:8" ht="22.5" outlineLevel="2">
      <c r="C229" s="27" t="s">
        <v>359</v>
      </c>
      <c r="D229" s="146">
        <v>20</v>
      </c>
      <c r="E229" s="147">
        <v>22.93</v>
      </c>
      <c r="F229" s="118">
        <f t="shared" si="162"/>
        <v>458.6</v>
      </c>
      <c r="G229" s="168"/>
      <c r="H229" s="120" t="str">
        <f t="shared" ref="H229" si="171">+IF(OR($E229="",G229=""),"",$E229*G229)</f>
        <v/>
      </c>
    </row>
    <row r="230" spans="2:8" ht="33.75" outlineLevel="2">
      <c r="B230" s="127"/>
      <c r="C230" s="128" t="s">
        <v>360</v>
      </c>
      <c r="D230" s="1">
        <v>8</v>
      </c>
      <c r="E230" s="117">
        <v>93.06</v>
      </c>
      <c r="F230" s="118">
        <f t="shared" si="162"/>
        <v>744.48</v>
      </c>
      <c r="G230" s="168"/>
      <c r="H230" s="120" t="str">
        <f t="shared" ref="H230" si="172">+IF(OR($E230="",G230=""),"",$E230*G230)</f>
        <v/>
      </c>
    </row>
    <row r="231" spans="2:8" s="110" customFormat="1" ht="18" customHeight="1" outlineLevel="1">
      <c r="B231" s="121" t="s">
        <v>529</v>
      </c>
      <c r="C231" s="122" t="s">
        <v>273</v>
      </c>
      <c r="D231" s="123"/>
      <c r="E231" s="124"/>
      <c r="F231" s="125">
        <f>+SUM(F232:F234)</f>
        <v>5974.82</v>
      </c>
      <c r="G231" s="169"/>
      <c r="H231" s="126">
        <f>+SUM(H232:H234)</f>
        <v>0</v>
      </c>
    </row>
    <row r="232" spans="2:8" ht="191.25" outlineLevel="2">
      <c r="B232" s="19"/>
      <c r="C232" s="26" t="s">
        <v>361</v>
      </c>
      <c r="D232" s="1">
        <v>1</v>
      </c>
      <c r="E232" s="117">
        <v>2500</v>
      </c>
      <c r="F232" s="118">
        <f>+D232*E232</f>
        <v>2500</v>
      </c>
      <c r="G232" s="168"/>
      <c r="H232" s="120" t="str">
        <f t="shared" ref="H232" si="173">+IF(OR($E232="",G232=""),"",$E232*G232)</f>
        <v/>
      </c>
    </row>
    <row r="233" spans="2:8" ht="33.75" outlineLevel="2">
      <c r="C233" s="27" t="s">
        <v>362</v>
      </c>
      <c r="D233" s="1">
        <v>1</v>
      </c>
      <c r="E233" s="117">
        <v>3343.82</v>
      </c>
      <c r="F233" s="118">
        <f>+D233*E233</f>
        <v>3343.82</v>
      </c>
      <c r="G233" s="168"/>
      <c r="H233" s="120" t="str">
        <f t="shared" ref="H233" si="174">+IF(OR($E233="",G233=""),"",$E233*G233)</f>
        <v/>
      </c>
    </row>
    <row r="234" spans="2:8" ht="33.75" outlineLevel="2">
      <c r="C234" s="27" t="s">
        <v>363</v>
      </c>
      <c r="D234" s="1">
        <v>1</v>
      </c>
      <c r="E234" s="117">
        <v>131</v>
      </c>
      <c r="F234" s="118">
        <f>+D234*E234</f>
        <v>131</v>
      </c>
      <c r="G234" s="168"/>
      <c r="H234" s="120" t="str">
        <f t="shared" ref="H234" si="175">+IF(OR($E234="",G234=""),"",$E234*G234)</f>
        <v/>
      </c>
    </row>
    <row r="235" spans="2:8" s="6" customFormat="1" ht="18" customHeight="1">
      <c r="B235" s="15" t="s">
        <v>5</v>
      </c>
      <c r="C235" s="25" t="s">
        <v>519</v>
      </c>
      <c r="D235" s="18"/>
      <c r="E235" s="107"/>
      <c r="F235" s="108">
        <f>+SUM(F236:F244)</f>
        <v>18773.004000000004</v>
      </c>
      <c r="G235" s="170"/>
      <c r="H235" s="109">
        <f>+SUM(H236:H244)</f>
        <v>0</v>
      </c>
    </row>
    <row r="236" spans="2:8" s="6" customFormat="1" ht="18" customHeight="1" outlineLevel="1">
      <c r="B236" s="148" t="s">
        <v>12</v>
      </c>
      <c r="C236" s="149" t="s">
        <v>274</v>
      </c>
      <c r="D236" s="150"/>
      <c r="E236" s="151"/>
      <c r="F236" s="152"/>
      <c r="G236" s="174"/>
      <c r="H236" s="153" t="str">
        <f t="shared" ref="H236" si="176">+IF(OR($E236="",G236=""),"",$E236*G236)</f>
        <v/>
      </c>
    </row>
    <row r="237" spans="2:8" ht="168.75" outlineLevel="2">
      <c r="C237" s="27" t="s">
        <v>622</v>
      </c>
      <c r="F237" s="118"/>
      <c r="G237" s="168"/>
    </row>
    <row r="238" spans="2:8" ht="22.5" outlineLevel="2">
      <c r="C238" s="27" t="s">
        <v>364</v>
      </c>
      <c r="D238" s="1">
        <v>925.6</v>
      </c>
      <c r="E238" s="117">
        <v>7.65</v>
      </c>
      <c r="F238" s="118">
        <f t="shared" ref="F238:F244" si="177">+D238*E238</f>
        <v>7080.84</v>
      </c>
      <c r="G238" s="168"/>
      <c r="H238" s="120" t="str">
        <f t="shared" ref="H238" si="178">+IF(OR($E238="",G238=""),"",$E238*G238)</f>
        <v/>
      </c>
    </row>
    <row r="239" spans="2:8" ht="22.5" outlineLevel="2">
      <c r="C239" s="27" t="s">
        <v>365</v>
      </c>
      <c r="D239" s="1">
        <v>592.99</v>
      </c>
      <c r="E239" s="117">
        <v>7.65</v>
      </c>
      <c r="F239" s="118">
        <f t="shared" si="177"/>
        <v>4536.3735000000006</v>
      </c>
      <c r="G239" s="168"/>
      <c r="H239" s="120" t="str">
        <f t="shared" ref="H239" si="179">+IF(OR($E239="",G239=""),"",$E239*G239)</f>
        <v/>
      </c>
    </row>
    <row r="240" spans="2:8" ht="22.5" outlineLevel="2">
      <c r="C240" s="27" t="s">
        <v>366</v>
      </c>
      <c r="D240" s="1">
        <v>33.090000000000003</v>
      </c>
      <c r="E240" s="117">
        <v>7.65</v>
      </c>
      <c r="F240" s="118">
        <f t="shared" si="177"/>
        <v>253.13850000000005</v>
      </c>
      <c r="G240" s="168"/>
      <c r="H240" s="120" t="str">
        <f t="shared" ref="H240" si="180">+IF(OR($E240="",G240=""),"",$E240*G240)</f>
        <v/>
      </c>
    </row>
    <row r="241" spans="2:8" ht="22.5" outlineLevel="2">
      <c r="C241" s="27" t="s">
        <v>367</v>
      </c>
      <c r="D241" s="1">
        <v>17.55</v>
      </c>
      <c r="E241" s="117">
        <v>7.65</v>
      </c>
      <c r="F241" s="118">
        <f t="shared" si="177"/>
        <v>134.25750000000002</v>
      </c>
      <c r="G241" s="168"/>
      <c r="H241" s="120" t="str">
        <f t="shared" ref="H241" si="181">+IF(OR($E241="",G241=""),"",$E241*G241)</f>
        <v/>
      </c>
    </row>
    <row r="242" spans="2:8" ht="22.5" outlineLevel="2">
      <c r="C242" s="27" t="s">
        <v>368</v>
      </c>
      <c r="D242" s="1">
        <v>192.81</v>
      </c>
      <c r="E242" s="117">
        <v>7.65</v>
      </c>
      <c r="F242" s="118">
        <f t="shared" si="177"/>
        <v>1474.9965000000002</v>
      </c>
      <c r="G242" s="168"/>
      <c r="H242" s="120" t="str">
        <f t="shared" ref="H242" si="182">+IF(OR($E242="",G242=""),"",$E242*G242)</f>
        <v/>
      </c>
    </row>
    <row r="243" spans="2:8" s="110" customFormat="1" ht="15" customHeight="1" outlineLevel="2">
      <c r="B243" s="143"/>
      <c r="C243" s="144" t="s">
        <v>691</v>
      </c>
      <c r="D243" s="139"/>
      <c r="E243" s="140"/>
      <c r="F243" s="141"/>
      <c r="G243" s="172"/>
      <c r="H243" s="226"/>
    </row>
    <row r="244" spans="2:8" ht="123.75" outlineLevel="2">
      <c r="C244" s="27" t="s">
        <v>623</v>
      </c>
      <c r="D244" s="1">
        <v>17.309999999999999</v>
      </c>
      <c r="E244" s="117">
        <v>305.8</v>
      </c>
      <c r="F244" s="118">
        <f t="shared" si="177"/>
        <v>5293.3980000000001</v>
      </c>
      <c r="G244" s="168"/>
      <c r="H244" s="120" t="str">
        <f t="shared" ref="H244" si="183">+IF(OR($E244="",G244=""),"",$E244*G244)</f>
        <v/>
      </c>
    </row>
    <row r="245" spans="2:8" s="6" customFormat="1" ht="18" customHeight="1">
      <c r="B245" s="15" t="s">
        <v>6</v>
      </c>
      <c r="C245" s="25" t="s">
        <v>517</v>
      </c>
      <c r="D245" s="18"/>
      <c r="E245" s="107"/>
      <c r="F245" s="108">
        <f>+SUM(F246,F333,F337)</f>
        <v>43198.548900000002</v>
      </c>
      <c r="G245" s="170"/>
      <c r="H245" s="109">
        <f>+SUM(H246,H333,H337)</f>
        <v>8.8279000000013069E-2</v>
      </c>
    </row>
    <row r="246" spans="2:8" s="110" customFormat="1" ht="18" customHeight="1" outlineLevel="1">
      <c r="B246" s="111" t="s">
        <v>13</v>
      </c>
      <c r="C246" s="112" t="s">
        <v>275</v>
      </c>
      <c r="D246" s="113"/>
      <c r="E246" s="114"/>
      <c r="F246" s="115">
        <f>+SUM(F247:F332)</f>
        <v>28869.816999999999</v>
      </c>
      <c r="G246" s="175"/>
      <c r="H246" s="116">
        <f>+SUM(H247:H332)</f>
        <v>8.8279000000013069E-2</v>
      </c>
    </row>
    <row r="247" spans="2:8" s="110" customFormat="1" ht="15" customHeight="1" outlineLevel="2">
      <c r="B247" s="154"/>
      <c r="C247" s="138" t="s">
        <v>369</v>
      </c>
      <c r="D247" s="155"/>
      <c r="E247" s="156"/>
      <c r="F247" s="145"/>
      <c r="G247" s="173"/>
      <c r="H247" s="227"/>
    </row>
    <row r="248" spans="2:8" ht="22.5" outlineLevel="2">
      <c r="C248" s="27" t="s">
        <v>370</v>
      </c>
      <c r="F248" s="118"/>
      <c r="G248" s="168"/>
    </row>
    <row r="249" spans="2:8" ht="112.5" outlineLevel="2">
      <c r="C249" s="27" t="s">
        <v>28</v>
      </c>
      <c r="F249" s="118"/>
      <c r="G249" s="168"/>
    </row>
    <row r="250" spans="2:8" ht="15" customHeight="1" outlineLevel="2">
      <c r="C250" s="27" t="s">
        <v>29</v>
      </c>
      <c r="D250" s="1">
        <v>101.02000000000001</v>
      </c>
      <c r="E250" s="117">
        <v>6.33</v>
      </c>
      <c r="F250" s="118">
        <f t="shared" ref="F250:F278" si="184">+D250*E250</f>
        <v>639.45660000000009</v>
      </c>
      <c r="G250" s="168"/>
      <c r="H250" s="120" t="str">
        <f t="shared" ref="H250" si="185">+IF(OR($E250="",G250=""),"",$E250*G250)</f>
        <v/>
      </c>
    </row>
    <row r="251" spans="2:8" ht="15" customHeight="1" outlineLevel="2">
      <c r="C251" s="27" t="s">
        <v>30</v>
      </c>
      <c r="D251" s="1">
        <v>72.179999999999993</v>
      </c>
      <c r="E251" s="117">
        <v>7.76</v>
      </c>
      <c r="F251" s="118">
        <f t="shared" si="184"/>
        <v>560.1167999999999</v>
      </c>
      <c r="G251" s="168"/>
      <c r="H251" s="120" t="str">
        <f t="shared" ref="H251" si="186">+IF(OR($E251="",G251=""),"",$E251*G251)</f>
        <v/>
      </c>
    </row>
    <row r="252" spans="2:8" ht="15" customHeight="1" outlineLevel="2">
      <c r="C252" s="27" t="s">
        <v>31</v>
      </c>
      <c r="D252" s="1">
        <v>56.57</v>
      </c>
      <c r="E252" s="117">
        <v>10.18</v>
      </c>
      <c r="F252" s="118">
        <f t="shared" si="184"/>
        <v>575.88260000000002</v>
      </c>
      <c r="G252" s="168"/>
      <c r="H252" s="120" t="str">
        <f t="shared" ref="H252" si="187">+IF(OR($E252="",G252=""),"",$E252*G252)</f>
        <v/>
      </c>
    </row>
    <row r="253" spans="2:8" ht="15" customHeight="1" outlineLevel="2">
      <c r="C253" s="27" t="s">
        <v>32</v>
      </c>
      <c r="D253" s="1">
        <v>12.32</v>
      </c>
      <c r="E253" s="117">
        <v>12.36</v>
      </c>
      <c r="F253" s="118">
        <f t="shared" si="184"/>
        <v>152.27519999999998</v>
      </c>
      <c r="G253" s="168"/>
      <c r="H253" s="120" t="str">
        <f t="shared" ref="H253" si="188">+IF(OR($E253="",G253=""),"",$E253*G253)</f>
        <v/>
      </c>
    </row>
    <row r="254" spans="2:8" ht="15" customHeight="1" outlineLevel="2">
      <c r="C254" s="27" t="s">
        <v>33</v>
      </c>
      <c r="D254" s="1">
        <v>35.07</v>
      </c>
      <c r="E254" s="117">
        <v>20.53</v>
      </c>
      <c r="F254" s="118">
        <f t="shared" si="184"/>
        <v>719.98710000000005</v>
      </c>
      <c r="G254" s="168">
        <v>4.3000000000006366E-3</v>
      </c>
      <c r="H254" s="120">
        <f t="shared" ref="H254" si="189">+IF(OR($E254="",G254=""),"",$E254*G254)</f>
        <v>8.8279000000013069E-2</v>
      </c>
    </row>
    <row r="255" spans="2:8" ht="22.5" outlineLevel="2">
      <c r="C255" s="27" t="s">
        <v>371</v>
      </c>
      <c r="D255" s="1">
        <v>13.25</v>
      </c>
      <c r="E255" s="117">
        <v>33.700000000000003</v>
      </c>
      <c r="F255" s="118">
        <f t="shared" si="184"/>
        <v>446.52500000000003</v>
      </c>
      <c r="G255" s="168"/>
      <c r="H255" s="120" t="str">
        <f t="shared" ref="H255" si="190">+IF(OR($E255="",G255=""),"",$E255*G255)</f>
        <v/>
      </c>
    </row>
    <row r="256" spans="2:8" s="6" customFormat="1" ht="15" customHeight="1" outlineLevel="2">
      <c r="B256" s="157"/>
      <c r="C256" s="144" t="s">
        <v>693</v>
      </c>
      <c r="D256" s="139"/>
      <c r="E256" s="140"/>
      <c r="F256" s="141"/>
      <c r="G256" s="172"/>
      <c r="H256" s="226"/>
    </row>
    <row r="257" spans="2:8" ht="135" outlineLevel="2">
      <c r="C257" s="27" t="s">
        <v>547</v>
      </c>
      <c r="F257" s="118"/>
      <c r="G257" s="168"/>
    </row>
    <row r="258" spans="2:8" ht="15" customHeight="1" outlineLevel="2">
      <c r="C258" s="27" t="s">
        <v>32</v>
      </c>
      <c r="D258" s="1">
        <v>8.69</v>
      </c>
      <c r="E258" s="117">
        <v>12.88</v>
      </c>
      <c r="F258" s="118">
        <f t="shared" si="184"/>
        <v>111.9272</v>
      </c>
      <c r="G258" s="168"/>
      <c r="H258" s="120" t="str">
        <f t="shared" ref="H258" si="191">+IF(OR($E258="",G258=""),"",$E258*G258)</f>
        <v/>
      </c>
    </row>
    <row r="259" spans="2:8" ht="15" customHeight="1" outlineLevel="2">
      <c r="C259" s="27" t="s">
        <v>33</v>
      </c>
      <c r="D259" s="1">
        <v>5.57</v>
      </c>
      <c r="E259" s="117">
        <v>21.39</v>
      </c>
      <c r="F259" s="118">
        <f t="shared" si="184"/>
        <v>119.14230000000001</v>
      </c>
      <c r="G259" s="168"/>
      <c r="H259" s="120" t="str">
        <f t="shared" ref="H259" si="192">+IF(OR($E259="",G259=""),"",$E259*G259)</f>
        <v/>
      </c>
    </row>
    <row r="260" spans="2:8" ht="22.5" outlineLevel="2">
      <c r="C260" s="27" t="s">
        <v>371</v>
      </c>
      <c r="D260" s="1">
        <v>5.51</v>
      </c>
      <c r="E260" s="117">
        <v>35.08</v>
      </c>
      <c r="F260" s="118">
        <f t="shared" si="184"/>
        <v>193.29079999999999</v>
      </c>
      <c r="G260" s="168"/>
      <c r="H260" s="120" t="str">
        <f t="shared" ref="H260" si="193">+IF(OR($E260="",G260=""),"",$E260*G260)</f>
        <v/>
      </c>
    </row>
    <row r="261" spans="2:8" ht="15" customHeight="1" outlineLevel="2">
      <c r="C261" s="144" t="s">
        <v>692</v>
      </c>
      <c r="D261" s="158"/>
      <c r="E261" s="159"/>
      <c r="F261" s="118"/>
      <c r="G261" s="168"/>
    </row>
    <row r="262" spans="2:8" ht="180" outlineLevel="2">
      <c r="C262" s="27" t="s">
        <v>624</v>
      </c>
      <c r="F262" s="118"/>
      <c r="G262" s="168"/>
    </row>
    <row r="263" spans="2:8" ht="15" customHeight="1" outlineLevel="2">
      <c r="C263" s="27" t="s">
        <v>29</v>
      </c>
      <c r="D263" s="1">
        <v>88.2</v>
      </c>
      <c r="E263" s="117">
        <v>12.19</v>
      </c>
      <c r="F263" s="118">
        <f t="shared" si="184"/>
        <v>1075.1579999999999</v>
      </c>
      <c r="G263" s="168"/>
      <c r="H263" s="120" t="str">
        <f t="shared" ref="H263" si="194">+IF(OR($E263="",G263=""),"",$E263*G263)</f>
        <v/>
      </c>
    </row>
    <row r="264" spans="2:8" ht="15" customHeight="1" outlineLevel="2">
      <c r="C264" s="27" t="s">
        <v>30</v>
      </c>
      <c r="D264" s="1">
        <v>36.729999999999997</v>
      </c>
      <c r="E264" s="117">
        <v>13.57</v>
      </c>
      <c r="F264" s="118">
        <f t="shared" si="184"/>
        <v>498.42609999999996</v>
      </c>
      <c r="G264" s="168"/>
      <c r="H264" s="120" t="str">
        <f t="shared" ref="H264" si="195">+IF(OR($E264="",G264=""),"",$E264*G264)</f>
        <v/>
      </c>
    </row>
    <row r="265" spans="2:8" ht="15" customHeight="1" outlineLevel="2">
      <c r="C265" s="27" t="s">
        <v>31</v>
      </c>
      <c r="D265" s="1">
        <v>68.45</v>
      </c>
      <c r="E265" s="117">
        <v>15.18</v>
      </c>
      <c r="F265" s="118">
        <f t="shared" si="184"/>
        <v>1039.0709999999999</v>
      </c>
      <c r="G265" s="168"/>
      <c r="H265" s="120" t="str">
        <f t="shared" ref="H265" si="196">+IF(OR($E265="",G265=""),"",$E265*G265)</f>
        <v/>
      </c>
    </row>
    <row r="266" spans="2:8" ht="22.5" outlineLevel="2">
      <c r="C266" s="27" t="s">
        <v>372</v>
      </c>
      <c r="D266" s="1">
        <v>36.33</v>
      </c>
      <c r="E266" s="117">
        <v>17.940000000000001</v>
      </c>
      <c r="F266" s="118">
        <f t="shared" si="184"/>
        <v>651.76020000000005</v>
      </c>
      <c r="G266" s="168"/>
      <c r="H266" s="120" t="str">
        <f t="shared" ref="H266" si="197">+IF(OR($E266="",G266=""),"",$E266*G266)</f>
        <v/>
      </c>
    </row>
    <row r="267" spans="2:8" s="110" customFormat="1" ht="15" customHeight="1" outlineLevel="2">
      <c r="B267" s="143"/>
      <c r="C267" s="144" t="s">
        <v>694</v>
      </c>
      <c r="D267" s="139"/>
      <c r="E267" s="140"/>
      <c r="F267" s="145"/>
      <c r="G267" s="173"/>
      <c r="H267" s="227"/>
    </row>
    <row r="268" spans="2:8" ht="168.75" outlineLevel="2">
      <c r="C268" s="27" t="s">
        <v>548</v>
      </c>
      <c r="F268" s="118"/>
      <c r="G268" s="168"/>
    </row>
    <row r="269" spans="2:8" ht="22.5" outlineLevel="2">
      <c r="C269" s="27" t="s">
        <v>372</v>
      </c>
      <c r="D269" s="1">
        <v>13.55</v>
      </c>
      <c r="E269" s="117">
        <v>18.98</v>
      </c>
      <c r="F269" s="118">
        <f t="shared" si="184"/>
        <v>257.17900000000003</v>
      </c>
      <c r="G269" s="168"/>
      <c r="H269" s="120" t="str">
        <f t="shared" ref="H269" si="198">+IF(OR($E269="",G269=""),"",$E269*G269)</f>
        <v/>
      </c>
    </row>
    <row r="270" spans="2:8" s="110" customFormat="1" ht="15" customHeight="1" outlineLevel="2">
      <c r="B270" s="143"/>
      <c r="C270" s="144" t="s">
        <v>373</v>
      </c>
      <c r="D270" s="139"/>
      <c r="E270" s="140"/>
      <c r="F270" s="145"/>
      <c r="G270" s="173"/>
      <c r="H270" s="227"/>
    </row>
    <row r="271" spans="2:8" ht="225" outlineLevel="2">
      <c r="C271" s="27" t="s">
        <v>695</v>
      </c>
      <c r="F271" s="118"/>
      <c r="G271" s="168"/>
    </row>
    <row r="272" spans="2:8" ht="22.5" outlineLevel="2">
      <c r="C272" s="27" t="s">
        <v>374</v>
      </c>
      <c r="D272" s="1">
        <v>73.239999999999995</v>
      </c>
      <c r="E272" s="117">
        <v>12.19</v>
      </c>
      <c r="F272" s="118">
        <f t="shared" si="184"/>
        <v>892.79559999999992</v>
      </c>
      <c r="G272" s="168"/>
      <c r="H272" s="120" t="str">
        <f t="shared" ref="H272" si="199">+IF(OR($E272="",G272=""),"",$E272*G272)</f>
        <v/>
      </c>
    </row>
    <row r="273" spans="2:8" s="110" customFormat="1" ht="15" customHeight="1" outlineLevel="2">
      <c r="B273" s="143"/>
      <c r="C273" s="144" t="s">
        <v>375</v>
      </c>
      <c r="D273" s="139"/>
      <c r="E273" s="140"/>
      <c r="F273" s="145"/>
      <c r="G273" s="173"/>
      <c r="H273" s="227"/>
    </row>
    <row r="274" spans="2:8" ht="123.75" outlineLevel="2">
      <c r="C274" s="27" t="s">
        <v>696</v>
      </c>
      <c r="F274" s="118"/>
      <c r="G274" s="168"/>
    </row>
    <row r="275" spans="2:8" ht="15" customHeight="1" outlineLevel="2">
      <c r="C275" s="27" t="s">
        <v>33</v>
      </c>
      <c r="D275" s="1">
        <v>53.75</v>
      </c>
      <c r="E275" s="117">
        <v>28.18</v>
      </c>
      <c r="F275" s="118">
        <f t="shared" si="184"/>
        <v>1514.675</v>
      </c>
      <c r="G275" s="168"/>
      <c r="H275" s="120" t="str">
        <f t="shared" ref="H275" si="200">+IF(OR($E275="",G275=""),"",$E275*G275)</f>
        <v/>
      </c>
    </row>
    <row r="276" spans="2:8" ht="15" customHeight="1" outlineLevel="2">
      <c r="C276" s="27" t="s">
        <v>34</v>
      </c>
      <c r="D276" s="1">
        <v>14.09</v>
      </c>
      <c r="E276" s="117">
        <v>40.25</v>
      </c>
      <c r="F276" s="118">
        <f t="shared" si="184"/>
        <v>567.12249999999995</v>
      </c>
      <c r="G276" s="168"/>
      <c r="H276" s="120" t="str">
        <f t="shared" ref="H276" si="201">+IF(OR($E276="",G276=""),"",$E276*G276)</f>
        <v/>
      </c>
    </row>
    <row r="277" spans="2:8" ht="15" customHeight="1" outlineLevel="2">
      <c r="C277" s="27" t="s">
        <v>35</v>
      </c>
      <c r="D277" s="1">
        <v>4.88</v>
      </c>
      <c r="E277" s="117">
        <v>52.33</v>
      </c>
      <c r="F277" s="118">
        <f t="shared" si="184"/>
        <v>255.37039999999999</v>
      </c>
      <c r="G277" s="168"/>
      <c r="H277" s="120" t="str">
        <f t="shared" ref="H277" si="202">+IF(OR($E277="",G277=""),"",$E277*G277)</f>
        <v/>
      </c>
    </row>
    <row r="278" spans="2:8" ht="22.5" outlineLevel="2">
      <c r="C278" s="27" t="s">
        <v>376</v>
      </c>
      <c r="D278" s="1">
        <v>56.74</v>
      </c>
      <c r="E278" s="117">
        <v>63.94</v>
      </c>
      <c r="F278" s="118">
        <f t="shared" si="184"/>
        <v>3627.9555999999998</v>
      </c>
      <c r="G278" s="168"/>
      <c r="H278" s="120" t="str">
        <f t="shared" ref="H278" si="203">+IF(OR($E278="",G278=""),"",$E278*G278)</f>
        <v/>
      </c>
    </row>
    <row r="279" spans="2:8" s="110" customFormat="1" ht="15" customHeight="1" outlineLevel="2">
      <c r="B279" s="143"/>
      <c r="C279" s="144" t="s">
        <v>697</v>
      </c>
      <c r="D279" s="139"/>
      <c r="E279" s="140"/>
      <c r="F279" s="145"/>
      <c r="G279" s="173"/>
      <c r="H279" s="227"/>
    </row>
    <row r="280" spans="2:8" s="110" customFormat="1" ht="15" customHeight="1" outlineLevel="2">
      <c r="B280" s="143"/>
      <c r="C280" s="144" t="s">
        <v>378</v>
      </c>
      <c r="D280" s="139"/>
      <c r="E280" s="140"/>
      <c r="F280" s="145"/>
      <c r="G280" s="173"/>
      <c r="H280" s="227"/>
    </row>
    <row r="281" spans="2:8" ht="101.25" outlineLevel="2">
      <c r="C281" s="27" t="s">
        <v>625</v>
      </c>
      <c r="F281" s="118"/>
      <c r="G281" s="168"/>
    </row>
    <row r="282" spans="2:8" ht="22.5" outlineLevel="2">
      <c r="C282" s="27" t="s">
        <v>374</v>
      </c>
      <c r="D282" s="1">
        <v>14</v>
      </c>
      <c r="E282" s="117">
        <v>46</v>
      </c>
      <c r="F282" s="118">
        <f t="shared" ref="F282:F313" si="204">+D282*E282</f>
        <v>644</v>
      </c>
      <c r="G282" s="168"/>
      <c r="H282" s="120" t="str">
        <f t="shared" ref="H282" si="205">+IF(OR($E282="",G282=""),"",$E282*G282)</f>
        <v/>
      </c>
    </row>
    <row r="283" spans="2:8" s="110" customFormat="1" ht="15" customHeight="1" outlineLevel="2">
      <c r="B283" s="143"/>
      <c r="C283" s="144" t="s">
        <v>377</v>
      </c>
      <c r="D283" s="139"/>
      <c r="E283" s="140"/>
      <c r="F283" s="145"/>
      <c r="G283" s="173"/>
      <c r="H283" s="227"/>
    </row>
    <row r="284" spans="2:8" ht="90" outlineLevel="2">
      <c r="C284" s="27" t="s">
        <v>36</v>
      </c>
      <c r="F284" s="118"/>
      <c r="G284" s="168"/>
    </row>
    <row r="285" spans="2:8" ht="15" customHeight="1" outlineLevel="2">
      <c r="C285" s="27" t="s">
        <v>29</v>
      </c>
      <c r="D285" s="1">
        <v>4</v>
      </c>
      <c r="E285" s="117">
        <v>46</v>
      </c>
      <c r="F285" s="118">
        <f t="shared" si="204"/>
        <v>184</v>
      </c>
      <c r="G285" s="168"/>
      <c r="H285" s="120" t="str">
        <f t="shared" ref="H285" si="206">+IF(OR($E285="",G285=""),"",$E285*G285)</f>
        <v/>
      </c>
    </row>
    <row r="286" spans="2:8" ht="15" customHeight="1" outlineLevel="2">
      <c r="C286" s="27" t="s">
        <v>30</v>
      </c>
      <c r="D286" s="1">
        <v>4</v>
      </c>
      <c r="E286" s="117">
        <v>46</v>
      </c>
      <c r="F286" s="118">
        <f t="shared" si="204"/>
        <v>184</v>
      </c>
      <c r="G286" s="168"/>
      <c r="H286" s="120" t="str">
        <f t="shared" ref="H286" si="207">+IF(OR($E286="",G286=""),"",$E286*G286)</f>
        <v/>
      </c>
    </row>
    <row r="287" spans="2:8" ht="15" customHeight="1" outlineLevel="2">
      <c r="C287" s="27" t="s">
        <v>31</v>
      </c>
      <c r="D287" s="1">
        <v>20</v>
      </c>
      <c r="E287" s="117">
        <v>51.75</v>
      </c>
      <c r="F287" s="118">
        <f t="shared" si="204"/>
        <v>1035</v>
      </c>
      <c r="G287" s="168"/>
      <c r="H287" s="120" t="str">
        <f t="shared" ref="H287" si="208">+IF(OR($E287="",G287=""),"",$E287*G287)</f>
        <v/>
      </c>
    </row>
    <row r="288" spans="2:8" ht="15" customHeight="1" outlineLevel="2">
      <c r="C288" s="27" t="s">
        <v>32</v>
      </c>
      <c r="D288" s="1">
        <v>2</v>
      </c>
      <c r="E288" s="117">
        <v>63.25</v>
      </c>
      <c r="F288" s="118">
        <f t="shared" si="204"/>
        <v>126.5</v>
      </c>
      <c r="G288" s="168"/>
      <c r="H288" s="120" t="str">
        <f t="shared" ref="H288" si="209">+IF(OR($E288="",G288=""),"",$E288*G288)</f>
        <v/>
      </c>
    </row>
    <row r="289" spans="2:8" ht="22.5" outlineLevel="2">
      <c r="C289" s="27" t="s">
        <v>376</v>
      </c>
      <c r="D289" s="1">
        <v>2</v>
      </c>
      <c r="E289" s="117">
        <v>138</v>
      </c>
      <c r="F289" s="118">
        <f t="shared" si="204"/>
        <v>276</v>
      </c>
      <c r="G289" s="168"/>
      <c r="H289" s="120" t="str">
        <f t="shared" ref="H289" si="210">+IF(OR($E289="",G289=""),"",$E289*G289)</f>
        <v/>
      </c>
    </row>
    <row r="290" spans="2:8" s="110" customFormat="1" ht="15" customHeight="1" outlineLevel="2">
      <c r="B290" s="143"/>
      <c r="C290" s="144" t="s">
        <v>379</v>
      </c>
      <c r="D290" s="139"/>
      <c r="E290" s="140"/>
      <c r="F290" s="145"/>
      <c r="G290" s="173"/>
      <c r="H290" s="227"/>
    </row>
    <row r="291" spans="2:8" ht="90" outlineLevel="2">
      <c r="C291" s="27" t="s">
        <v>698</v>
      </c>
      <c r="F291" s="118"/>
      <c r="G291" s="168"/>
    </row>
    <row r="292" spans="2:8" ht="15" customHeight="1" outlineLevel="2">
      <c r="C292" s="27" t="s">
        <v>29</v>
      </c>
      <c r="D292" s="1">
        <v>1</v>
      </c>
      <c r="E292" s="117">
        <v>57.5</v>
      </c>
      <c r="F292" s="118">
        <f t="shared" si="204"/>
        <v>57.5</v>
      </c>
      <c r="G292" s="168"/>
      <c r="H292" s="120" t="str">
        <f t="shared" ref="H292" si="211">+IF(OR($E292="",G292=""),"",$E292*G292)</f>
        <v/>
      </c>
    </row>
    <row r="293" spans="2:8" ht="22.5" outlineLevel="2">
      <c r="C293" s="27" t="s">
        <v>372</v>
      </c>
      <c r="D293" s="1">
        <v>1</v>
      </c>
      <c r="E293" s="117">
        <v>86.25</v>
      </c>
      <c r="F293" s="118">
        <f t="shared" si="204"/>
        <v>86.25</v>
      </c>
      <c r="G293" s="168"/>
      <c r="H293" s="120" t="str">
        <f t="shared" ref="H293" si="212">+IF(OR($E293="",G293=""),"",$E293*G293)</f>
        <v/>
      </c>
    </row>
    <row r="294" spans="2:8" s="110" customFormat="1" ht="15" customHeight="1" outlineLevel="2">
      <c r="B294" s="143"/>
      <c r="C294" s="144" t="s">
        <v>380</v>
      </c>
      <c r="D294" s="139"/>
      <c r="E294" s="140"/>
      <c r="F294" s="145"/>
      <c r="G294" s="173"/>
      <c r="H294" s="227"/>
    </row>
    <row r="295" spans="2:8" ht="191.25" outlineLevel="2">
      <c r="C295" s="27" t="s">
        <v>549</v>
      </c>
      <c r="F295" s="118"/>
      <c r="G295" s="168"/>
    </row>
    <row r="296" spans="2:8" ht="22.5" outlineLevel="2">
      <c r="C296" s="27" t="s">
        <v>374</v>
      </c>
      <c r="D296" s="1">
        <v>2</v>
      </c>
      <c r="E296" s="117">
        <v>172.5</v>
      </c>
      <c r="F296" s="118">
        <f t="shared" si="204"/>
        <v>345</v>
      </c>
      <c r="G296" s="168"/>
      <c r="H296" s="120" t="str">
        <f t="shared" ref="H296" si="213">+IF(OR($E296="",G296=""),"",$E296*G296)</f>
        <v/>
      </c>
    </row>
    <row r="297" spans="2:8" s="110" customFormat="1" ht="30" customHeight="1" outlineLevel="2">
      <c r="B297" s="143"/>
      <c r="C297" s="144" t="s">
        <v>550</v>
      </c>
      <c r="D297" s="139"/>
      <c r="E297" s="140"/>
      <c r="F297" s="145"/>
      <c r="G297" s="173"/>
      <c r="H297" s="227"/>
    </row>
    <row r="298" spans="2:8" ht="101.25" outlineLevel="2">
      <c r="C298" s="27" t="s">
        <v>381</v>
      </c>
      <c r="D298" s="1">
        <v>1</v>
      </c>
      <c r="E298" s="117">
        <v>431.25</v>
      </c>
      <c r="F298" s="118">
        <f t="shared" si="204"/>
        <v>431.25</v>
      </c>
      <c r="G298" s="177"/>
      <c r="H298" s="120" t="str">
        <f t="shared" ref="H298" si="214">+IF(OR($E298="",G298=""),"",$E298*G298)</f>
        <v/>
      </c>
    </row>
    <row r="299" spans="2:8" s="110" customFormat="1" ht="15" customHeight="1" outlineLevel="2">
      <c r="B299" s="143"/>
      <c r="C299" s="144" t="s">
        <v>382</v>
      </c>
      <c r="D299" s="139"/>
      <c r="E299" s="140"/>
      <c r="F299" s="145"/>
      <c r="G299" s="173"/>
      <c r="H299" s="227"/>
    </row>
    <row r="300" spans="2:8" ht="135" outlineLevel="2">
      <c r="C300" s="27" t="s">
        <v>626</v>
      </c>
      <c r="D300" s="1">
        <v>2</v>
      </c>
      <c r="E300" s="117">
        <v>517.5</v>
      </c>
      <c r="F300" s="118">
        <f t="shared" si="204"/>
        <v>1035</v>
      </c>
      <c r="G300" s="168"/>
      <c r="H300" s="120" t="str">
        <f t="shared" ref="H300" si="215">+IF(OR($E300="",G300=""),"",$E300*G300)</f>
        <v/>
      </c>
    </row>
    <row r="301" spans="2:8" s="110" customFormat="1" ht="15" customHeight="1" outlineLevel="2">
      <c r="B301" s="143"/>
      <c r="C301" s="144" t="s">
        <v>383</v>
      </c>
      <c r="D301" s="139"/>
      <c r="E301" s="140"/>
      <c r="F301" s="145"/>
      <c r="G301" s="173"/>
      <c r="H301" s="227"/>
    </row>
    <row r="302" spans="2:8" ht="123.75" outlineLevel="2">
      <c r="C302" s="27" t="s">
        <v>627</v>
      </c>
      <c r="F302" s="118"/>
      <c r="G302" s="168"/>
    </row>
    <row r="303" spans="2:8" ht="22.5" outlineLevel="2">
      <c r="C303" s="27" t="s">
        <v>376</v>
      </c>
      <c r="D303" s="1">
        <v>1</v>
      </c>
      <c r="E303" s="117">
        <v>805</v>
      </c>
      <c r="F303" s="118">
        <f t="shared" si="204"/>
        <v>805</v>
      </c>
      <c r="G303" s="168"/>
      <c r="H303" s="120" t="str">
        <f t="shared" ref="H303" si="216">+IF(OR($E303="",G303=""),"",$E303*G303)</f>
        <v/>
      </c>
    </row>
    <row r="304" spans="2:8" s="110" customFormat="1" ht="15" customHeight="1" outlineLevel="2">
      <c r="B304" s="143"/>
      <c r="C304" s="144" t="s">
        <v>384</v>
      </c>
      <c r="D304" s="139"/>
      <c r="E304" s="140"/>
      <c r="F304" s="145"/>
      <c r="G304" s="173"/>
      <c r="H304" s="227"/>
    </row>
    <row r="305" spans="2:8" ht="90" outlineLevel="2">
      <c r="C305" s="27" t="s">
        <v>42</v>
      </c>
      <c r="F305" s="118"/>
      <c r="G305" s="168"/>
    </row>
    <row r="306" spans="2:8" ht="22.5" outlineLevel="2">
      <c r="C306" s="27" t="s">
        <v>376</v>
      </c>
      <c r="D306" s="1">
        <v>1</v>
      </c>
      <c r="E306" s="117">
        <v>57.5</v>
      </c>
      <c r="F306" s="118">
        <f t="shared" si="204"/>
        <v>57.5</v>
      </c>
      <c r="G306" s="168"/>
      <c r="H306" s="120" t="str">
        <f t="shared" ref="H306" si="217">+IF(OR($E306="",G306=""),"",$E306*G306)</f>
        <v/>
      </c>
    </row>
    <row r="307" spans="2:8" s="110" customFormat="1" ht="15" customHeight="1" outlineLevel="2">
      <c r="B307" s="143"/>
      <c r="C307" s="144" t="s">
        <v>385</v>
      </c>
      <c r="D307" s="139"/>
      <c r="E307" s="140"/>
      <c r="F307" s="145"/>
      <c r="G307" s="173"/>
      <c r="H307" s="227"/>
    </row>
    <row r="308" spans="2:8" ht="90" outlineLevel="2">
      <c r="C308" s="27" t="s">
        <v>628</v>
      </c>
      <c r="F308" s="118"/>
      <c r="G308" s="168"/>
    </row>
    <row r="309" spans="2:8" ht="22.5" outlineLevel="2">
      <c r="C309" s="27" t="s">
        <v>376</v>
      </c>
      <c r="D309" s="1">
        <v>1</v>
      </c>
      <c r="E309" s="117">
        <v>517.5</v>
      </c>
      <c r="F309" s="118">
        <f t="shared" si="204"/>
        <v>517.5</v>
      </c>
      <c r="G309" s="168"/>
      <c r="H309" s="120" t="str">
        <f t="shared" ref="H309" si="218">+IF(OR($E309="",G309=""),"",$E309*G309)</f>
        <v/>
      </c>
    </row>
    <row r="310" spans="2:8" s="110" customFormat="1" ht="15" customHeight="1" outlineLevel="2">
      <c r="B310" s="143"/>
      <c r="C310" s="144" t="s">
        <v>386</v>
      </c>
      <c r="D310" s="139"/>
      <c r="E310" s="140"/>
      <c r="F310" s="145"/>
      <c r="G310" s="173"/>
      <c r="H310" s="227"/>
    </row>
    <row r="311" spans="2:8" ht="112.5" outlineLevel="2">
      <c r="C311" s="27" t="s">
        <v>629</v>
      </c>
      <c r="D311" s="1">
        <v>5</v>
      </c>
      <c r="E311" s="117">
        <v>287.5</v>
      </c>
      <c r="F311" s="118">
        <f t="shared" si="204"/>
        <v>1437.5</v>
      </c>
      <c r="G311" s="168"/>
      <c r="H311" s="120" t="str">
        <f t="shared" ref="H311" si="219">+IF(OR($E311="",G311=""),"",$E311*G311)</f>
        <v/>
      </c>
    </row>
    <row r="312" spans="2:8" s="110" customFormat="1" ht="15" customHeight="1" outlineLevel="2">
      <c r="B312" s="143"/>
      <c r="C312" s="144" t="s">
        <v>387</v>
      </c>
      <c r="D312" s="139"/>
      <c r="E312" s="140"/>
      <c r="F312" s="145"/>
      <c r="G312" s="173"/>
      <c r="H312" s="227"/>
    </row>
    <row r="313" spans="2:8" ht="123.75" outlineLevel="2">
      <c r="C313" s="27" t="s">
        <v>388</v>
      </c>
      <c r="D313" s="1">
        <v>5</v>
      </c>
      <c r="E313" s="117">
        <v>632.5</v>
      </c>
      <c r="F313" s="118">
        <f t="shared" si="204"/>
        <v>3162.5</v>
      </c>
      <c r="G313" s="168"/>
      <c r="H313" s="120" t="str">
        <f t="shared" ref="H313" si="220">+IF(OR($E313="",G313=""),"",$E313*G313)</f>
        <v/>
      </c>
    </row>
    <row r="314" spans="2:8" s="110" customFormat="1" ht="15" customHeight="1" outlineLevel="2">
      <c r="B314" s="143"/>
      <c r="C314" s="144" t="s">
        <v>389</v>
      </c>
      <c r="D314" s="139"/>
      <c r="E314" s="140"/>
      <c r="F314" s="145"/>
      <c r="G314" s="173"/>
      <c r="H314" s="227"/>
    </row>
    <row r="315" spans="2:8" ht="90" outlineLevel="2">
      <c r="C315" s="27" t="s">
        <v>390</v>
      </c>
      <c r="D315" s="1">
        <v>2</v>
      </c>
      <c r="E315" s="117">
        <v>40.25</v>
      </c>
      <c r="F315" s="118">
        <f t="shared" ref="F315:F332" si="221">+D315*E315</f>
        <v>80.5</v>
      </c>
      <c r="G315" s="168"/>
      <c r="H315" s="120" t="str">
        <f t="shared" ref="H315" si="222">+IF(OR($E315="",G315=""),"",$E315*G315)</f>
        <v/>
      </c>
    </row>
    <row r="316" spans="2:8" s="110" customFormat="1" ht="15" customHeight="1" outlineLevel="2">
      <c r="B316" s="143"/>
      <c r="C316" s="144" t="s">
        <v>391</v>
      </c>
      <c r="D316" s="139"/>
      <c r="E316" s="140"/>
      <c r="F316" s="145"/>
      <c r="G316" s="173"/>
      <c r="H316" s="227"/>
    </row>
    <row r="317" spans="2:8" ht="67.5" outlineLevel="2">
      <c r="C317" s="27" t="s">
        <v>630</v>
      </c>
      <c r="D317" s="1">
        <v>2</v>
      </c>
      <c r="E317" s="117">
        <v>57.5</v>
      </c>
      <c r="F317" s="118">
        <f t="shared" si="221"/>
        <v>115</v>
      </c>
      <c r="G317" s="168"/>
      <c r="H317" s="120" t="str">
        <f t="shared" ref="H317" si="223">+IF(OR($E317="",G317=""),"",$E317*G317)</f>
        <v/>
      </c>
    </row>
    <row r="318" spans="2:8" s="110" customFormat="1" ht="15" customHeight="1" outlineLevel="2">
      <c r="B318" s="143"/>
      <c r="C318" s="144" t="s">
        <v>250</v>
      </c>
      <c r="D318" s="139"/>
      <c r="E318" s="140"/>
      <c r="F318" s="145"/>
      <c r="G318" s="173"/>
      <c r="H318" s="227"/>
    </row>
    <row r="319" spans="2:8" ht="135" outlineLevel="2">
      <c r="C319" s="27" t="s">
        <v>631</v>
      </c>
      <c r="F319" s="118"/>
      <c r="G319" s="168"/>
    </row>
    <row r="320" spans="2:8" ht="22.5" outlineLevel="2">
      <c r="C320" s="27" t="s">
        <v>392</v>
      </c>
      <c r="D320" s="1">
        <v>1</v>
      </c>
      <c r="E320" s="117">
        <v>1315.45</v>
      </c>
      <c r="F320" s="118">
        <f t="shared" si="221"/>
        <v>1315.45</v>
      </c>
      <c r="G320" s="168"/>
      <c r="H320" s="120" t="str">
        <f t="shared" ref="H320" si="224">+IF(OR($E320="",G320=""),"",$E320*G320)</f>
        <v/>
      </c>
    </row>
    <row r="321" spans="2:8" s="110" customFormat="1" ht="15" customHeight="1" outlineLevel="2">
      <c r="B321" s="143"/>
      <c r="C321" s="144" t="s">
        <v>554</v>
      </c>
      <c r="D321" s="139"/>
      <c r="E321" s="140"/>
      <c r="F321" s="145"/>
      <c r="G321" s="173"/>
      <c r="H321" s="227"/>
    </row>
    <row r="322" spans="2:8" s="110" customFormat="1" ht="15" customHeight="1" outlineLevel="2">
      <c r="B322" s="143"/>
      <c r="C322" s="144" t="s">
        <v>393</v>
      </c>
      <c r="D322" s="139"/>
      <c r="E322" s="140"/>
      <c r="F322" s="145"/>
      <c r="G322" s="173"/>
      <c r="H322" s="227"/>
    </row>
    <row r="323" spans="2:8" ht="180" outlineLevel="2">
      <c r="C323" s="27" t="s">
        <v>551</v>
      </c>
      <c r="F323" s="118"/>
      <c r="G323" s="168"/>
    </row>
    <row r="324" spans="2:8" ht="22.5" outlineLevel="2">
      <c r="C324" s="27" t="s">
        <v>371</v>
      </c>
      <c r="D324" s="1">
        <v>1</v>
      </c>
      <c r="E324" s="117">
        <v>546.25</v>
      </c>
      <c r="F324" s="118">
        <f t="shared" si="221"/>
        <v>546.25</v>
      </c>
      <c r="G324" s="168"/>
      <c r="H324" s="120" t="str">
        <f t="shared" ref="H324" si="225">+IF(OR($E324="",G324=""),"",$E324*G324)</f>
        <v/>
      </c>
    </row>
    <row r="325" spans="2:8" s="110" customFormat="1" ht="15" customHeight="1" outlineLevel="2">
      <c r="B325" s="143"/>
      <c r="C325" s="144" t="s">
        <v>394</v>
      </c>
      <c r="D325" s="139"/>
      <c r="E325" s="140"/>
      <c r="F325" s="145"/>
      <c r="G325" s="173"/>
      <c r="H325" s="227"/>
    </row>
    <row r="326" spans="2:8" ht="67.5" outlineLevel="2">
      <c r="C326" s="27" t="s">
        <v>552</v>
      </c>
      <c r="D326" s="1">
        <v>2</v>
      </c>
      <c r="E326" s="117">
        <v>661.25</v>
      </c>
      <c r="F326" s="118">
        <f t="shared" si="221"/>
        <v>1322.5</v>
      </c>
      <c r="G326" s="168"/>
      <c r="H326" s="120" t="str">
        <f t="shared" ref="H326" si="226">+IF(OR($E326="",G326=""),"",$E326*G326)</f>
        <v/>
      </c>
    </row>
    <row r="327" spans="2:8" s="110" customFormat="1" ht="15" customHeight="1" outlineLevel="2">
      <c r="B327" s="143"/>
      <c r="C327" s="144" t="s">
        <v>395</v>
      </c>
      <c r="D327" s="139"/>
      <c r="E327" s="140"/>
      <c r="F327" s="145"/>
      <c r="G327" s="173"/>
      <c r="H327" s="227"/>
    </row>
    <row r="328" spans="2:8" ht="45" outlineLevel="2">
      <c r="C328" s="27" t="s">
        <v>396</v>
      </c>
      <c r="D328" s="1">
        <v>1</v>
      </c>
      <c r="E328" s="117">
        <v>402.5</v>
      </c>
      <c r="F328" s="118">
        <f t="shared" si="221"/>
        <v>402.5</v>
      </c>
      <c r="G328" s="168"/>
      <c r="H328" s="120" t="str">
        <f t="shared" ref="H328" si="227">+IF(OR($E328="",G328=""),"",$E328*G328)</f>
        <v/>
      </c>
    </row>
    <row r="329" spans="2:8" s="110" customFormat="1" ht="15" customHeight="1" outlineLevel="2">
      <c r="B329" s="143"/>
      <c r="C329" s="144" t="s">
        <v>397</v>
      </c>
      <c r="D329" s="139"/>
      <c r="E329" s="140"/>
      <c r="F329" s="145"/>
      <c r="G329" s="173"/>
      <c r="H329" s="227"/>
    </row>
    <row r="330" spans="2:8" ht="90" outlineLevel="2">
      <c r="C330" s="27" t="s">
        <v>553</v>
      </c>
      <c r="D330" s="1">
        <v>1</v>
      </c>
      <c r="E330" s="117">
        <v>345</v>
      </c>
      <c r="F330" s="118">
        <f t="shared" si="221"/>
        <v>345</v>
      </c>
      <c r="G330" s="168"/>
      <c r="H330" s="120" t="str">
        <f t="shared" ref="H330" si="228">+IF(OR($E330="",G330=""),"",$E330*G330)</f>
        <v/>
      </c>
    </row>
    <row r="331" spans="2:8" s="110" customFormat="1" ht="15" customHeight="1" outlineLevel="2">
      <c r="B331" s="143"/>
      <c r="C331" s="144" t="s">
        <v>398</v>
      </c>
      <c r="D331" s="139"/>
      <c r="E331" s="140"/>
      <c r="F331" s="145"/>
      <c r="G331" s="173"/>
      <c r="H331" s="227"/>
    </row>
    <row r="332" spans="2:8" ht="67.5" outlineLevel="2">
      <c r="C332" s="27" t="s">
        <v>632</v>
      </c>
      <c r="D332" s="1">
        <v>1</v>
      </c>
      <c r="E332" s="117">
        <v>460</v>
      </c>
      <c r="F332" s="118">
        <f t="shared" si="221"/>
        <v>460</v>
      </c>
      <c r="G332" s="168"/>
      <c r="H332" s="120" t="str">
        <f t="shared" ref="H332" si="229">+IF(OR($E332="",G332=""),"",$E332*G332)</f>
        <v/>
      </c>
    </row>
    <row r="333" spans="2:8" s="110" customFormat="1" ht="18" customHeight="1" outlineLevel="1">
      <c r="B333" s="121" t="s">
        <v>17</v>
      </c>
      <c r="C333" s="122" t="s">
        <v>276</v>
      </c>
      <c r="D333" s="123"/>
      <c r="E333" s="124"/>
      <c r="F333" s="125">
        <f>+SUM(F334:F336)</f>
        <v>862.5</v>
      </c>
      <c r="G333" s="169"/>
      <c r="H333" s="126">
        <f>+SUM(H334:H336)</f>
        <v>0</v>
      </c>
    </row>
    <row r="334" spans="2:8" s="110" customFormat="1" ht="15" customHeight="1" outlineLevel="2">
      <c r="B334" s="143"/>
      <c r="C334" s="144" t="s">
        <v>554</v>
      </c>
      <c r="D334" s="139"/>
      <c r="E334" s="140"/>
      <c r="F334" s="145"/>
      <c r="G334" s="173"/>
      <c r="H334" s="227"/>
    </row>
    <row r="335" spans="2:8" ht="292.5" outlineLevel="2">
      <c r="C335" s="27" t="s">
        <v>633</v>
      </c>
      <c r="D335" s="1">
        <v>1</v>
      </c>
      <c r="E335" s="117">
        <v>575</v>
      </c>
      <c r="F335" s="118">
        <f>+D335*E335</f>
        <v>575</v>
      </c>
      <c r="G335" s="168"/>
      <c r="H335" s="120" t="str">
        <f t="shared" ref="H335" si="230">+IF(OR($E335="",G335=""),"",$E335*G335)</f>
        <v/>
      </c>
    </row>
    <row r="336" spans="2:8" ht="135" outlineLevel="2">
      <c r="B336" s="127"/>
      <c r="C336" s="128" t="s">
        <v>639</v>
      </c>
      <c r="D336" s="1">
        <v>1</v>
      </c>
      <c r="E336" s="117">
        <v>287.5</v>
      </c>
      <c r="F336" s="118">
        <f>+D336*E336</f>
        <v>287.5</v>
      </c>
      <c r="G336" s="168"/>
      <c r="H336" s="120" t="str">
        <f t="shared" ref="H336" si="231">+IF(OR($E336="",G336=""),"",$E336*G336)</f>
        <v/>
      </c>
    </row>
    <row r="337" spans="2:8" s="6" customFormat="1" ht="18" customHeight="1" outlineLevel="1">
      <c r="B337" s="121" t="s">
        <v>9</v>
      </c>
      <c r="C337" s="122" t="s">
        <v>277</v>
      </c>
      <c r="D337" s="123"/>
      <c r="E337" s="124"/>
      <c r="F337" s="125">
        <f>+SUM(F338:F370)</f>
        <v>13466.231900000001</v>
      </c>
      <c r="G337" s="169"/>
      <c r="H337" s="126">
        <f>+SUM(H340:H370)</f>
        <v>0</v>
      </c>
    </row>
    <row r="338" spans="2:8" ht="168.75" outlineLevel="2">
      <c r="C338" s="27" t="s">
        <v>734</v>
      </c>
      <c r="F338" s="118"/>
      <c r="G338" s="168"/>
    </row>
    <row r="339" spans="2:8" ht="22.5" outlineLevel="2">
      <c r="C339" s="27" t="s">
        <v>735</v>
      </c>
      <c r="D339" s="1">
        <v>17.850000000000001</v>
      </c>
      <c r="F339" s="118">
        <f t="shared" ref="F339" si="232">+D339*E339</f>
        <v>0</v>
      </c>
      <c r="G339" s="168"/>
      <c r="H339" s="120" t="str">
        <f t="shared" ref="H339" si="233">+IF(OR($E339="",G339=""),"",$E339*G339)</f>
        <v/>
      </c>
    </row>
    <row r="340" spans="2:8" ht="202.5" outlineLevel="2">
      <c r="C340" s="27" t="s">
        <v>638</v>
      </c>
      <c r="F340" s="118"/>
      <c r="G340" s="168"/>
    </row>
    <row r="341" spans="2:8" ht="15" customHeight="1" outlineLevel="2">
      <c r="C341" s="27" t="s">
        <v>33</v>
      </c>
      <c r="D341" s="1">
        <v>93.41</v>
      </c>
      <c r="E341" s="117">
        <v>8.6300000000000008</v>
      </c>
      <c r="F341" s="118">
        <f t="shared" ref="F341:F370" si="234">+D341*E341</f>
        <v>806.12830000000008</v>
      </c>
      <c r="G341" s="168"/>
      <c r="H341" s="120" t="str">
        <f t="shared" ref="H341" si="235">+IF(OR($E341="",G341=""),"",$E341*G341)</f>
        <v/>
      </c>
    </row>
    <row r="342" spans="2:8" ht="15" customHeight="1" outlineLevel="2">
      <c r="C342" s="27" t="s">
        <v>50</v>
      </c>
      <c r="D342" s="1">
        <v>57.96</v>
      </c>
      <c r="E342" s="117">
        <v>13.92</v>
      </c>
      <c r="F342" s="118">
        <f t="shared" si="234"/>
        <v>806.80320000000006</v>
      </c>
      <c r="G342" s="168"/>
      <c r="H342" s="120" t="str">
        <f t="shared" ref="H342" si="236">+IF(OR($E342="",G342=""),"",$E342*G342)</f>
        <v/>
      </c>
    </row>
    <row r="343" spans="2:8" ht="22.5" outlineLevel="2">
      <c r="C343" s="27" t="s">
        <v>399</v>
      </c>
      <c r="D343" s="1">
        <v>40.08</v>
      </c>
      <c r="E343" s="117">
        <v>16.68</v>
      </c>
      <c r="F343" s="118">
        <f t="shared" si="234"/>
        <v>668.53440000000001</v>
      </c>
      <c r="G343" s="168"/>
      <c r="H343" s="120" t="str">
        <f t="shared" ref="H343" si="237">+IF(OR($E343="",G343=""),"",$E343*G343)</f>
        <v/>
      </c>
    </row>
    <row r="344" spans="2:8" ht="247.5" outlineLevel="2">
      <c r="C344" s="27" t="s">
        <v>634</v>
      </c>
      <c r="F344" s="118"/>
      <c r="G344" s="168"/>
    </row>
    <row r="345" spans="2:8" ht="22.5" outlineLevel="2">
      <c r="C345" s="27" t="s">
        <v>399</v>
      </c>
      <c r="D345" s="1">
        <v>2.61</v>
      </c>
      <c r="E345" s="117">
        <v>16.68</v>
      </c>
      <c r="F345" s="118">
        <f t="shared" si="234"/>
        <v>43.534799999999997</v>
      </c>
      <c r="G345" s="168"/>
      <c r="H345" s="120" t="str">
        <f t="shared" ref="H345" si="238">+IF(OR($E345="",G345=""),"",$E345*G345)</f>
        <v/>
      </c>
    </row>
    <row r="346" spans="2:8" ht="247.5" outlineLevel="2">
      <c r="C346" s="27" t="s">
        <v>637</v>
      </c>
      <c r="F346" s="118"/>
      <c r="G346" s="168"/>
    </row>
    <row r="347" spans="2:8" ht="15" customHeight="1" outlineLevel="2">
      <c r="C347" s="27" t="s">
        <v>49</v>
      </c>
      <c r="D347" s="1">
        <v>5.38</v>
      </c>
      <c r="E347" s="117">
        <v>23.98</v>
      </c>
      <c r="F347" s="118">
        <f t="shared" si="234"/>
        <v>129.01240000000001</v>
      </c>
      <c r="G347" s="168"/>
      <c r="H347" s="120" t="str">
        <f t="shared" ref="H347" si="239">+IF(OR($E347="",G347=""),"",$E347*G347)</f>
        <v/>
      </c>
    </row>
    <row r="348" spans="2:8" ht="22.5" outlineLevel="2">
      <c r="C348" s="27" t="s">
        <v>401</v>
      </c>
      <c r="D348" s="1">
        <v>16.600000000000001</v>
      </c>
      <c r="E348" s="117">
        <v>31.97</v>
      </c>
      <c r="F348" s="118">
        <f t="shared" si="234"/>
        <v>530.702</v>
      </c>
      <c r="G348" s="168"/>
      <c r="H348" s="120" t="str">
        <f t="shared" ref="H348" si="240">+IF(OR($E348="",G348=""),"",$E348*G348)</f>
        <v/>
      </c>
    </row>
    <row r="349" spans="2:8" ht="202.5" outlineLevel="2">
      <c r="C349" s="27" t="s">
        <v>635</v>
      </c>
      <c r="F349" s="118"/>
      <c r="G349" s="168"/>
    </row>
    <row r="350" spans="2:8" ht="22.5" outlineLevel="2">
      <c r="C350" s="27" t="s">
        <v>402</v>
      </c>
      <c r="D350" s="1">
        <v>57.8</v>
      </c>
      <c r="E350" s="117">
        <v>13.92</v>
      </c>
      <c r="F350" s="118">
        <f t="shared" si="234"/>
        <v>804.57599999999991</v>
      </c>
      <c r="G350" s="168"/>
      <c r="H350" s="120" t="str">
        <f t="shared" ref="H350" si="241">+IF(OR($E350="",G350=""),"",$E350*G350)</f>
        <v/>
      </c>
    </row>
    <row r="351" spans="2:8" ht="247.5" outlineLevel="2">
      <c r="C351" s="27" t="s">
        <v>636</v>
      </c>
      <c r="F351" s="118"/>
      <c r="G351" s="168"/>
    </row>
    <row r="352" spans="2:8" ht="15" customHeight="1" outlineLevel="2">
      <c r="C352" s="27" t="s">
        <v>52</v>
      </c>
      <c r="D352" s="1">
        <v>56.75</v>
      </c>
      <c r="E352" s="117">
        <v>21.28</v>
      </c>
      <c r="F352" s="118">
        <f t="shared" si="234"/>
        <v>1207.6400000000001</v>
      </c>
      <c r="G352" s="168"/>
      <c r="H352" s="120" t="str">
        <f t="shared" ref="H352" si="242">+IF(OR($E352="",G352=""),"",$E352*G352)</f>
        <v/>
      </c>
    </row>
    <row r="353" spans="2:8" ht="15" customHeight="1" outlineLevel="2">
      <c r="C353" s="27" t="s">
        <v>49</v>
      </c>
      <c r="D353" s="1">
        <v>54.46</v>
      </c>
      <c r="E353" s="117">
        <v>23.98</v>
      </c>
      <c r="F353" s="118">
        <f t="shared" si="234"/>
        <v>1305.9508000000001</v>
      </c>
      <c r="G353" s="168"/>
      <c r="H353" s="120" t="str">
        <f t="shared" ref="H353" si="243">+IF(OR($E353="",G353=""),"",$E353*G353)</f>
        <v/>
      </c>
    </row>
    <row r="354" spans="2:8" ht="22.5" outlineLevel="2">
      <c r="C354" s="27" t="s">
        <v>401</v>
      </c>
      <c r="D354" s="1">
        <v>5</v>
      </c>
      <c r="E354" s="117">
        <v>31.97</v>
      </c>
      <c r="F354" s="118">
        <f t="shared" si="234"/>
        <v>159.85</v>
      </c>
      <c r="G354" s="168"/>
      <c r="H354" s="120" t="str">
        <f t="shared" ref="H354" si="244">+IF(OR($E354="",G354=""),"",$E354*G354)</f>
        <v/>
      </c>
    </row>
    <row r="355" spans="2:8" s="110" customFormat="1" ht="15" customHeight="1" outlineLevel="2">
      <c r="B355" s="143"/>
      <c r="C355" s="144" t="s">
        <v>400</v>
      </c>
      <c r="D355" s="139"/>
      <c r="E355" s="140"/>
      <c r="F355" s="141"/>
      <c r="G355" s="172"/>
      <c r="H355" s="226"/>
    </row>
    <row r="356" spans="2:8" ht="67.5" outlineLevel="2">
      <c r="C356" s="27" t="s">
        <v>403</v>
      </c>
      <c r="F356" s="118"/>
      <c r="G356" s="168"/>
    </row>
    <row r="357" spans="2:8" ht="22.5" outlineLevel="2">
      <c r="C357" s="27" t="s">
        <v>404</v>
      </c>
      <c r="D357" s="1">
        <v>44</v>
      </c>
      <c r="E357" s="117">
        <v>92</v>
      </c>
      <c r="F357" s="118">
        <f t="shared" si="234"/>
        <v>4048</v>
      </c>
      <c r="G357" s="168"/>
      <c r="H357" s="120" t="str">
        <f t="shared" ref="H357" si="245">+IF(OR($E357="",G357=""),"",$E357*G357)</f>
        <v/>
      </c>
    </row>
    <row r="358" spans="2:8" ht="56.25" outlineLevel="2">
      <c r="C358" s="27" t="s">
        <v>405</v>
      </c>
      <c r="F358" s="118"/>
      <c r="G358" s="168"/>
    </row>
    <row r="359" spans="2:8" ht="22.5" outlineLevel="2">
      <c r="C359" s="27" t="s">
        <v>404</v>
      </c>
      <c r="D359" s="1">
        <v>11</v>
      </c>
      <c r="E359" s="117">
        <v>46</v>
      </c>
      <c r="F359" s="118">
        <f t="shared" si="234"/>
        <v>506</v>
      </c>
      <c r="G359" s="168"/>
      <c r="H359" s="120" t="str">
        <f t="shared" ref="H359" si="246">+IF(OR($E359="",G359=""),"",$E359*G359)</f>
        <v/>
      </c>
    </row>
    <row r="360" spans="2:8" ht="146.25" outlineLevel="2">
      <c r="C360" s="27" t="s">
        <v>406</v>
      </c>
      <c r="D360" s="1">
        <v>12</v>
      </c>
      <c r="E360" s="117">
        <v>40.25</v>
      </c>
      <c r="F360" s="118">
        <f t="shared" si="234"/>
        <v>483</v>
      </c>
      <c r="G360" s="168"/>
      <c r="H360" s="120" t="str">
        <f t="shared" ref="H360" si="247">+IF(OR($E360="",G360=""),"",$E360*G360)</f>
        <v/>
      </c>
    </row>
    <row r="361" spans="2:8" ht="123.75" outlineLevel="2">
      <c r="C361" s="27" t="s">
        <v>699</v>
      </c>
      <c r="F361" s="118"/>
      <c r="G361" s="168"/>
    </row>
    <row r="362" spans="2:8" ht="15" customHeight="1" outlineLevel="2">
      <c r="C362" s="27" t="s">
        <v>51</v>
      </c>
      <c r="D362" s="1">
        <v>5</v>
      </c>
      <c r="E362" s="117">
        <v>57.5</v>
      </c>
      <c r="F362" s="118">
        <f t="shared" si="234"/>
        <v>287.5</v>
      </c>
      <c r="G362" s="168"/>
      <c r="H362" s="120" t="str">
        <f t="shared" ref="H362" si="248">+IF(OR($E362="",G362=""),"",$E362*G362)</f>
        <v/>
      </c>
    </row>
    <row r="363" spans="2:8" ht="22.5" outlineLevel="2">
      <c r="C363" s="27" t="s">
        <v>407</v>
      </c>
      <c r="D363" s="1">
        <v>3</v>
      </c>
      <c r="E363" s="117">
        <v>86.25</v>
      </c>
      <c r="F363" s="118">
        <f t="shared" si="234"/>
        <v>258.75</v>
      </c>
      <c r="G363" s="168"/>
      <c r="H363" s="120" t="str">
        <f t="shared" ref="H363" si="249">+IF(OR($E363="",G363=""),"",$E363*G363)</f>
        <v/>
      </c>
    </row>
    <row r="364" spans="2:8" ht="157.5" outlineLevel="2">
      <c r="C364" s="27" t="s">
        <v>408</v>
      </c>
      <c r="F364" s="118"/>
      <c r="G364" s="168"/>
    </row>
    <row r="365" spans="2:8" ht="15" customHeight="1" outlineLevel="2">
      <c r="C365" s="27" t="s">
        <v>53</v>
      </c>
      <c r="D365" s="1">
        <v>1</v>
      </c>
      <c r="E365" s="117">
        <v>97.75</v>
      </c>
      <c r="F365" s="118">
        <f t="shared" si="234"/>
        <v>97.75</v>
      </c>
      <c r="G365" s="168"/>
      <c r="H365" s="120" t="str">
        <f t="shared" ref="H365" si="250">+IF(OR($E365="",G365=""),"",$E365*G365)</f>
        <v/>
      </c>
    </row>
    <row r="366" spans="2:8" ht="15" customHeight="1" outlineLevel="2">
      <c r="C366" s="27" t="s">
        <v>54</v>
      </c>
      <c r="D366" s="1">
        <v>2</v>
      </c>
      <c r="E366" s="117">
        <v>109.25</v>
      </c>
      <c r="F366" s="118">
        <f t="shared" si="234"/>
        <v>218.5</v>
      </c>
      <c r="G366" s="168"/>
      <c r="H366" s="120" t="str">
        <f t="shared" ref="H366" si="251">+IF(OR($E366="",G366=""),"",$E366*G366)</f>
        <v/>
      </c>
    </row>
    <row r="367" spans="2:8" ht="22.5" outlineLevel="2">
      <c r="C367" s="27" t="s">
        <v>409</v>
      </c>
      <c r="D367" s="1">
        <v>2</v>
      </c>
      <c r="E367" s="117">
        <v>120.75</v>
      </c>
      <c r="F367" s="118">
        <f t="shared" si="234"/>
        <v>241.5</v>
      </c>
      <c r="G367" s="168"/>
      <c r="H367" s="120" t="str">
        <f t="shared" ref="H367" si="252">+IF(OR($E367="",G367=""),"",$E367*G367)</f>
        <v/>
      </c>
    </row>
    <row r="368" spans="2:8" s="110" customFormat="1" ht="15" customHeight="1" outlineLevel="2">
      <c r="B368" s="143"/>
      <c r="C368" s="144" t="s">
        <v>554</v>
      </c>
      <c r="D368" s="139"/>
      <c r="E368" s="140"/>
      <c r="F368" s="141"/>
      <c r="G368" s="172"/>
      <c r="H368" s="226"/>
    </row>
    <row r="369" spans="2:8" ht="135" outlineLevel="2">
      <c r="C369" s="27" t="s">
        <v>639</v>
      </c>
      <c r="D369" s="1">
        <v>1</v>
      </c>
      <c r="E369" s="117">
        <v>402.5</v>
      </c>
      <c r="F369" s="118">
        <f t="shared" si="234"/>
        <v>402.5</v>
      </c>
      <c r="G369" s="168"/>
      <c r="H369" s="120" t="str">
        <f t="shared" ref="H369" si="253">+IF(OR($E369="",G369=""),"",$E369*G369)</f>
        <v/>
      </c>
    </row>
    <row r="370" spans="2:8" ht="78.75" outlineLevel="2">
      <c r="C370" s="27" t="s">
        <v>640</v>
      </c>
      <c r="D370" s="1">
        <v>1</v>
      </c>
      <c r="E370" s="117">
        <v>460</v>
      </c>
      <c r="F370" s="118">
        <f t="shared" si="234"/>
        <v>460</v>
      </c>
      <c r="G370" s="168"/>
      <c r="H370" s="120" t="str">
        <f t="shared" ref="H370" si="254">+IF(OR($E370="",G370=""),"",$E370*G370)</f>
        <v/>
      </c>
    </row>
    <row r="371" spans="2:8" s="6" customFormat="1" ht="18" customHeight="1">
      <c r="B371" s="15" t="s">
        <v>122</v>
      </c>
      <c r="C371" s="25" t="s">
        <v>520</v>
      </c>
      <c r="D371" s="18"/>
      <c r="E371" s="107"/>
      <c r="F371" s="108">
        <f>+SUM(F372,F514)</f>
        <v>87062.68</v>
      </c>
      <c r="G371" s="170"/>
      <c r="H371" s="109">
        <f>+SUM(H372,H514)</f>
        <v>0</v>
      </c>
    </row>
    <row r="372" spans="2:8" s="6" customFormat="1" ht="18" customHeight="1" outlineLevel="1">
      <c r="B372" s="111" t="s">
        <v>530</v>
      </c>
      <c r="C372" s="112" t="s">
        <v>96</v>
      </c>
      <c r="D372" s="113"/>
      <c r="E372" s="114"/>
      <c r="F372" s="115">
        <f>+SUM(F373:F513)</f>
        <v>74114.83</v>
      </c>
      <c r="G372" s="175"/>
      <c r="H372" s="116">
        <f>+SUM(H373:H513)</f>
        <v>0</v>
      </c>
    </row>
    <row r="373" spans="2:8" s="110" customFormat="1" ht="15" customHeight="1" outlineLevel="2">
      <c r="B373" s="143"/>
      <c r="C373" s="144" t="s">
        <v>700</v>
      </c>
      <c r="D373" s="139"/>
      <c r="E373" s="140"/>
      <c r="F373" s="145"/>
      <c r="G373" s="173"/>
      <c r="H373" s="227"/>
    </row>
    <row r="374" spans="2:8" s="110" customFormat="1" ht="15" customHeight="1" outlineLevel="2">
      <c r="B374" s="143"/>
      <c r="C374" s="144" t="s">
        <v>369</v>
      </c>
      <c r="D374" s="139"/>
      <c r="E374" s="140"/>
      <c r="F374" s="145"/>
      <c r="G374" s="173"/>
      <c r="H374" s="227"/>
    </row>
    <row r="375" spans="2:8" ht="67.5" outlineLevel="2">
      <c r="C375" s="27" t="s">
        <v>97</v>
      </c>
      <c r="F375" s="118"/>
      <c r="G375" s="168"/>
    </row>
    <row r="376" spans="2:8" ht="15" customHeight="1" outlineLevel="2">
      <c r="C376" s="27" t="s">
        <v>98</v>
      </c>
      <c r="D376" s="1">
        <v>4</v>
      </c>
      <c r="E376" s="117">
        <v>4.66</v>
      </c>
      <c r="F376" s="118">
        <f t="shared" ref="F376:F405" si="255">+D376*E376</f>
        <v>18.64</v>
      </c>
      <c r="G376" s="168"/>
      <c r="H376" s="120" t="str">
        <f t="shared" ref="H376" si="256">+IF(OR($E376="",G376=""),"",$E376*G376)</f>
        <v/>
      </c>
    </row>
    <row r="377" spans="2:8" ht="15" customHeight="1" outlineLevel="2">
      <c r="C377" s="27" t="s">
        <v>99</v>
      </c>
      <c r="D377" s="1">
        <v>34</v>
      </c>
      <c r="E377" s="117">
        <v>3.29</v>
      </c>
      <c r="F377" s="118">
        <f t="shared" si="255"/>
        <v>111.86</v>
      </c>
      <c r="G377" s="168"/>
      <c r="H377" s="120" t="str">
        <f t="shared" ref="H377" si="257">+IF(OR($E377="",G377=""),"",$E377*G377)</f>
        <v/>
      </c>
    </row>
    <row r="378" spans="2:8" ht="15" customHeight="1" outlineLevel="2">
      <c r="C378" s="27" t="s">
        <v>100</v>
      </c>
      <c r="D378" s="1">
        <v>366</v>
      </c>
      <c r="E378" s="117">
        <v>6.07</v>
      </c>
      <c r="F378" s="118">
        <f t="shared" si="255"/>
        <v>2221.62</v>
      </c>
      <c r="G378" s="168"/>
      <c r="H378" s="120" t="str">
        <f t="shared" ref="H378" si="258">+IF(OR($E378="",G378=""),"",$E378*G378)</f>
        <v/>
      </c>
    </row>
    <row r="379" spans="2:8" ht="22.5" outlineLevel="2">
      <c r="C379" s="27" t="s">
        <v>446</v>
      </c>
      <c r="D379" s="1">
        <v>36</v>
      </c>
      <c r="E379" s="117">
        <v>2.76</v>
      </c>
      <c r="F379" s="118">
        <f t="shared" si="255"/>
        <v>99.359999999999985</v>
      </c>
      <c r="G379" s="168"/>
      <c r="H379" s="120" t="str">
        <f t="shared" ref="H379" si="259">+IF(OR($E379="",G379=""),"",$E379*G379)</f>
        <v/>
      </c>
    </row>
    <row r="380" spans="2:8" s="110" customFormat="1" ht="15" customHeight="1" outlineLevel="2">
      <c r="B380" s="143"/>
      <c r="C380" s="144" t="s">
        <v>447</v>
      </c>
      <c r="D380" s="139"/>
      <c r="E380" s="140"/>
      <c r="F380" s="145"/>
      <c r="G380" s="173"/>
      <c r="H380" s="227"/>
    </row>
    <row r="381" spans="2:8" ht="90" outlineLevel="2">
      <c r="C381" s="27" t="s">
        <v>101</v>
      </c>
      <c r="F381" s="118"/>
      <c r="G381" s="168"/>
    </row>
    <row r="382" spans="2:8" ht="15" customHeight="1" outlineLevel="2">
      <c r="C382" s="27" t="s">
        <v>102</v>
      </c>
      <c r="D382" s="1">
        <v>5</v>
      </c>
      <c r="E382" s="117">
        <v>60.43</v>
      </c>
      <c r="F382" s="118">
        <f t="shared" si="255"/>
        <v>302.14999999999998</v>
      </c>
      <c r="G382" s="168"/>
      <c r="H382" s="120" t="str">
        <f t="shared" ref="H382" si="260">+IF(OR($E382="",G382=""),"",$E382*G382)</f>
        <v/>
      </c>
    </row>
    <row r="383" spans="2:8" ht="15" customHeight="1" outlineLevel="2">
      <c r="C383" s="27" t="s">
        <v>103</v>
      </c>
      <c r="D383" s="1">
        <v>42</v>
      </c>
      <c r="E383" s="117">
        <v>19.75</v>
      </c>
      <c r="F383" s="118">
        <f t="shared" si="255"/>
        <v>829.5</v>
      </c>
      <c r="G383" s="168"/>
      <c r="H383" s="120" t="str">
        <f t="shared" ref="H383" si="261">+IF(OR($E383="",G383=""),"",$E383*G383)</f>
        <v/>
      </c>
    </row>
    <row r="384" spans="2:8" ht="15" customHeight="1" outlineLevel="2">
      <c r="C384" s="27" t="s">
        <v>104</v>
      </c>
      <c r="D384" s="1">
        <v>122</v>
      </c>
      <c r="E384" s="117">
        <v>7.82</v>
      </c>
      <c r="F384" s="118">
        <f t="shared" si="255"/>
        <v>954.04000000000008</v>
      </c>
      <c r="G384" s="168"/>
      <c r="H384" s="120" t="str">
        <f t="shared" ref="H384" si="262">+IF(OR($E384="",G384=""),"",$E384*G384)</f>
        <v/>
      </c>
    </row>
    <row r="385" spans="2:8" ht="15" customHeight="1" outlineLevel="2">
      <c r="C385" s="27" t="s">
        <v>105</v>
      </c>
      <c r="D385" s="1">
        <v>73</v>
      </c>
      <c r="E385" s="117">
        <v>5.45</v>
      </c>
      <c r="F385" s="118">
        <f t="shared" si="255"/>
        <v>397.85</v>
      </c>
      <c r="G385" s="168"/>
      <c r="H385" s="120" t="str">
        <f t="shared" ref="H385" si="263">+IF(OR($E385="",G385=""),"",$E385*G385)</f>
        <v/>
      </c>
    </row>
    <row r="386" spans="2:8" ht="22.5" outlineLevel="2">
      <c r="C386" s="27" t="s">
        <v>448</v>
      </c>
      <c r="D386" s="1">
        <v>38</v>
      </c>
      <c r="E386" s="117">
        <v>3.03</v>
      </c>
      <c r="F386" s="118">
        <f t="shared" si="255"/>
        <v>115.13999999999999</v>
      </c>
      <c r="G386" s="168"/>
      <c r="H386" s="120" t="str">
        <f t="shared" ref="H386" si="264">+IF(OR($E386="",G386=""),"",$E386*G386)</f>
        <v/>
      </c>
    </row>
    <row r="387" spans="2:8" s="110" customFormat="1" ht="15" customHeight="1" outlineLevel="2">
      <c r="B387" s="143"/>
      <c r="C387" s="144" t="s">
        <v>449</v>
      </c>
      <c r="D387" s="139"/>
      <c r="E387" s="140"/>
      <c r="F387" s="145"/>
      <c r="G387" s="173"/>
      <c r="H387" s="227"/>
    </row>
    <row r="388" spans="2:8" ht="45" outlineLevel="2">
      <c r="C388" s="27" t="s">
        <v>106</v>
      </c>
      <c r="F388" s="118"/>
      <c r="G388" s="168"/>
    </row>
    <row r="389" spans="2:8" ht="22.5" outlineLevel="2">
      <c r="C389" s="27" t="s">
        <v>107</v>
      </c>
      <c r="D389" s="1">
        <v>1</v>
      </c>
      <c r="E389" s="117">
        <v>741.56</v>
      </c>
      <c r="F389" s="118">
        <f t="shared" si="255"/>
        <v>741.56</v>
      </c>
      <c r="G389" s="168"/>
      <c r="H389" s="120" t="str">
        <f t="shared" ref="H389" si="265">+IF(OR($E389="",G389=""),"",$E389*G389)</f>
        <v/>
      </c>
    </row>
    <row r="390" spans="2:8" ht="15" customHeight="1" outlineLevel="2">
      <c r="C390" s="27" t="s">
        <v>108</v>
      </c>
      <c r="D390" s="1">
        <v>1</v>
      </c>
      <c r="E390" s="117">
        <v>69.56</v>
      </c>
      <c r="F390" s="118">
        <f t="shared" si="255"/>
        <v>69.56</v>
      </c>
      <c r="G390" s="168"/>
      <c r="H390" s="120" t="str">
        <f t="shared" ref="H390" si="266">+IF(OR($E390="",G390=""),"",$E390*G390)</f>
        <v/>
      </c>
    </row>
    <row r="391" spans="2:8" ht="15" customHeight="1" outlineLevel="2">
      <c r="C391" s="27" t="s">
        <v>109</v>
      </c>
      <c r="D391" s="1">
        <v>1</v>
      </c>
      <c r="E391" s="117">
        <v>96.82</v>
      </c>
      <c r="F391" s="118">
        <f t="shared" si="255"/>
        <v>96.82</v>
      </c>
      <c r="G391" s="168"/>
      <c r="H391" s="120" t="str">
        <f t="shared" ref="H391" si="267">+IF(OR($E391="",G391=""),"",$E391*G391)</f>
        <v/>
      </c>
    </row>
    <row r="392" spans="2:8" ht="15" customHeight="1" outlineLevel="2">
      <c r="C392" s="27" t="s">
        <v>110</v>
      </c>
      <c r="D392" s="1">
        <v>1</v>
      </c>
      <c r="E392" s="117">
        <v>641.25</v>
      </c>
      <c r="F392" s="118">
        <f t="shared" si="255"/>
        <v>641.25</v>
      </c>
      <c r="G392" s="168"/>
      <c r="H392" s="120" t="str">
        <f t="shared" ref="H392" si="268">+IF(OR($E392="",G392=""),"",$E392*G392)</f>
        <v/>
      </c>
    </row>
    <row r="393" spans="2:8" ht="33.75" outlineLevel="2">
      <c r="C393" s="27" t="s">
        <v>450</v>
      </c>
      <c r="D393" s="1">
        <v>2</v>
      </c>
      <c r="E393" s="117">
        <v>141.75</v>
      </c>
      <c r="F393" s="118">
        <f t="shared" si="255"/>
        <v>283.5</v>
      </c>
      <c r="G393" s="168"/>
      <c r="H393" s="120" t="str">
        <f t="shared" ref="H393" si="269">+IF(OR($E393="",G393=""),"",$E393*G393)</f>
        <v/>
      </c>
    </row>
    <row r="394" spans="2:8" s="110" customFormat="1" ht="15" customHeight="1" outlineLevel="2">
      <c r="B394" s="143"/>
      <c r="C394" s="144" t="s">
        <v>708</v>
      </c>
      <c r="D394" s="139"/>
      <c r="E394" s="140"/>
      <c r="F394" s="145"/>
      <c r="G394" s="173"/>
      <c r="H394" s="227"/>
    </row>
    <row r="395" spans="2:8" ht="56.25" outlineLevel="2">
      <c r="C395" s="27" t="s">
        <v>111</v>
      </c>
      <c r="F395" s="118"/>
      <c r="G395" s="168"/>
    </row>
    <row r="396" spans="2:8" ht="15" customHeight="1" outlineLevel="2">
      <c r="C396" s="27" t="s">
        <v>112</v>
      </c>
      <c r="D396" s="1">
        <v>1</v>
      </c>
      <c r="E396" s="117">
        <v>4756.5</v>
      </c>
      <c r="F396" s="118">
        <f t="shared" si="255"/>
        <v>4756.5</v>
      </c>
      <c r="G396" s="168"/>
      <c r="H396" s="120" t="str">
        <f t="shared" ref="H396" si="270">+IF(OR($E396="",G396=""),"",$E396*G396)</f>
        <v/>
      </c>
    </row>
    <row r="397" spans="2:8" ht="22.5" outlineLevel="2">
      <c r="C397" s="27" t="s">
        <v>701</v>
      </c>
      <c r="D397" s="1">
        <v>5</v>
      </c>
      <c r="E397" s="117">
        <v>992.25</v>
      </c>
      <c r="F397" s="118">
        <f t="shared" si="255"/>
        <v>4961.25</v>
      </c>
      <c r="G397" s="168"/>
      <c r="H397" s="120" t="str">
        <f t="shared" ref="H397" si="271">+IF(OR($E397="",G397=""),"",$E397*G397)</f>
        <v/>
      </c>
    </row>
    <row r="398" spans="2:8" s="110" customFormat="1" ht="15" customHeight="1" outlineLevel="2">
      <c r="B398" s="143"/>
      <c r="C398" s="144" t="s">
        <v>707</v>
      </c>
      <c r="D398" s="139"/>
      <c r="E398" s="140"/>
      <c r="F398" s="145"/>
      <c r="G398" s="173"/>
      <c r="H398" s="227"/>
    </row>
    <row r="399" spans="2:8" s="110" customFormat="1" ht="15" customHeight="1" outlineLevel="2">
      <c r="B399" s="143"/>
      <c r="C399" s="144" t="s">
        <v>369</v>
      </c>
      <c r="D399" s="139"/>
      <c r="E399" s="140"/>
      <c r="F399" s="145"/>
      <c r="G399" s="173"/>
      <c r="H399" s="227"/>
    </row>
    <row r="400" spans="2:8" ht="67.5" outlineLevel="2">
      <c r="C400" s="27" t="s">
        <v>97</v>
      </c>
      <c r="F400" s="118"/>
      <c r="G400" s="168"/>
    </row>
    <row r="401" spans="2:8" ht="22.5" outlineLevel="2">
      <c r="C401" s="27" t="s">
        <v>451</v>
      </c>
      <c r="D401" s="1">
        <v>999</v>
      </c>
      <c r="E401" s="117">
        <v>2.76</v>
      </c>
      <c r="F401" s="118">
        <f t="shared" si="255"/>
        <v>2757.24</v>
      </c>
      <c r="G401" s="168"/>
      <c r="H401" s="120" t="str">
        <f t="shared" ref="H401" si="272">+IF(OR($E401="",G401=""),"",$E401*G401)</f>
        <v/>
      </c>
    </row>
    <row r="402" spans="2:8" s="110" customFormat="1" ht="15" customHeight="1" outlineLevel="2">
      <c r="B402" s="143"/>
      <c r="C402" s="144" t="s">
        <v>447</v>
      </c>
      <c r="D402" s="139"/>
      <c r="E402" s="140"/>
      <c r="F402" s="145"/>
      <c r="G402" s="173"/>
      <c r="H402" s="227"/>
    </row>
    <row r="403" spans="2:8" ht="90" outlineLevel="2">
      <c r="C403" s="27" t="s">
        <v>101</v>
      </c>
      <c r="F403" s="118"/>
      <c r="G403" s="168"/>
    </row>
    <row r="404" spans="2:8" ht="15" customHeight="1" outlineLevel="2">
      <c r="C404" s="27" t="s">
        <v>113</v>
      </c>
      <c r="D404" s="1">
        <v>995</v>
      </c>
      <c r="E404" s="117">
        <v>2.68</v>
      </c>
      <c r="F404" s="118">
        <f t="shared" si="255"/>
        <v>2666.6000000000004</v>
      </c>
      <c r="G404" s="168"/>
      <c r="H404" s="120" t="str">
        <f t="shared" ref="H404" si="273">+IF(OR($E404="",G404=""),"",$E404*G404)</f>
        <v/>
      </c>
    </row>
    <row r="405" spans="2:8" ht="22.5" outlineLevel="2">
      <c r="C405" s="27" t="s">
        <v>452</v>
      </c>
      <c r="D405" s="1">
        <v>50</v>
      </c>
      <c r="E405" s="117">
        <v>3.79</v>
      </c>
      <c r="F405" s="118">
        <f t="shared" si="255"/>
        <v>189.5</v>
      </c>
      <c r="G405" s="168"/>
      <c r="H405" s="120" t="str">
        <f t="shared" ref="H405" si="274">+IF(OR($E405="",G405=""),"",$E405*G405)</f>
        <v/>
      </c>
    </row>
    <row r="406" spans="2:8" s="110" customFormat="1" ht="15" customHeight="1" outlineLevel="2">
      <c r="B406" s="143"/>
      <c r="C406" s="144" t="s">
        <v>449</v>
      </c>
      <c r="D406" s="139"/>
      <c r="E406" s="140"/>
      <c r="F406" s="145"/>
      <c r="G406" s="173"/>
      <c r="H406" s="227"/>
    </row>
    <row r="407" spans="2:8" ht="45" outlineLevel="2">
      <c r="C407" s="27" t="s">
        <v>106</v>
      </c>
      <c r="F407" s="118"/>
      <c r="G407" s="168"/>
    </row>
    <row r="408" spans="2:8" ht="15" customHeight="1" outlineLevel="2">
      <c r="C408" s="27" t="s">
        <v>114</v>
      </c>
      <c r="D408" s="1">
        <v>5</v>
      </c>
      <c r="E408" s="117">
        <v>5.58</v>
      </c>
      <c r="F408" s="118">
        <f t="shared" ref="F408:F439" si="275">+D408*E408</f>
        <v>27.9</v>
      </c>
      <c r="G408" s="168"/>
      <c r="H408" s="120" t="str">
        <f t="shared" ref="H408" si="276">+IF(OR($E408="",G408=""),"",$E408*G408)</f>
        <v/>
      </c>
    </row>
    <row r="409" spans="2:8" ht="15" customHeight="1" outlineLevel="2">
      <c r="C409" s="27" t="s">
        <v>115</v>
      </c>
      <c r="D409" s="1">
        <v>9</v>
      </c>
      <c r="E409" s="117">
        <v>5.58</v>
      </c>
      <c r="F409" s="118">
        <f t="shared" si="275"/>
        <v>50.22</v>
      </c>
      <c r="G409" s="168"/>
      <c r="H409" s="120" t="str">
        <f t="shared" ref="H409" si="277">+IF(OR($E409="",G409=""),"",$E409*G409)</f>
        <v/>
      </c>
    </row>
    <row r="410" spans="2:8" ht="22.5" outlineLevel="2">
      <c r="C410" s="27" t="s">
        <v>453</v>
      </c>
      <c r="D410" s="146">
        <v>240</v>
      </c>
      <c r="E410" s="147">
        <v>1.77</v>
      </c>
      <c r="F410" s="118">
        <f t="shared" si="275"/>
        <v>424.8</v>
      </c>
      <c r="G410" s="168"/>
      <c r="H410" s="120" t="str">
        <f t="shared" ref="H410" si="278">+IF(OR($E410="",G410=""),"",$E410*G410)</f>
        <v/>
      </c>
    </row>
    <row r="411" spans="2:8" s="110" customFormat="1" ht="15" customHeight="1" outlineLevel="2">
      <c r="B411" s="143"/>
      <c r="C411" s="144" t="s">
        <v>250</v>
      </c>
      <c r="D411" s="139"/>
      <c r="E411" s="140"/>
      <c r="F411" s="145"/>
      <c r="G411" s="173"/>
      <c r="H411" s="227"/>
    </row>
    <row r="412" spans="2:8" ht="78.75" outlineLevel="2">
      <c r="C412" s="27" t="s">
        <v>641</v>
      </c>
      <c r="D412" s="146"/>
      <c r="E412" s="147"/>
      <c r="F412" s="118"/>
      <c r="G412" s="168"/>
    </row>
    <row r="413" spans="2:8" ht="22.5" outlineLevel="2">
      <c r="C413" s="27" t="s">
        <v>118</v>
      </c>
      <c r="D413" s="146">
        <v>148</v>
      </c>
      <c r="E413" s="147">
        <v>9.91</v>
      </c>
      <c r="F413" s="118">
        <f t="shared" si="275"/>
        <v>1466.68</v>
      </c>
      <c r="G413" s="168"/>
      <c r="H413" s="120" t="str">
        <f t="shared" ref="H413" si="279">+IF(OR($E413="",G413=""),"",$E413*G413)</f>
        <v/>
      </c>
    </row>
    <row r="414" spans="2:8" ht="22.5" outlineLevel="2">
      <c r="C414" s="27" t="s">
        <v>119</v>
      </c>
      <c r="D414" s="146">
        <v>64</v>
      </c>
      <c r="E414" s="147">
        <v>10.24</v>
      </c>
      <c r="F414" s="118">
        <f t="shared" si="275"/>
        <v>655.36</v>
      </c>
      <c r="G414" s="168"/>
      <c r="H414" s="120" t="str">
        <f t="shared" ref="H414" si="280">+IF(OR($E414="",G414=""),"",$E414*G414)</f>
        <v/>
      </c>
    </row>
    <row r="415" spans="2:8" ht="33.75" outlineLevel="2">
      <c r="C415" s="27" t="s">
        <v>454</v>
      </c>
      <c r="D415" s="1">
        <v>28</v>
      </c>
      <c r="E415" s="117">
        <v>34.130000000000003</v>
      </c>
      <c r="F415" s="118">
        <f t="shared" si="275"/>
        <v>955.6400000000001</v>
      </c>
      <c r="G415" s="168"/>
      <c r="H415" s="120" t="str">
        <f t="shared" ref="H415" si="281">+IF(OR($E415="",G415=""),"",$E415*G415)</f>
        <v/>
      </c>
    </row>
    <row r="416" spans="2:8" s="110" customFormat="1" ht="15" customHeight="1" outlineLevel="2">
      <c r="B416" s="143"/>
      <c r="C416" s="144" t="s">
        <v>706</v>
      </c>
      <c r="D416" s="139"/>
      <c r="E416" s="140"/>
      <c r="F416" s="145"/>
      <c r="G416" s="173"/>
      <c r="H416" s="227"/>
    </row>
    <row r="417" spans="2:8" s="110" customFormat="1" ht="15" customHeight="1" outlineLevel="2">
      <c r="B417" s="143"/>
      <c r="C417" s="144" t="s">
        <v>369</v>
      </c>
      <c r="D417" s="139"/>
      <c r="E417" s="140"/>
      <c r="F417" s="145"/>
      <c r="G417" s="173"/>
      <c r="H417" s="227"/>
    </row>
    <row r="418" spans="2:8" ht="67.5" outlineLevel="2">
      <c r="C418" s="27" t="s">
        <v>97</v>
      </c>
      <c r="F418" s="118"/>
      <c r="G418" s="168"/>
    </row>
    <row r="419" spans="2:8" ht="22.5" outlineLevel="2">
      <c r="C419" s="27" t="s">
        <v>455</v>
      </c>
      <c r="D419" s="1">
        <v>1730</v>
      </c>
      <c r="E419" s="117">
        <v>2.36</v>
      </c>
      <c r="F419" s="118">
        <f t="shared" si="275"/>
        <v>4082.7999999999997</v>
      </c>
      <c r="G419" s="168"/>
      <c r="H419" s="120" t="str">
        <f t="shared" ref="H419" si="282">+IF(OR($E419="",G419=""),"",$E419*G419)</f>
        <v/>
      </c>
    </row>
    <row r="420" spans="2:8" s="110" customFormat="1" ht="15" customHeight="1" outlineLevel="2">
      <c r="B420" s="143"/>
      <c r="C420" s="144" t="s">
        <v>447</v>
      </c>
      <c r="D420" s="139"/>
      <c r="E420" s="140"/>
      <c r="F420" s="145"/>
      <c r="G420" s="173"/>
      <c r="H420" s="227"/>
    </row>
    <row r="421" spans="2:8" ht="101.25" outlineLevel="2">
      <c r="C421" s="27" t="s">
        <v>642</v>
      </c>
      <c r="F421" s="118"/>
      <c r="G421" s="168"/>
    </row>
    <row r="422" spans="2:8" ht="15" customHeight="1" outlineLevel="2">
      <c r="C422" s="27" t="s">
        <v>120</v>
      </c>
      <c r="D422" s="1">
        <v>1808</v>
      </c>
      <c r="E422" s="117">
        <v>2.1</v>
      </c>
      <c r="F422" s="118">
        <f t="shared" si="275"/>
        <v>3796.8</v>
      </c>
      <c r="G422" s="168"/>
      <c r="H422" s="120" t="str">
        <f t="shared" ref="H422" si="283">+IF(OR($E422="",G422=""),"",$E422*G422)</f>
        <v/>
      </c>
    </row>
    <row r="423" spans="2:8" ht="22.5" outlineLevel="2">
      <c r="C423" s="27" t="s">
        <v>456</v>
      </c>
      <c r="D423" s="1">
        <v>1</v>
      </c>
      <c r="E423" s="117">
        <v>2.29</v>
      </c>
      <c r="F423" s="118">
        <f t="shared" si="275"/>
        <v>2.29</v>
      </c>
      <c r="G423" s="168"/>
      <c r="H423" s="120" t="str">
        <f t="shared" ref="H423" si="284">+IF(OR($E423="",G423=""),"",$E423*G423)</f>
        <v/>
      </c>
    </row>
    <row r="424" spans="2:8" s="110" customFormat="1" ht="15" customHeight="1" outlineLevel="2">
      <c r="B424" s="143"/>
      <c r="C424" s="144" t="s">
        <v>449</v>
      </c>
      <c r="D424" s="139"/>
      <c r="E424" s="140"/>
      <c r="F424" s="145"/>
      <c r="G424" s="173"/>
      <c r="H424" s="227"/>
    </row>
    <row r="425" spans="2:8" ht="47.25" customHeight="1" outlineLevel="2">
      <c r="C425" s="27" t="s">
        <v>106</v>
      </c>
      <c r="F425" s="118"/>
      <c r="G425" s="168"/>
    </row>
    <row r="426" spans="2:8" ht="15" customHeight="1" outlineLevel="2">
      <c r="C426" s="27" t="s">
        <v>116</v>
      </c>
      <c r="D426" s="146">
        <v>182</v>
      </c>
      <c r="E426" s="147">
        <v>1.77</v>
      </c>
      <c r="F426" s="118">
        <f t="shared" si="275"/>
        <v>322.14</v>
      </c>
      <c r="G426" s="168"/>
      <c r="H426" s="120" t="str">
        <f t="shared" ref="H426" si="285">+IF(OR($E426="",G426=""),"",$E426*G426)</f>
        <v/>
      </c>
    </row>
    <row r="427" spans="2:8" ht="22.5" outlineLevel="2">
      <c r="C427" s="27" t="s">
        <v>457</v>
      </c>
      <c r="D427" s="146">
        <v>109</v>
      </c>
      <c r="E427" s="147">
        <v>1.38</v>
      </c>
      <c r="F427" s="118">
        <f t="shared" si="275"/>
        <v>150.41999999999999</v>
      </c>
      <c r="G427" s="168"/>
      <c r="H427" s="120" t="str">
        <f t="shared" ref="H427" si="286">+IF(OR($E427="",G427=""),"",$E427*G427)</f>
        <v/>
      </c>
    </row>
    <row r="428" spans="2:8" s="110" customFormat="1" ht="15" customHeight="1" outlineLevel="2">
      <c r="B428" s="143"/>
      <c r="C428" s="144" t="s">
        <v>250</v>
      </c>
      <c r="D428" s="139"/>
      <c r="E428" s="140"/>
      <c r="F428" s="145"/>
      <c r="G428" s="173"/>
      <c r="H428" s="227"/>
    </row>
    <row r="429" spans="2:8" ht="78.75" outlineLevel="2">
      <c r="C429" s="27" t="s">
        <v>653</v>
      </c>
      <c r="D429" s="146"/>
      <c r="E429" s="147"/>
      <c r="F429" s="118"/>
      <c r="G429" s="168"/>
    </row>
    <row r="430" spans="2:8" ht="45" outlineLevel="2">
      <c r="C430" s="27" t="s">
        <v>651</v>
      </c>
      <c r="D430" s="146">
        <v>53</v>
      </c>
      <c r="E430" s="147">
        <v>8.61</v>
      </c>
      <c r="F430" s="118">
        <f t="shared" si="275"/>
        <v>456.33</v>
      </c>
      <c r="G430" s="168"/>
      <c r="H430" s="120" t="str">
        <f t="shared" ref="H430" si="287">+IF(OR($E430="",G430=""),"",$E430*G430)</f>
        <v/>
      </c>
    </row>
    <row r="431" spans="2:8" ht="45" outlineLevel="2">
      <c r="C431" s="27" t="s">
        <v>652</v>
      </c>
      <c r="D431" s="146">
        <v>12</v>
      </c>
      <c r="E431" s="147">
        <v>9.3000000000000007</v>
      </c>
      <c r="F431" s="118">
        <f t="shared" si="275"/>
        <v>111.60000000000001</v>
      </c>
      <c r="G431" s="168"/>
      <c r="H431" s="120" t="str">
        <f t="shared" ref="H431" si="288">+IF(OR($E431="",G431=""),"",$E431*G431)</f>
        <v/>
      </c>
    </row>
    <row r="432" spans="2:8" ht="33.75" outlineLevel="2">
      <c r="C432" s="27" t="s">
        <v>643</v>
      </c>
      <c r="D432" s="146">
        <v>28</v>
      </c>
      <c r="E432" s="147">
        <v>8.91</v>
      </c>
      <c r="F432" s="118">
        <f t="shared" si="275"/>
        <v>249.48000000000002</v>
      </c>
      <c r="G432" s="168"/>
      <c r="H432" s="120" t="str">
        <f t="shared" ref="H432" si="289">+IF(OR($E432="",G432=""),"",$E432*G432)</f>
        <v/>
      </c>
    </row>
    <row r="433" spans="2:8" ht="33.75" outlineLevel="2">
      <c r="C433" s="27" t="s">
        <v>644</v>
      </c>
      <c r="D433" s="146">
        <v>30</v>
      </c>
      <c r="E433" s="147">
        <v>10.87</v>
      </c>
      <c r="F433" s="118">
        <f t="shared" si="275"/>
        <v>326.09999999999997</v>
      </c>
      <c r="G433" s="168"/>
      <c r="H433" s="120" t="str">
        <f t="shared" ref="H433" si="290">+IF(OR($E433="",G433=""),"",$E433*G433)</f>
        <v/>
      </c>
    </row>
    <row r="434" spans="2:8" ht="22.5" outlineLevel="2">
      <c r="C434" s="27" t="s">
        <v>645</v>
      </c>
      <c r="D434" s="146">
        <v>24</v>
      </c>
      <c r="E434" s="147">
        <v>9.81</v>
      </c>
      <c r="F434" s="118">
        <f t="shared" si="275"/>
        <v>235.44</v>
      </c>
      <c r="G434" s="168"/>
      <c r="H434" s="120" t="str">
        <f t="shared" ref="H434" si="291">+IF(OR($E434="",G434=""),"",$E434*G434)</f>
        <v/>
      </c>
    </row>
    <row r="435" spans="2:8" ht="22.5" outlineLevel="2">
      <c r="C435" s="27" t="s">
        <v>646</v>
      </c>
      <c r="D435" s="146">
        <v>24</v>
      </c>
      <c r="E435" s="147">
        <v>47.25</v>
      </c>
      <c r="F435" s="118">
        <f t="shared" si="275"/>
        <v>1134</v>
      </c>
      <c r="G435" s="168"/>
      <c r="H435" s="120" t="str">
        <f t="shared" ref="H435" si="292">+IF(OR($E435="",G435=""),"",$E435*G435)</f>
        <v/>
      </c>
    </row>
    <row r="436" spans="2:8" ht="22.5" outlineLevel="2">
      <c r="C436" s="27" t="s">
        <v>647</v>
      </c>
      <c r="D436" s="146">
        <v>12</v>
      </c>
      <c r="E436" s="147">
        <v>180.16</v>
      </c>
      <c r="F436" s="118">
        <f t="shared" si="275"/>
        <v>2161.92</v>
      </c>
      <c r="G436" s="168"/>
      <c r="H436" s="120" t="str">
        <f t="shared" ref="H436" si="293">+IF(OR($E436="",G436=""),"",$E436*G436)</f>
        <v/>
      </c>
    </row>
    <row r="437" spans="2:8" ht="22.5" outlineLevel="2">
      <c r="C437" s="27" t="s">
        <v>648</v>
      </c>
      <c r="D437" s="146">
        <v>12</v>
      </c>
      <c r="E437" s="147">
        <v>122.27</v>
      </c>
      <c r="F437" s="118">
        <f t="shared" si="275"/>
        <v>1467.24</v>
      </c>
      <c r="G437" s="168"/>
      <c r="H437" s="120" t="str">
        <f t="shared" ref="H437" si="294">+IF(OR($E437="",G437=""),"",$E437*G437)</f>
        <v/>
      </c>
    </row>
    <row r="438" spans="2:8" ht="22.5" outlineLevel="2">
      <c r="C438" s="27" t="s">
        <v>649</v>
      </c>
      <c r="D438" s="146">
        <v>7</v>
      </c>
      <c r="E438" s="147">
        <v>122.27</v>
      </c>
      <c r="F438" s="118">
        <f t="shared" si="275"/>
        <v>855.89</v>
      </c>
      <c r="G438" s="168"/>
      <c r="H438" s="120" t="str">
        <f t="shared" ref="H438" si="295">+IF(OR($E438="",G438=""),"",$E438*G438)</f>
        <v/>
      </c>
    </row>
    <row r="439" spans="2:8" ht="22.5" outlineLevel="2">
      <c r="C439" s="27" t="s">
        <v>650</v>
      </c>
      <c r="D439" s="146">
        <v>10</v>
      </c>
      <c r="E439" s="147">
        <v>114.01</v>
      </c>
      <c r="F439" s="118">
        <f t="shared" si="275"/>
        <v>1140.1000000000001</v>
      </c>
      <c r="G439" s="168"/>
      <c r="H439" s="120" t="str">
        <f t="shared" ref="H439" si="296">+IF(OR($E439="",G439=""),"",$E439*G439)</f>
        <v/>
      </c>
    </row>
    <row r="440" spans="2:8" ht="22.5" outlineLevel="2">
      <c r="C440" s="27" t="s">
        <v>458</v>
      </c>
      <c r="D440" s="146">
        <v>1</v>
      </c>
      <c r="E440" s="147">
        <v>142.01</v>
      </c>
      <c r="F440" s="118">
        <f t="shared" ref="F440:F469" si="297">+D440*E440</f>
        <v>142.01</v>
      </c>
      <c r="G440" s="168"/>
      <c r="H440" s="120" t="str">
        <f t="shared" ref="H440" si="298">+IF(OR($E440="",G440=""),"",$E440*G440)</f>
        <v/>
      </c>
    </row>
    <row r="441" spans="2:8" s="110" customFormat="1" ht="15" customHeight="1" outlineLevel="2">
      <c r="B441" s="143"/>
      <c r="C441" s="144" t="s">
        <v>251</v>
      </c>
      <c r="D441" s="139"/>
      <c r="E441" s="140"/>
      <c r="F441" s="145"/>
      <c r="G441" s="173"/>
      <c r="H441" s="227"/>
    </row>
    <row r="442" spans="2:8" ht="78.75" outlineLevel="2">
      <c r="C442" s="27" t="s">
        <v>654</v>
      </c>
      <c r="F442" s="118"/>
      <c r="G442" s="168"/>
    </row>
    <row r="443" spans="2:8" ht="15" customHeight="1" outlineLevel="2">
      <c r="C443" s="27" t="s">
        <v>123</v>
      </c>
      <c r="D443" s="1">
        <v>23</v>
      </c>
      <c r="E443" s="117">
        <v>36.75</v>
      </c>
      <c r="F443" s="118">
        <f t="shared" si="297"/>
        <v>845.25</v>
      </c>
      <c r="G443" s="168"/>
      <c r="H443" s="120" t="str">
        <f t="shared" ref="H443" si="299">+IF(OR($E443="",G443=""),"",$E443*G443)</f>
        <v/>
      </c>
    </row>
    <row r="444" spans="2:8" ht="15" customHeight="1" outlineLevel="2">
      <c r="C444" s="27" t="s">
        <v>124</v>
      </c>
      <c r="D444" s="1">
        <v>31</v>
      </c>
      <c r="E444" s="117">
        <v>34.130000000000003</v>
      </c>
      <c r="F444" s="118">
        <f t="shared" si="297"/>
        <v>1058.03</v>
      </c>
      <c r="G444" s="168"/>
      <c r="H444" s="120" t="str">
        <f t="shared" ref="H444" si="300">+IF(OR($E444="",G444=""),"",$E444*G444)</f>
        <v/>
      </c>
    </row>
    <row r="445" spans="2:8" ht="15" customHeight="1" outlineLevel="2">
      <c r="C445" s="27" t="s">
        <v>125</v>
      </c>
      <c r="D445" s="1">
        <v>18</v>
      </c>
      <c r="E445" s="117">
        <v>34.130000000000003</v>
      </c>
      <c r="F445" s="118">
        <f t="shared" si="297"/>
        <v>614.34</v>
      </c>
      <c r="G445" s="168"/>
      <c r="H445" s="120" t="str">
        <f t="shared" ref="H445" si="301">+IF(OR($E445="",G445=""),"",$E445*G445)</f>
        <v/>
      </c>
    </row>
    <row r="446" spans="2:8" ht="15" customHeight="1" outlineLevel="2">
      <c r="C446" s="27" t="s">
        <v>126</v>
      </c>
      <c r="D446" s="1">
        <v>9</v>
      </c>
      <c r="E446" s="117">
        <v>34.130000000000003</v>
      </c>
      <c r="F446" s="118">
        <f t="shared" si="297"/>
        <v>307.17</v>
      </c>
      <c r="G446" s="168"/>
      <c r="H446" s="120" t="str">
        <f t="shared" ref="H446" si="302">+IF(OR($E446="",G446=""),"",$E446*G446)</f>
        <v/>
      </c>
    </row>
    <row r="447" spans="2:8" ht="15" customHeight="1" outlineLevel="2">
      <c r="C447" s="27" t="s">
        <v>127</v>
      </c>
      <c r="D447" s="1">
        <v>16</v>
      </c>
      <c r="E447" s="117">
        <v>123.84</v>
      </c>
      <c r="F447" s="118">
        <f t="shared" si="297"/>
        <v>1981.44</v>
      </c>
      <c r="G447" s="168"/>
      <c r="H447" s="120" t="str">
        <f t="shared" ref="H447" si="303">+IF(OR($E447="",G447=""),"",$E447*G447)</f>
        <v/>
      </c>
    </row>
    <row r="448" spans="2:8" ht="15" customHeight="1" outlineLevel="2">
      <c r="C448" s="27" t="s">
        <v>128</v>
      </c>
      <c r="D448" s="1">
        <v>24.5</v>
      </c>
      <c r="E448" s="117">
        <v>47.54</v>
      </c>
      <c r="F448" s="118">
        <f t="shared" si="297"/>
        <v>1164.73</v>
      </c>
      <c r="G448" s="168"/>
      <c r="H448" s="120" t="str">
        <f t="shared" ref="H448" si="304">+IF(OR($E448="",G448=""),"",$E448*G448)</f>
        <v/>
      </c>
    </row>
    <row r="449" spans="2:8" ht="15" customHeight="1" outlineLevel="2">
      <c r="C449" s="27" t="s">
        <v>129</v>
      </c>
      <c r="D449" s="1">
        <v>1.5</v>
      </c>
      <c r="E449" s="117">
        <v>88.48</v>
      </c>
      <c r="F449" s="118">
        <f t="shared" si="297"/>
        <v>132.72</v>
      </c>
      <c r="G449" s="168"/>
      <c r="H449" s="120" t="str">
        <f t="shared" ref="H449" si="305">+IF(OR($E449="",G449=""),"",$E449*G449)</f>
        <v/>
      </c>
    </row>
    <row r="450" spans="2:8" ht="15" customHeight="1" outlineLevel="2">
      <c r="C450" s="27" t="s">
        <v>130</v>
      </c>
      <c r="D450" s="1">
        <v>14</v>
      </c>
      <c r="E450" s="117">
        <v>48.75</v>
      </c>
      <c r="F450" s="118">
        <f t="shared" si="297"/>
        <v>682.5</v>
      </c>
      <c r="G450" s="168"/>
      <c r="H450" s="120" t="str">
        <f t="shared" ref="H450" si="306">+IF(OR($E450="",G450=""),"",$E450*G450)</f>
        <v/>
      </c>
    </row>
    <row r="451" spans="2:8" ht="15" customHeight="1" outlineLevel="2">
      <c r="C451" s="27" t="s">
        <v>131</v>
      </c>
      <c r="D451" s="1">
        <v>4</v>
      </c>
      <c r="E451" s="117">
        <v>19.690000000000001</v>
      </c>
      <c r="F451" s="118">
        <f t="shared" si="297"/>
        <v>78.760000000000005</v>
      </c>
      <c r="G451" s="168"/>
      <c r="H451" s="120" t="str">
        <f t="shared" ref="H451" si="307">+IF(OR($E451="",G451=""),"",$E451*G451)</f>
        <v/>
      </c>
    </row>
    <row r="452" spans="2:8" ht="15" customHeight="1" outlineLevel="2">
      <c r="C452" s="27" t="s">
        <v>132</v>
      </c>
      <c r="D452" s="1">
        <v>61</v>
      </c>
      <c r="E452" s="117">
        <v>19.690000000000001</v>
      </c>
      <c r="F452" s="118">
        <f t="shared" si="297"/>
        <v>1201.0900000000001</v>
      </c>
      <c r="G452" s="168"/>
      <c r="H452" s="120" t="str">
        <f t="shared" ref="H452" si="308">+IF(OR($E452="",G452=""),"",$E452*G452)</f>
        <v/>
      </c>
    </row>
    <row r="453" spans="2:8" ht="15" customHeight="1" outlineLevel="2">
      <c r="C453" s="27" t="s">
        <v>133</v>
      </c>
      <c r="D453" s="1">
        <v>8</v>
      </c>
      <c r="E453" s="117">
        <v>19.690000000000001</v>
      </c>
      <c r="F453" s="118">
        <f t="shared" si="297"/>
        <v>157.52000000000001</v>
      </c>
      <c r="G453" s="168"/>
      <c r="H453" s="120" t="str">
        <f t="shared" ref="H453" si="309">+IF(OR($E453="",G453=""),"",$E453*G453)</f>
        <v/>
      </c>
    </row>
    <row r="454" spans="2:8" ht="15" customHeight="1" outlineLevel="2">
      <c r="C454" s="27" t="s">
        <v>134</v>
      </c>
      <c r="D454" s="1">
        <v>8</v>
      </c>
      <c r="E454" s="117">
        <v>19.690000000000001</v>
      </c>
      <c r="F454" s="118">
        <f t="shared" si="297"/>
        <v>157.52000000000001</v>
      </c>
      <c r="G454" s="168"/>
      <c r="H454" s="120" t="str">
        <f t="shared" ref="H454" si="310">+IF(OR($E454="",G454=""),"",$E454*G454)</f>
        <v/>
      </c>
    </row>
    <row r="455" spans="2:8" ht="15" customHeight="1" outlineLevel="2">
      <c r="C455" s="27" t="s">
        <v>135</v>
      </c>
      <c r="D455" s="1">
        <v>4</v>
      </c>
      <c r="E455" s="117">
        <v>534.45000000000005</v>
      </c>
      <c r="F455" s="118">
        <f t="shared" si="297"/>
        <v>2137.8000000000002</v>
      </c>
      <c r="G455" s="168"/>
      <c r="H455" s="120" t="str">
        <f t="shared" ref="H455" si="311">+IF(OR($E455="",G455=""),"",$E455*G455)</f>
        <v/>
      </c>
    </row>
    <row r="456" spans="2:8" ht="33.75" outlineLevel="2">
      <c r="C456" s="27" t="s">
        <v>655</v>
      </c>
      <c r="D456" s="1">
        <v>26</v>
      </c>
      <c r="E456" s="117">
        <v>19.690000000000001</v>
      </c>
      <c r="F456" s="118">
        <f t="shared" si="297"/>
        <v>511.94000000000005</v>
      </c>
      <c r="G456" s="168"/>
      <c r="H456" s="120" t="str">
        <f t="shared" ref="H456" si="312">+IF(OR($E456="",G456=""),"",$E456*G456)</f>
        <v/>
      </c>
    </row>
    <row r="457" spans="2:8" ht="31.5" customHeight="1" outlineLevel="2">
      <c r="C457" s="160" t="s">
        <v>656</v>
      </c>
      <c r="F457" s="118"/>
      <c r="G457" s="168"/>
    </row>
    <row r="458" spans="2:8" ht="33.75" outlineLevel="2">
      <c r="C458" s="160" t="s">
        <v>459</v>
      </c>
      <c r="F458" s="118"/>
      <c r="G458" s="168"/>
    </row>
    <row r="459" spans="2:8" s="110" customFormat="1" ht="15" customHeight="1" outlineLevel="2">
      <c r="B459" s="143"/>
      <c r="C459" s="144" t="s">
        <v>705</v>
      </c>
      <c r="D459" s="139"/>
      <c r="E459" s="140"/>
      <c r="F459" s="145"/>
      <c r="G459" s="173"/>
      <c r="H459" s="227"/>
    </row>
    <row r="460" spans="2:8" s="110" customFormat="1" ht="15" customHeight="1" outlineLevel="2">
      <c r="B460" s="143"/>
      <c r="C460" s="144" t="s">
        <v>369</v>
      </c>
      <c r="D460" s="139"/>
      <c r="E460" s="140"/>
      <c r="F460" s="145"/>
      <c r="G460" s="173"/>
      <c r="H460" s="227"/>
    </row>
    <row r="461" spans="2:8" ht="67.5" outlineLevel="2">
      <c r="C461" s="27" t="s">
        <v>97</v>
      </c>
      <c r="F461" s="118"/>
      <c r="G461" s="168"/>
    </row>
    <row r="462" spans="2:8" ht="22.5" outlineLevel="2">
      <c r="C462" s="27" t="s">
        <v>460</v>
      </c>
      <c r="D462" s="1">
        <v>402</v>
      </c>
      <c r="E462" s="117">
        <v>2.76</v>
      </c>
      <c r="F462" s="118">
        <f t="shared" si="297"/>
        <v>1109.52</v>
      </c>
      <c r="G462" s="168"/>
      <c r="H462" s="120" t="str">
        <f t="shared" ref="H462" si="313">+IF(OR($E462="",G462=""),"",$E462*G462)</f>
        <v/>
      </c>
    </row>
    <row r="463" spans="2:8" s="110" customFormat="1" ht="15" customHeight="1" outlineLevel="2">
      <c r="B463" s="143"/>
      <c r="C463" s="144" t="s">
        <v>447</v>
      </c>
      <c r="D463" s="139"/>
      <c r="E463" s="140"/>
      <c r="F463" s="145"/>
      <c r="G463" s="173"/>
      <c r="H463" s="227"/>
    </row>
    <row r="464" spans="2:8" ht="90" outlineLevel="2">
      <c r="C464" s="27" t="s">
        <v>101</v>
      </c>
      <c r="F464" s="118"/>
      <c r="G464" s="168"/>
    </row>
    <row r="465" spans="2:8" ht="15" customHeight="1" outlineLevel="2">
      <c r="C465" s="27" t="s">
        <v>120</v>
      </c>
      <c r="D465" s="1">
        <v>217</v>
      </c>
      <c r="E465" s="117">
        <v>2.1</v>
      </c>
      <c r="F465" s="118">
        <f t="shared" si="297"/>
        <v>455.70000000000005</v>
      </c>
      <c r="G465" s="168"/>
      <c r="H465" s="120" t="str">
        <f t="shared" ref="H465" si="314">+IF(OR($E465="",G465=""),"",$E465*G465)</f>
        <v/>
      </c>
    </row>
    <row r="466" spans="2:8" ht="22.5" outlineLevel="2">
      <c r="C466" s="27" t="s">
        <v>461</v>
      </c>
      <c r="D466" s="1">
        <v>204</v>
      </c>
      <c r="E466" s="117">
        <v>2.71</v>
      </c>
      <c r="F466" s="118">
        <f t="shared" si="297"/>
        <v>552.84</v>
      </c>
      <c r="G466" s="168"/>
      <c r="H466" s="120" t="str">
        <f t="shared" ref="H466" si="315">+IF(OR($E466="",G466=""),"",$E466*G466)</f>
        <v/>
      </c>
    </row>
    <row r="467" spans="2:8" s="110" customFormat="1" ht="15" customHeight="1" outlineLevel="2">
      <c r="B467" s="143"/>
      <c r="C467" s="144" t="s">
        <v>449</v>
      </c>
      <c r="D467" s="139"/>
      <c r="E467" s="140"/>
      <c r="F467" s="145"/>
      <c r="G467" s="173"/>
      <c r="H467" s="227"/>
    </row>
    <row r="468" spans="2:8" ht="45" outlineLevel="2">
      <c r="C468" s="27" t="s">
        <v>106</v>
      </c>
      <c r="F468" s="118"/>
      <c r="G468" s="168"/>
    </row>
    <row r="469" spans="2:8" ht="22.5" outlineLevel="2">
      <c r="C469" s="27" t="s">
        <v>462</v>
      </c>
      <c r="D469" s="1">
        <v>1</v>
      </c>
      <c r="E469" s="117">
        <v>5.58</v>
      </c>
      <c r="F469" s="118">
        <f t="shared" si="297"/>
        <v>5.58</v>
      </c>
      <c r="G469" s="168"/>
      <c r="H469" s="120" t="str">
        <f t="shared" ref="H469" si="316">+IF(OR($E469="",G469=""),"",$E469*G469)</f>
        <v/>
      </c>
    </row>
    <row r="470" spans="2:8" s="110" customFormat="1" ht="15" customHeight="1" outlineLevel="2">
      <c r="B470" s="143"/>
      <c r="C470" s="144" t="s">
        <v>251</v>
      </c>
      <c r="D470" s="139"/>
      <c r="E470" s="140"/>
      <c r="F470" s="145"/>
      <c r="G470" s="173"/>
      <c r="H470" s="227"/>
    </row>
    <row r="471" spans="2:8" ht="78.75" outlineLevel="2">
      <c r="C471" s="27" t="s">
        <v>654</v>
      </c>
      <c r="F471" s="118"/>
      <c r="G471" s="168"/>
    </row>
    <row r="472" spans="2:8" ht="15" customHeight="1" outlineLevel="2">
      <c r="C472" s="27" t="s">
        <v>136</v>
      </c>
      <c r="D472" s="1">
        <v>8</v>
      </c>
      <c r="E472" s="117">
        <v>82.31</v>
      </c>
      <c r="F472" s="118">
        <f t="shared" ref="F472:F503" si="317">+D472*E472</f>
        <v>658.48</v>
      </c>
      <c r="G472" s="168"/>
      <c r="H472" s="120" t="str">
        <f t="shared" ref="H472" si="318">+IF(OR($E472="",G472=""),"",$E472*G472)</f>
        <v/>
      </c>
    </row>
    <row r="473" spans="2:8" ht="15" customHeight="1" outlineLevel="2">
      <c r="C473" s="27" t="s">
        <v>137</v>
      </c>
      <c r="D473" s="1">
        <v>10</v>
      </c>
      <c r="E473" s="117">
        <v>50.91</v>
      </c>
      <c r="F473" s="118">
        <f t="shared" si="317"/>
        <v>509.09999999999997</v>
      </c>
      <c r="G473" s="168"/>
      <c r="H473" s="120" t="str">
        <f t="shared" ref="H473" si="319">+IF(OR($E473="",G473=""),"",$E473*G473)</f>
        <v/>
      </c>
    </row>
    <row r="474" spans="2:8" ht="22.5" outlineLevel="2">
      <c r="C474" s="27" t="s">
        <v>138</v>
      </c>
      <c r="D474" s="1">
        <v>5</v>
      </c>
      <c r="E474" s="117">
        <v>87.73</v>
      </c>
      <c r="F474" s="118">
        <f t="shared" si="317"/>
        <v>438.65000000000003</v>
      </c>
      <c r="G474" s="168"/>
      <c r="H474" s="120" t="str">
        <f t="shared" ref="H474" si="320">+IF(OR($E474="",G474=""),"",$E474*G474)</f>
        <v/>
      </c>
    </row>
    <row r="475" spans="2:8" ht="22.5" outlineLevel="2">
      <c r="C475" s="27" t="s">
        <v>463</v>
      </c>
      <c r="D475" s="1">
        <v>1</v>
      </c>
      <c r="E475" s="117">
        <v>137.94999999999999</v>
      </c>
      <c r="F475" s="118">
        <f t="shared" si="317"/>
        <v>137.94999999999999</v>
      </c>
      <c r="G475" s="168"/>
      <c r="H475" s="120" t="str">
        <f t="shared" ref="H475" si="321">+IF(OR($E475="",G475=""),"",$E475*G475)</f>
        <v/>
      </c>
    </row>
    <row r="476" spans="2:8" s="110" customFormat="1" ht="15" customHeight="1" outlineLevel="2">
      <c r="B476" s="143"/>
      <c r="C476" s="144" t="s">
        <v>704</v>
      </c>
      <c r="D476" s="139"/>
      <c r="E476" s="140"/>
      <c r="F476" s="145"/>
      <c r="G476" s="173"/>
      <c r="H476" s="227"/>
    </row>
    <row r="477" spans="2:8" s="110" customFormat="1" ht="15" customHeight="1" outlineLevel="2">
      <c r="B477" s="143"/>
      <c r="C477" s="144" t="s">
        <v>250</v>
      </c>
      <c r="D477" s="139"/>
      <c r="E477" s="140"/>
      <c r="F477" s="145"/>
      <c r="G477" s="173"/>
      <c r="H477" s="227"/>
    </row>
    <row r="478" spans="2:8" ht="90" outlineLevel="2">
      <c r="C478" s="27" t="s">
        <v>659</v>
      </c>
      <c r="F478" s="118"/>
      <c r="G478" s="168"/>
    </row>
    <row r="479" spans="2:8" ht="18" customHeight="1" outlineLevel="2">
      <c r="C479" s="27" t="s">
        <v>139</v>
      </c>
      <c r="D479" s="1">
        <v>1</v>
      </c>
      <c r="E479" s="117">
        <v>74.97</v>
      </c>
      <c r="F479" s="118">
        <f t="shared" si="317"/>
        <v>74.97</v>
      </c>
      <c r="G479" s="168"/>
      <c r="H479" s="120" t="str">
        <f t="shared" ref="H479" si="322">+IF(OR($E479="",G479=""),"",$E479*G479)</f>
        <v/>
      </c>
    </row>
    <row r="480" spans="2:8" ht="18" customHeight="1" outlineLevel="2">
      <c r="C480" s="27" t="s">
        <v>140</v>
      </c>
      <c r="D480" s="1">
        <v>1</v>
      </c>
      <c r="E480" s="117">
        <v>372.31</v>
      </c>
      <c r="F480" s="118">
        <f t="shared" si="317"/>
        <v>372.31</v>
      </c>
      <c r="G480" s="168"/>
      <c r="H480" s="120" t="str">
        <f t="shared" ref="H480" si="323">+IF(OR($E480="",G480=""),"",$E480*G480)</f>
        <v/>
      </c>
    </row>
    <row r="481" spans="3:8" ht="18" customHeight="1" outlineLevel="2">
      <c r="C481" s="27" t="s">
        <v>657</v>
      </c>
      <c r="D481" s="1">
        <v>1</v>
      </c>
      <c r="E481" s="117">
        <v>325.45999999999998</v>
      </c>
      <c r="F481" s="118">
        <f t="shared" si="317"/>
        <v>325.45999999999998</v>
      </c>
      <c r="G481" s="168"/>
      <c r="H481" s="120" t="str">
        <f t="shared" ref="H481" si="324">+IF(OR($E481="",G481=""),"",$E481*G481)</f>
        <v/>
      </c>
    </row>
    <row r="482" spans="3:8" ht="18" customHeight="1" outlineLevel="2">
      <c r="C482" s="27" t="s">
        <v>658</v>
      </c>
      <c r="D482" s="1">
        <v>1</v>
      </c>
      <c r="E482" s="117">
        <v>459.65</v>
      </c>
      <c r="F482" s="118">
        <f t="shared" si="317"/>
        <v>459.65</v>
      </c>
      <c r="G482" s="168"/>
      <c r="H482" s="120" t="str">
        <f t="shared" ref="H482" si="325">+IF(OR($E482="",G482=""),"",$E482*G482)</f>
        <v/>
      </c>
    </row>
    <row r="483" spans="3:8" ht="18" customHeight="1" outlineLevel="2">
      <c r="C483" s="27" t="s">
        <v>141</v>
      </c>
      <c r="D483" s="1">
        <v>3</v>
      </c>
      <c r="E483" s="117">
        <v>119.61</v>
      </c>
      <c r="F483" s="118">
        <f t="shared" si="317"/>
        <v>358.83</v>
      </c>
      <c r="G483" s="168"/>
      <c r="H483" s="120" t="str">
        <f t="shared" ref="H483" si="326">+IF(OR($E483="",G483=""),"",$E483*G483)</f>
        <v/>
      </c>
    </row>
    <row r="484" spans="3:8" ht="18" customHeight="1" outlineLevel="2">
      <c r="C484" s="27" t="s">
        <v>142</v>
      </c>
      <c r="D484" s="1">
        <v>6</v>
      </c>
      <c r="E484" s="117">
        <v>12.26</v>
      </c>
      <c r="F484" s="118">
        <f t="shared" si="317"/>
        <v>73.56</v>
      </c>
      <c r="G484" s="168"/>
      <c r="H484" s="120" t="str">
        <f t="shared" ref="H484" si="327">+IF(OR($E484="",G484=""),"",$E484*G484)</f>
        <v/>
      </c>
    </row>
    <row r="485" spans="3:8" ht="18" customHeight="1" outlineLevel="2">
      <c r="C485" s="27" t="s">
        <v>143</v>
      </c>
      <c r="D485" s="1">
        <v>1</v>
      </c>
      <c r="E485" s="117">
        <v>273.83999999999997</v>
      </c>
      <c r="F485" s="118">
        <f t="shared" si="317"/>
        <v>273.83999999999997</v>
      </c>
      <c r="G485" s="168"/>
      <c r="H485" s="120" t="str">
        <f t="shared" ref="H485" si="328">+IF(OR($E485="",G485=""),"",$E485*G485)</f>
        <v/>
      </c>
    </row>
    <row r="486" spans="3:8" ht="18" customHeight="1" outlineLevel="2">
      <c r="C486" s="27" t="s">
        <v>144</v>
      </c>
      <c r="D486" s="1">
        <v>6</v>
      </c>
      <c r="E486" s="117">
        <v>21.19</v>
      </c>
      <c r="F486" s="118">
        <f t="shared" si="317"/>
        <v>127.14000000000001</v>
      </c>
      <c r="G486" s="168"/>
      <c r="H486" s="120" t="str">
        <f t="shared" ref="H486" si="329">+IF(OR($E486="",G486=""),"",$E486*G486)</f>
        <v/>
      </c>
    </row>
    <row r="487" spans="3:8" ht="18" customHeight="1" outlineLevel="2">
      <c r="C487" s="27" t="s">
        <v>145</v>
      </c>
      <c r="D487" s="1">
        <v>55</v>
      </c>
      <c r="E487" s="117">
        <v>119.76</v>
      </c>
      <c r="F487" s="118">
        <f t="shared" si="317"/>
        <v>6586.8</v>
      </c>
      <c r="G487" s="168"/>
      <c r="H487" s="120" t="str">
        <f t="shared" ref="H487" si="330">+IF(OR($E487="",G487=""),"",$E487*G487)</f>
        <v/>
      </c>
    </row>
    <row r="488" spans="3:8" ht="18" customHeight="1" outlineLevel="2">
      <c r="C488" s="27" t="s">
        <v>146</v>
      </c>
      <c r="D488" s="1">
        <v>100</v>
      </c>
      <c r="E488" s="117">
        <v>13.23</v>
      </c>
      <c r="F488" s="118">
        <f t="shared" si="317"/>
        <v>1323</v>
      </c>
      <c r="G488" s="168"/>
      <c r="H488" s="120" t="str">
        <f t="shared" ref="H488" si="331">+IF(OR($E488="",G488=""),"",$E488*G488)</f>
        <v/>
      </c>
    </row>
    <row r="489" spans="3:8" ht="18" customHeight="1" outlineLevel="2">
      <c r="C489" s="27" t="s">
        <v>147</v>
      </c>
      <c r="D489" s="1">
        <v>200</v>
      </c>
      <c r="E489" s="117">
        <v>2.5299999999999998</v>
      </c>
      <c r="F489" s="118">
        <f t="shared" si="317"/>
        <v>505.99999999999994</v>
      </c>
      <c r="G489" s="168"/>
      <c r="H489" s="120" t="str">
        <f t="shared" ref="H489" si="332">+IF(OR($E489="",G489=""),"",$E489*G489)</f>
        <v/>
      </c>
    </row>
    <row r="490" spans="3:8" ht="18" customHeight="1" outlineLevel="2">
      <c r="C490" s="27" t="s">
        <v>148</v>
      </c>
      <c r="D490" s="1">
        <v>1</v>
      </c>
      <c r="E490" s="117">
        <v>1482.69</v>
      </c>
      <c r="F490" s="118">
        <f t="shared" si="317"/>
        <v>1482.69</v>
      </c>
      <c r="G490" s="168"/>
      <c r="H490" s="120" t="str">
        <f t="shared" ref="H490" si="333">+IF(OR($E490="",G490=""),"",$E490*G490)</f>
        <v/>
      </c>
    </row>
    <row r="491" spans="3:8" ht="18" customHeight="1" outlineLevel="2">
      <c r="C491" s="27" t="s">
        <v>149</v>
      </c>
      <c r="D491" s="1">
        <v>1</v>
      </c>
      <c r="E491" s="117">
        <v>156.74</v>
      </c>
      <c r="F491" s="118">
        <f t="shared" si="317"/>
        <v>156.74</v>
      </c>
      <c r="G491" s="168"/>
      <c r="H491" s="120" t="str">
        <f t="shared" ref="H491" si="334">+IF(OR($E491="",G491=""),"",$E491*G491)</f>
        <v/>
      </c>
    </row>
    <row r="492" spans="3:8" ht="18" customHeight="1" outlineLevel="2">
      <c r="C492" s="27" t="s">
        <v>150</v>
      </c>
      <c r="D492" s="1">
        <v>1</v>
      </c>
      <c r="E492" s="117">
        <v>32.18</v>
      </c>
      <c r="F492" s="118">
        <f t="shared" si="317"/>
        <v>32.18</v>
      </c>
      <c r="G492" s="168"/>
      <c r="H492" s="120" t="str">
        <f t="shared" ref="H492" si="335">+IF(OR($E492="",G492=""),"",$E492*G492)</f>
        <v/>
      </c>
    </row>
    <row r="493" spans="3:8" ht="18" customHeight="1" outlineLevel="2">
      <c r="C493" s="27" t="s">
        <v>151</v>
      </c>
      <c r="D493" s="1">
        <v>1</v>
      </c>
      <c r="E493" s="117">
        <v>157.08000000000001</v>
      </c>
      <c r="F493" s="118">
        <f t="shared" si="317"/>
        <v>157.08000000000001</v>
      </c>
      <c r="G493" s="168"/>
      <c r="H493" s="120" t="str">
        <f t="shared" ref="H493" si="336">+IF(OR($E493="",G493=""),"",$E493*G493)</f>
        <v/>
      </c>
    </row>
    <row r="494" spans="3:8" ht="18" customHeight="1" outlineLevel="2">
      <c r="C494" s="27" t="s">
        <v>152</v>
      </c>
      <c r="D494" s="1">
        <v>1</v>
      </c>
      <c r="E494" s="117">
        <v>720.5</v>
      </c>
      <c r="F494" s="118">
        <f t="shared" si="317"/>
        <v>720.5</v>
      </c>
      <c r="G494" s="168"/>
      <c r="H494" s="120" t="str">
        <f t="shared" ref="H494" si="337">+IF(OR($E494="",G494=""),"",$E494*G494)</f>
        <v/>
      </c>
    </row>
    <row r="495" spans="3:8" ht="18" customHeight="1" outlineLevel="2">
      <c r="C495" s="27" t="s">
        <v>153</v>
      </c>
      <c r="D495" s="1">
        <v>1</v>
      </c>
      <c r="E495" s="117">
        <v>59.07</v>
      </c>
      <c r="F495" s="118">
        <f t="shared" si="317"/>
        <v>59.07</v>
      </c>
      <c r="G495" s="168"/>
      <c r="H495" s="120" t="str">
        <f t="shared" ref="H495" si="338">+IF(OR($E495="",G495=""),"",$E495*G495)</f>
        <v/>
      </c>
    </row>
    <row r="496" spans="3:8" ht="18" customHeight="1" outlineLevel="2">
      <c r="C496" s="27" t="s">
        <v>154</v>
      </c>
      <c r="D496" s="1">
        <v>1</v>
      </c>
      <c r="E496" s="117">
        <v>14.29</v>
      </c>
      <c r="F496" s="118">
        <f t="shared" si="317"/>
        <v>14.29</v>
      </c>
      <c r="G496" s="168"/>
      <c r="H496" s="120" t="str">
        <f t="shared" ref="H496" si="339">+IF(OR($E496="",G496=""),"",$E496*G496)</f>
        <v/>
      </c>
    </row>
    <row r="497" spans="2:8" ht="18" customHeight="1" outlineLevel="2">
      <c r="C497" s="27" t="s">
        <v>155</v>
      </c>
      <c r="D497" s="1">
        <v>1</v>
      </c>
      <c r="E497" s="117">
        <v>13.63</v>
      </c>
      <c r="F497" s="118">
        <f t="shared" si="317"/>
        <v>13.63</v>
      </c>
      <c r="G497" s="168"/>
      <c r="H497" s="120" t="str">
        <f t="shared" ref="H497" si="340">+IF(OR($E497="",G497=""),"",$E497*G497)</f>
        <v/>
      </c>
    </row>
    <row r="498" spans="2:8" ht="18" customHeight="1" outlineLevel="2">
      <c r="C498" s="27" t="s">
        <v>156</v>
      </c>
      <c r="D498" s="1">
        <v>15</v>
      </c>
      <c r="E498" s="117">
        <v>20.63</v>
      </c>
      <c r="F498" s="118">
        <f t="shared" si="317"/>
        <v>309.45</v>
      </c>
      <c r="G498" s="168"/>
      <c r="H498" s="120" t="str">
        <f t="shared" ref="H498" si="341">+IF(OR($E498="",G498=""),"",$E498*G498)</f>
        <v/>
      </c>
    </row>
    <row r="499" spans="2:8" ht="18" customHeight="1" outlineLevel="2">
      <c r="C499" s="27" t="s">
        <v>157</v>
      </c>
      <c r="D499" s="1">
        <v>3</v>
      </c>
      <c r="E499" s="117">
        <v>29.65</v>
      </c>
      <c r="F499" s="118">
        <f t="shared" si="317"/>
        <v>88.949999999999989</v>
      </c>
      <c r="G499" s="168"/>
      <c r="H499" s="120" t="str">
        <f t="shared" ref="H499" si="342">+IF(OR($E499="",G499=""),"",$E499*G499)</f>
        <v/>
      </c>
    </row>
    <row r="500" spans="2:8" ht="18" customHeight="1" outlineLevel="2">
      <c r="C500" s="27" t="s">
        <v>158</v>
      </c>
      <c r="D500" s="1">
        <v>1</v>
      </c>
      <c r="E500" s="117">
        <v>376.86</v>
      </c>
      <c r="F500" s="118">
        <f t="shared" si="317"/>
        <v>376.86</v>
      </c>
      <c r="G500" s="168"/>
      <c r="H500" s="120" t="str">
        <f t="shared" ref="H500" si="343">+IF(OR($E500="",G500=""),"",$E500*G500)</f>
        <v/>
      </c>
    </row>
    <row r="501" spans="2:8" ht="18" customHeight="1" outlineLevel="2">
      <c r="C501" s="27" t="s">
        <v>159</v>
      </c>
      <c r="D501" s="1">
        <v>10</v>
      </c>
      <c r="E501" s="117">
        <v>21.95</v>
      </c>
      <c r="F501" s="118">
        <f t="shared" si="317"/>
        <v>219.5</v>
      </c>
      <c r="G501" s="168"/>
      <c r="H501" s="120" t="str">
        <f t="shared" ref="H501" si="344">+IF(OR($E501="",G501=""),"",$E501*G501)</f>
        <v/>
      </c>
    </row>
    <row r="502" spans="2:8" ht="18" customHeight="1" outlineLevel="2">
      <c r="C502" s="27" t="s">
        <v>160</v>
      </c>
      <c r="D502" s="1">
        <v>1</v>
      </c>
      <c r="E502" s="117">
        <v>68.489999999999995</v>
      </c>
      <c r="F502" s="118">
        <f t="shared" si="317"/>
        <v>68.489999999999995</v>
      </c>
      <c r="G502" s="168"/>
      <c r="H502" s="120" t="str">
        <f t="shared" ref="H502" si="345">+IF(OR($E502="",G502=""),"",$E502*G502)</f>
        <v/>
      </c>
    </row>
    <row r="503" spans="2:8" ht="56.25" outlineLevel="2">
      <c r="C503" s="27" t="s">
        <v>660</v>
      </c>
      <c r="D503" s="1">
        <v>1</v>
      </c>
      <c r="E503" s="117">
        <v>292.04000000000002</v>
      </c>
      <c r="F503" s="118">
        <f t="shared" si="317"/>
        <v>292.04000000000002</v>
      </c>
      <c r="G503" s="168"/>
      <c r="H503" s="120" t="str">
        <f t="shared" ref="H503" si="346">+IF(OR($E503="",G503=""),"",$E503*G503)</f>
        <v/>
      </c>
    </row>
    <row r="504" spans="2:8" ht="45" outlineLevel="2">
      <c r="C504" s="27" t="s">
        <v>464</v>
      </c>
      <c r="D504" s="1">
        <v>1</v>
      </c>
      <c r="E504" s="117">
        <v>107.5</v>
      </c>
      <c r="F504" s="118">
        <f t="shared" ref="F504:F513" si="347">+D504*E504</f>
        <v>107.5</v>
      </c>
      <c r="G504" s="168"/>
      <c r="H504" s="120" t="str">
        <f t="shared" ref="H504" si="348">+IF(OR($E504="",G504=""),"",$E504*G504)</f>
        <v/>
      </c>
    </row>
    <row r="505" spans="2:8" s="110" customFormat="1" ht="15" customHeight="1" outlineLevel="2">
      <c r="B505" s="143"/>
      <c r="C505" s="144" t="s">
        <v>703</v>
      </c>
      <c r="D505" s="139"/>
      <c r="E505" s="140"/>
      <c r="F505" s="145"/>
      <c r="G505" s="173"/>
      <c r="H505" s="227"/>
    </row>
    <row r="506" spans="2:8" s="110" customFormat="1" ht="15" customHeight="1" outlineLevel="2">
      <c r="B506" s="143"/>
      <c r="C506" s="144" t="s">
        <v>250</v>
      </c>
      <c r="D506" s="139"/>
      <c r="E506" s="140"/>
      <c r="F506" s="145"/>
      <c r="G506" s="173"/>
      <c r="H506" s="227"/>
    </row>
    <row r="507" spans="2:8" ht="101.25" outlineLevel="2">
      <c r="C507" s="27" t="s">
        <v>661</v>
      </c>
      <c r="F507" s="118"/>
      <c r="G507" s="168"/>
    </row>
    <row r="508" spans="2:8" ht="168.75" outlineLevel="2">
      <c r="C508" s="27" t="s">
        <v>662</v>
      </c>
      <c r="D508" s="1">
        <v>1</v>
      </c>
      <c r="E508" s="117">
        <v>833.44</v>
      </c>
      <c r="F508" s="118">
        <f t="shared" si="347"/>
        <v>833.44</v>
      </c>
      <c r="G508" s="168"/>
      <c r="H508" s="120" t="str">
        <f t="shared" ref="H508" si="349">+IF(OR($E508="",G508=""),"",$E508*G508)</f>
        <v/>
      </c>
    </row>
    <row r="509" spans="2:8" s="110" customFormat="1" ht="15" customHeight="1" outlineLevel="2">
      <c r="B509" s="143"/>
      <c r="C509" s="144" t="s">
        <v>702</v>
      </c>
      <c r="D509" s="139"/>
      <c r="E509" s="140"/>
      <c r="F509" s="145"/>
      <c r="G509" s="173"/>
      <c r="H509" s="227"/>
    </row>
    <row r="510" spans="2:8" ht="33.75" outlineLevel="2">
      <c r="C510" s="27" t="s">
        <v>443</v>
      </c>
      <c r="F510" s="118"/>
      <c r="G510" s="168"/>
    </row>
    <row r="511" spans="2:8" ht="22.5" outlineLevel="2">
      <c r="C511" s="27" t="s">
        <v>263</v>
      </c>
      <c r="D511" s="1">
        <v>1</v>
      </c>
      <c r="E511" s="117">
        <v>546.25</v>
      </c>
      <c r="F511" s="118">
        <f t="shared" si="347"/>
        <v>546.25</v>
      </c>
      <c r="G511" s="168"/>
      <c r="H511" s="120" t="str">
        <f t="shared" ref="H511" si="350">+IF(OR($E511="",G511=""),"",$E511*G511)</f>
        <v/>
      </c>
    </row>
    <row r="512" spans="2:8" ht="67.5" outlineLevel="2">
      <c r="C512" s="27" t="s">
        <v>663</v>
      </c>
      <c r="D512" s="1">
        <v>1</v>
      </c>
      <c r="E512" s="117">
        <v>236.25</v>
      </c>
      <c r="F512" s="118">
        <f t="shared" si="347"/>
        <v>236.25</v>
      </c>
      <c r="G512" s="168"/>
      <c r="H512" s="120" t="str">
        <f t="shared" ref="H512" si="351">+IF(OR($E512="",G512=""),"",$E512*G512)</f>
        <v/>
      </c>
    </row>
    <row r="513" spans="2:8" ht="45" outlineLevel="2">
      <c r="C513" s="27" t="s">
        <v>521</v>
      </c>
      <c r="D513" s="1">
        <v>1</v>
      </c>
      <c r="E513" s="117">
        <v>590.63</v>
      </c>
      <c r="F513" s="118">
        <f t="shared" si="347"/>
        <v>590.63</v>
      </c>
      <c r="G513" s="168"/>
      <c r="H513" s="120" t="str">
        <f t="shared" ref="H513" si="352">+IF(OR($E513="",G513=""),"",$E513*G513)</f>
        <v/>
      </c>
    </row>
    <row r="514" spans="2:8" s="6" customFormat="1" ht="18" customHeight="1" outlineLevel="1">
      <c r="B514" s="121" t="s">
        <v>19</v>
      </c>
      <c r="C514" s="122" t="s">
        <v>279</v>
      </c>
      <c r="D514" s="123"/>
      <c r="E514" s="124"/>
      <c r="F514" s="125">
        <f>+SUM(F516:F568)</f>
        <v>12947.849999999995</v>
      </c>
      <c r="G514" s="169"/>
      <c r="H514" s="126">
        <f>+SUM(H516:H568)</f>
        <v>0</v>
      </c>
    </row>
    <row r="515" spans="2:8" s="110" customFormat="1" ht="15" customHeight="1" outlineLevel="2">
      <c r="B515" s="143"/>
      <c r="C515" s="144" t="s">
        <v>700</v>
      </c>
      <c r="D515" s="139"/>
      <c r="E515" s="140"/>
      <c r="F515" s="145"/>
      <c r="G515" s="173"/>
      <c r="H515" s="227"/>
    </row>
    <row r="516" spans="2:8" s="110" customFormat="1" ht="15" customHeight="1" outlineLevel="2">
      <c r="B516" s="143"/>
      <c r="C516" s="144" t="s">
        <v>369</v>
      </c>
      <c r="D516" s="139"/>
      <c r="E516" s="140"/>
      <c r="F516" s="145"/>
      <c r="G516" s="173"/>
      <c r="H516" s="227"/>
    </row>
    <row r="517" spans="2:8" ht="67.5" outlineLevel="2">
      <c r="C517" s="27" t="s">
        <v>161</v>
      </c>
      <c r="F517" s="118"/>
      <c r="G517" s="168"/>
    </row>
    <row r="518" spans="2:8" ht="15" customHeight="1" outlineLevel="2">
      <c r="C518" s="27" t="s">
        <v>162</v>
      </c>
      <c r="D518" s="1">
        <v>373</v>
      </c>
      <c r="E518" s="117">
        <v>2.76</v>
      </c>
      <c r="F518" s="118">
        <f t="shared" ref="F518:F549" si="353">+D518*E518</f>
        <v>1029.48</v>
      </c>
      <c r="G518" s="168"/>
      <c r="H518" s="120" t="str">
        <f t="shared" ref="H518" si="354">+IF(OR($E518="",G518=""),"",$E518*G518)</f>
        <v/>
      </c>
    </row>
    <row r="519" spans="2:8" ht="15" customHeight="1" outlineLevel="2">
      <c r="C519" s="27" t="s">
        <v>163</v>
      </c>
      <c r="D519" s="1">
        <v>5</v>
      </c>
      <c r="E519" s="117">
        <v>6.07</v>
      </c>
      <c r="F519" s="118">
        <f t="shared" si="353"/>
        <v>30.35</v>
      </c>
      <c r="G519" s="168"/>
      <c r="H519" s="120" t="str">
        <f t="shared" ref="H519" si="355">+IF(OR($E519="",G519=""),"",$E519*G519)</f>
        <v/>
      </c>
    </row>
    <row r="520" spans="2:8" ht="22.5" outlineLevel="2">
      <c r="C520" s="27" t="s">
        <v>465</v>
      </c>
      <c r="D520" s="1">
        <v>66</v>
      </c>
      <c r="E520" s="117">
        <v>9.41</v>
      </c>
      <c r="F520" s="118">
        <f t="shared" si="353"/>
        <v>621.06000000000006</v>
      </c>
      <c r="G520" s="168"/>
      <c r="H520" s="120" t="str">
        <f t="shared" ref="H520" si="356">+IF(OR($E520="",G520=""),"",$E520*G520)</f>
        <v/>
      </c>
    </row>
    <row r="521" spans="2:8" ht="56.25" outlineLevel="2">
      <c r="C521" s="27" t="s">
        <v>164</v>
      </c>
      <c r="F521" s="118"/>
      <c r="G521" s="168"/>
    </row>
    <row r="522" spans="2:8" ht="22.5" outlineLevel="2">
      <c r="C522" s="27" t="s">
        <v>466</v>
      </c>
      <c r="D522" s="1">
        <v>13</v>
      </c>
      <c r="E522" s="117">
        <v>2.04</v>
      </c>
      <c r="F522" s="118">
        <f t="shared" si="353"/>
        <v>26.52</v>
      </c>
      <c r="G522" s="168"/>
      <c r="H522" s="120" t="str">
        <f t="shared" ref="H522" si="357">+IF(OR($E522="",G522=""),"",$E522*G522)</f>
        <v/>
      </c>
    </row>
    <row r="523" spans="2:8" s="110" customFormat="1" ht="15" customHeight="1" outlineLevel="2">
      <c r="B523" s="143"/>
      <c r="C523" s="144" t="s">
        <v>449</v>
      </c>
      <c r="D523" s="139"/>
      <c r="E523" s="140"/>
      <c r="F523" s="145"/>
      <c r="G523" s="173"/>
      <c r="H523" s="227"/>
    </row>
    <row r="524" spans="2:8" ht="67.5" outlineLevel="2">
      <c r="C524" s="27" t="s">
        <v>165</v>
      </c>
      <c r="F524" s="118"/>
      <c r="G524" s="168"/>
    </row>
    <row r="525" spans="2:8" ht="15" customHeight="1" outlineLevel="2">
      <c r="C525" s="27" t="s">
        <v>166</v>
      </c>
      <c r="D525" s="1">
        <v>1</v>
      </c>
      <c r="E525" s="117">
        <v>738.89</v>
      </c>
      <c r="F525" s="118">
        <f t="shared" si="353"/>
        <v>738.89</v>
      </c>
      <c r="G525" s="168"/>
      <c r="H525" s="120" t="str">
        <f t="shared" ref="H525" si="358">+IF(OR($E525="",G525=""),"",$E525*G525)</f>
        <v/>
      </c>
    </row>
    <row r="526" spans="2:8" ht="15" customHeight="1" outlineLevel="2">
      <c r="C526" s="27" t="s">
        <v>167</v>
      </c>
      <c r="D526" s="1">
        <v>40</v>
      </c>
      <c r="E526" s="117">
        <v>1.31</v>
      </c>
      <c r="F526" s="118">
        <f t="shared" si="353"/>
        <v>52.400000000000006</v>
      </c>
      <c r="G526" s="168"/>
      <c r="H526" s="120" t="str">
        <f t="shared" ref="H526" si="359">+IF(OR($E526="",G526=""),"",$E526*G526)</f>
        <v/>
      </c>
    </row>
    <row r="527" spans="2:8" ht="15" customHeight="1" outlineLevel="2">
      <c r="C527" s="27" t="s">
        <v>168</v>
      </c>
      <c r="D527" s="1">
        <v>1</v>
      </c>
      <c r="E527" s="117">
        <v>1417.5</v>
      </c>
      <c r="F527" s="118">
        <f t="shared" si="353"/>
        <v>1417.5</v>
      </c>
      <c r="G527" s="168"/>
      <c r="H527" s="120" t="str">
        <f t="shared" ref="H527" si="360">+IF(OR($E527="",G527=""),"",$E527*G527)</f>
        <v/>
      </c>
    </row>
    <row r="528" spans="2:8" ht="22.5" outlineLevel="2">
      <c r="C528" s="27" t="s">
        <v>467</v>
      </c>
      <c r="D528" s="1">
        <v>6</v>
      </c>
      <c r="E528" s="117">
        <v>78.75</v>
      </c>
      <c r="F528" s="118">
        <f t="shared" si="353"/>
        <v>472.5</v>
      </c>
      <c r="G528" s="168"/>
      <c r="H528" s="120" t="str">
        <f t="shared" ref="H528" si="361">+IF(OR($E528="",G528=""),"",$E528*G528)</f>
        <v/>
      </c>
    </row>
    <row r="529" spans="2:8" s="110" customFormat="1" ht="15" customHeight="1" outlineLevel="2">
      <c r="B529" s="143"/>
      <c r="C529" s="144" t="s">
        <v>447</v>
      </c>
      <c r="D529" s="139"/>
      <c r="E529" s="140"/>
      <c r="F529" s="145"/>
      <c r="G529" s="173"/>
      <c r="H529" s="227"/>
    </row>
    <row r="530" spans="2:8" ht="90" outlineLevel="2">
      <c r="C530" s="27" t="s">
        <v>169</v>
      </c>
      <c r="F530" s="118"/>
      <c r="G530" s="168"/>
    </row>
    <row r="531" spans="2:8" ht="15" customHeight="1" outlineLevel="2">
      <c r="C531" s="27" t="s">
        <v>170</v>
      </c>
      <c r="D531" s="1">
        <v>908</v>
      </c>
      <c r="E531" s="117">
        <v>2.04</v>
      </c>
      <c r="F531" s="118">
        <f t="shared" si="353"/>
        <v>1852.32</v>
      </c>
      <c r="G531" s="168"/>
      <c r="H531" s="120" t="str">
        <f t="shared" ref="H531" si="362">+IF(OR($E531="",G531=""),"",$E531*G531)</f>
        <v/>
      </c>
    </row>
    <row r="532" spans="2:8" ht="15" customHeight="1" outlineLevel="2">
      <c r="C532" s="27" t="s">
        <v>171</v>
      </c>
      <c r="D532" s="1">
        <v>544</v>
      </c>
      <c r="E532" s="117">
        <v>3.94</v>
      </c>
      <c r="F532" s="118">
        <f t="shared" si="353"/>
        <v>2143.36</v>
      </c>
      <c r="G532" s="168"/>
      <c r="H532" s="120" t="str">
        <f t="shared" ref="H532" si="363">+IF(OR($E532="",G532=""),"",$E532*G532)</f>
        <v/>
      </c>
    </row>
    <row r="533" spans="2:8" ht="33.75" outlineLevel="2">
      <c r="C533" s="27" t="s">
        <v>468</v>
      </c>
      <c r="D533" s="1">
        <v>1</v>
      </c>
      <c r="E533" s="117">
        <v>55.13</v>
      </c>
      <c r="F533" s="118">
        <f t="shared" si="353"/>
        <v>55.13</v>
      </c>
      <c r="G533" s="168"/>
      <c r="H533" s="120" t="str">
        <f t="shared" ref="H533" si="364">+IF(OR($E533="",G533=""),"",$E533*G533)</f>
        <v/>
      </c>
    </row>
    <row r="534" spans="2:8" s="110" customFormat="1" ht="15" customHeight="1" outlineLevel="2">
      <c r="B534" s="143"/>
      <c r="C534" s="144" t="s">
        <v>250</v>
      </c>
      <c r="D534" s="139"/>
      <c r="E534" s="140"/>
      <c r="F534" s="145"/>
      <c r="G534" s="173"/>
      <c r="H534" s="227"/>
    </row>
    <row r="535" spans="2:8" ht="56.25" outlineLevel="2">
      <c r="C535" s="27" t="s">
        <v>172</v>
      </c>
      <c r="F535" s="118"/>
      <c r="G535" s="168"/>
    </row>
    <row r="536" spans="2:8" ht="18" customHeight="1" outlineLevel="2">
      <c r="C536" s="27" t="s">
        <v>173</v>
      </c>
      <c r="D536" s="1">
        <v>1</v>
      </c>
      <c r="E536" s="117">
        <v>19.690000000000001</v>
      </c>
      <c r="F536" s="118">
        <f t="shared" si="353"/>
        <v>19.690000000000001</v>
      </c>
      <c r="G536" s="168"/>
      <c r="H536" s="120" t="str">
        <f t="shared" ref="H536" si="365">+IF(OR($E536="",G536=""),"",$E536*G536)</f>
        <v/>
      </c>
    </row>
    <row r="537" spans="2:8" ht="18" customHeight="1" outlineLevel="2">
      <c r="C537" s="27" t="s">
        <v>174</v>
      </c>
      <c r="D537" s="1">
        <v>24</v>
      </c>
      <c r="E537" s="117">
        <v>16.760000000000002</v>
      </c>
      <c r="F537" s="118">
        <f t="shared" si="353"/>
        <v>402.24</v>
      </c>
      <c r="G537" s="168"/>
      <c r="H537" s="120" t="str">
        <f t="shared" ref="H537" si="366">+IF(OR($E537="",G537=""),"",$E537*G537)</f>
        <v/>
      </c>
    </row>
    <row r="538" spans="2:8" ht="18" customHeight="1" outlineLevel="2">
      <c r="C538" s="27" t="s">
        <v>175</v>
      </c>
      <c r="D538" s="1">
        <v>14</v>
      </c>
      <c r="E538" s="117">
        <v>10.86</v>
      </c>
      <c r="F538" s="118">
        <f t="shared" si="353"/>
        <v>152.04</v>
      </c>
      <c r="G538" s="168"/>
      <c r="H538" s="120" t="str">
        <f t="shared" ref="H538" si="367">+IF(OR($E538="",G538=""),"",$E538*G538)</f>
        <v/>
      </c>
    </row>
    <row r="539" spans="2:8" ht="18" customHeight="1" outlineLevel="2">
      <c r="C539" s="27" t="s">
        <v>176</v>
      </c>
      <c r="D539" s="1">
        <v>1</v>
      </c>
      <c r="E539" s="117">
        <v>17.059999999999999</v>
      </c>
      <c r="F539" s="118">
        <f t="shared" si="353"/>
        <v>17.059999999999999</v>
      </c>
      <c r="G539" s="168"/>
      <c r="H539" s="120" t="str">
        <f t="shared" ref="H539" si="368">+IF(OR($E539="",G539=""),"",$E539*G539)</f>
        <v/>
      </c>
    </row>
    <row r="540" spans="2:8" ht="18" customHeight="1" outlineLevel="2">
      <c r="C540" s="27" t="s">
        <v>177</v>
      </c>
      <c r="D540" s="1">
        <v>1</v>
      </c>
      <c r="E540" s="117">
        <v>59.06</v>
      </c>
      <c r="F540" s="118">
        <f t="shared" si="353"/>
        <v>59.06</v>
      </c>
      <c r="G540" s="168"/>
      <c r="H540" s="120" t="str">
        <f t="shared" ref="H540" si="369">+IF(OR($E540="",G540=""),"",$E540*G540)</f>
        <v/>
      </c>
    </row>
    <row r="541" spans="2:8" ht="18" customHeight="1" outlineLevel="2">
      <c r="C541" s="27" t="s">
        <v>178</v>
      </c>
      <c r="D541" s="1">
        <v>2</v>
      </c>
      <c r="E541" s="117">
        <v>56.44</v>
      </c>
      <c r="F541" s="118">
        <f t="shared" si="353"/>
        <v>112.88</v>
      </c>
      <c r="G541" s="168"/>
      <c r="H541" s="120" t="str">
        <f t="shared" ref="H541" si="370">+IF(OR($E541="",G541=""),"",$E541*G541)</f>
        <v/>
      </c>
    </row>
    <row r="542" spans="2:8" ht="18" customHeight="1" outlineLevel="2">
      <c r="C542" s="27" t="s">
        <v>179</v>
      </c>
      <c r="D542" s="1">
        <v>1</v>
      </c>
      <c r="E542" s="117">
        <v>91.88</v>
      </c>
      <c r="F542" s="118">
        <f t="shared" si="353"/>
        <v>91.88</v>
      </c>
      <c r="G542" s="168"/>
      <c r="H542" s="120" t="str">
        <f t="shared" ref="H542" si="371">+IF(OR($E542="",G542=""),"",$E542*G542)</f>
        <v/>
      </c>
    </row>
    <row r="543" spans="2:8" ht="18" customHeight="1" outlineLevel="2">
      <c r="C543" s="27" t="s">
        <v>180</v>
      </c>
      <c r="D543" s="1">
        <v>3</v>
      </c>
      <c r="E543" s="117">
        <v>49.88</v>
      </c>
      <c r="F543" s="118">
        <f t="shared" si="353"/>
        <v>149.64000000000001</v>
      </c>
      <c r="G543" s="168"/>
      <c r="H543" s="120" t="str">
        <f t="shared" ref="H543" si="372">+IF(OR($E543="",G543=""),"",$E543*G543)</f>
        <v/>
      </c>
    </row>
    <row r="544" spans="2:8" ht="18" customHeight="1" outlineLevel="2">
      <c r="C544" s="27" t="s">
        <v>181</v>
      </c>
      <c r="D544" s="1">
        <v>2</v>
      </c>
      <c r="E544" s="117">
        <v>74.81</v>
      </c>
      <c r="F544" s="118">
        <f t="shared" si="353"/>
        <v>149.62</v>
      </c>
      <c r="G544" s="168"/>
      <c r="H544" s="120" t="str">
        <f t="shared" ref="H544" si="373">+IF(OR($E544="",G544=""),"",$E544*G544)</f>
        <v/>
      </c>
    </row>
    <row r="545" spans="2:8" ht="18" customHeight="1" outlineLevel="2">
      <c r="C545" s="27" t="s">
        <v>182</v>
      </c>
      <c r="D545" s="1">
        <v>2</v>
      </c>
      <c r="E545" s="117">
        <v>17.059999999999999</v>
      </c>
      <c r="F545" s="118">
        <f t="shared" si="353"/>
        <v>34.119999999999997</v>
      </c>
      <c r="G545" s="168"/>
      <c r="H545" s="120" t="str">
        <f t="shared" ref="H545" si="374">+IF(OR($E545="",G545=""),"",$E545*G545)</f>
        <v/>
      </c>
    </row>
    <row r="546" spans="2:8" ht="18" customHeight="1" outlineLevel="2">
      <c r="C546" s="27" t="s">
        <v>183</v>
      </c>
      <c r="D546" s="1">
        <v>1</v>
      </c>
      <c r="E546" s="117">
        <v>36.75</v>
      </c>
      <c r="F546" s="118">
        <f t="shared" si="353"/>
        <v>36.75</v>
      </c>
      <c r="G546" s="168"/>
      <c r="H546" s="120" t="str">
        <f t="shared" ref="H546" si="375">+IF(OR($E546="",G546=""),"",$E546*G546)</f>
        <v/>
      </c>
    </row>
    <row r="547" spans="2:8" ht="18" customHeight="1" outlineLevel="2">
      <c r="C547" s="27" t="s">
        <v>184</v>
      </c>
      <c r="D547" s="1">
        <v>30</v>
      </c>
      <c r="E547" s="117">
        <v>7.57</v>
      </c>
      <c r="F547" s="118">
        <f t="shared" si="353"/>
        <v>227.10000000000002</v>
      </c>
      <c r="G547" s="168"/>
      <c r="H547" s="120" t="str">
        <f t="shared" ref="H547" si="376">+IF(OR($E547="",G547=""),"",$E547*G547)</f>
        <v/>
      </c>
    </row>
    <row r="548" spans="2:8" ht="18" customHeight="1" outlineLevel="2">
      <c r="C548" s="27" t="s">
        <v>185</v>
      </c>
      <c r="D548" s="1">
        <v>30</v>
      </c>
      <c r="E548" s="117">
        <v>8.1999999999999993</v>
      </c>
      <c r="F548" s="118">
        <f t="shared" si="353"/>
        <v>245.99999999999997</v>
      </c>
      <c r="G548" s="168"/>
      <c r="H548" s="120" t="str">
        <f t="shared" ref="H548" si="377">+IF(OR($E548="",G548=""),"",$E548*G548)</f>
        <v/>
      </c>
    </row>
    <row r="549" spans="2:8" ht="18" customHeight="1" outlineLevel="2">
      <c r="C549" s="27" t="s">
        <v>186</v>
      </c>
      <c r="D549" s="1">
        <v>1</v>
      </c>
      <c r="E549" s="117">
        <v>64.31</v>
      </c>
      <c r="F549" s="118">
        <f t="shared" si="353"/>
        <v>64.31</v>
      </c>
      <c r="G549" s="168"/>
      <c r="H549" s="120" t="str">
        <f t="shared" ref="H549" si="378">+IF(OR($E549="",G549=""),"",$E549*G549)</f>
        <v/>
      </c>
    </row>
    <row r="550" spans="2:8" ht="18" customHeight="1" outlineLevel="2">
      <c r="C550" s="27" t="s">
        <v>187</v>
      </c>
      <c r="D550" s="1">
        <v>2</v>
      </c>
      <c r="E550" s="117">
        <v>94.5</v>
      </c>
      <c r="F550" s="118">
        <f t="shared" ref="F550:F568" si="379">+D550*E550</f>
        <v>189</v>
      </c>
      <c r="G550" s="168"/>
      <c r="H550" s="120" t="str">
        <f t="shared" ref="H550" si="380">+IF(OR($E550="",G550=""),"",$E550*G550)</f>
        <v/>
      </c>
    </row>
    <row r="551" spans="2:8" ht="18" customHeight="1" outlineLevel="2">
      <c r="C551" s="27" t="s">
        <v>188</v>
      </c>
      <c r="D551" s="1">
        <v>20</v>
      </c>
      <c r="E551" s="117">
        <v>9.19</v>
      </c>
      <c r="F551" s="118">
        <f t="shared" si="379"/>
        <v>183.79999999999998</v>
      </c>
      <c r="G551" s="168"/>
      <c r="H551" s="120" t="str">
        <f t="shared" ref="H551" si="381">+IF(OR($E551="",G551=""),"",$E551*G551)</f>
        <v/>
      </c>
    </row>
    <row r="552" spans="2:8" ht="18" customHeight="1" outlineLevel="2">
      <c r="C552" s="27" t="s">
        <v>189</v>
      </c>
      <c r="D552" s="1">
        <v>1</v>
      </c>
      <c r="E552" s="117">
        <v>25.95</v>
      </c>
      <c r="F552" s="118">
        <f t="shared" si="379"/>
        <v>25.95</v>
      </c>
      <c r="G552" s="168"/>
      <c r="H552" s="120" t="str">
        <f t="shared" ref="H552" si="382">+IF(OR($E552="",G552=""),"",$E552*G552)</f>
        <v/>
      </c>
    </row>
    <row r="553" spans="2:8" ht="18" customHeight="1" outlineLevel="2">
      <c r="C553" s="27" t="s">
        <v>190</v>
      </c>
      <c r="D553" s="1">
        <v>2</v>
      </c>
      <c r="E553" s="117">
        <v>23.36</v>
      </c>
      <c r="F553" s="118">
        <f t="shared" si="379"/>
        <v>46.72</v>
      </c>
      <c r="G553" s="168"/>
      <c r="H553" s="120" t="str">
        <f t="shared" ref="H553" si="383">+IF(OR($E553="",G553=""),"",$E553*G553)</f>
        <v/>
      </c>
    </row>
    <row r="554" spans="2:8" ht="18" customHeight="1" outlineLevel="2">
      <c r="C554" s="27" t="s">
        <v>191</v>
      </c>
      <c r="D554" s="1">
        <v>2</v>
      </c>
      <c r="E554" s="117">
        <v>25.95</v>
      </c>
      <c r="F554" s="118">
        <f t="shared" si="379"/>
        <v>51.9</v>
      </c>
      <c r="G554" s="168"/>
      <c r="H554" s="120" t="str">
        <f t="shared" ref="H554" si="384">+IF(OR($E554="",G554=""),"",$E554*G554)</f>
        <v/>
      </c>
    </row>
    <row r="555" spans="2:8" ht="18" customHeight="1" outlineLevel="2">
      <c r="C555" s="27" t="s">
        <v>469</v>
      </c>
      <c r="D555" s="1">
        <v>14</v>
      </c>
      <c r="E555" s="117">
        <v>7.57</v>
      </c>
      <c r="F555" s="118">
        <f t="shared" si="379"/>
        <v>105.98</v>
      </c>
      <c r="G555" s="168"/>
      <c r="H555" s="120" t="str">
        <f t="shared" ref="H555" si="385">+IF(OR($E555="",G555=""),"",$E555*G555)</f>
        <v/>
      </c>
    </row>
    <row r="556" spans="2:8" s="110" customFormat="1" ht="15" customHeight="1" outlineLevel="2">
      <c r="B556" s="143"/>
      <c r="C556" s="144" t="s">
        <v>710</v>
      </c>
      <c r="D556" s="139"/>
      <c r="E556" s="140"/>
      <c r="F556" s="145"/>
      <c r="G556" s="173"/>
      <c r="H556" s="227"/>
    </row>
    <row r="557" spans="2:8" ht="33.75" outlineLevel="2">
      <c r="C557" s="27" t="s">
        <v>470</v>
      </c>
      <c r="D557" s="1">
        <v>1</v>
      </c>
      <c r="E557" s="117">
        <v>790.63</v>
      </c>
      <c r="F557" s="118">
        <f t="shared" si="379"/>
        <v>790.63</v>
      </c>
      <c r="G557" s="168"/>
      <c r="H557" s="120" t="str">
        <f t="shared" ref="H557" si="386">+IF(OR($E557="",G557=""),"",$E557*G557)</f>
        <v/>
      </c>
    </row>
    <row r="558" spans="2:8" s="110" customFormat="1" ht="15" customHeight="1" outlineLevel="2">
      <c r="B558" s="143"/>
      <c r="C558" s="144" t="s">
        <v>709</v>
      </c>
      <c r="D558" s="139"/>
      <c r="E558" s="140"/>
      <c r="F558" s="145"/>
      <c r="G558" s="173"/>
      <c r="H558" s="227"/>
    </row>
    <row r="559" spans="2:8" s="110" customFormat="1" ht="15" customHeight="1" outlineLevel="2">
      <c r="B559" s="143"/>
      <c r="C559" s="144" t="s">
        <v>369</v>
      </c>
      <c r="D559" s="139"/>
      <c r="E559" s="140"/>
      <c r="F559" s="145"/>
      <c r="G559" s="173"/>
      <c r="H559" s="227"/>
    </row>
    <row r="560" spans="2:8" ht="67.5" outlineLevel="2">
      <c r="C560" s="27" t="s">
        <v>97</v>
      </c>
      <c r="F560" s="118"/>
      <c r="G560" s="168"/>
    </row>
    <row r="561" spans="2:8" ht="22.5" outlineLevel="2">
      <c r="C561" s="27" t="s">
        <v>451</v>
      </c>
      <c r="D561" s="1">
        <v>13</v>
      </c>
      <c r="E561" s="117">
        <v>2.76</v>
      </c>
      <c r="F561" s="118">
        <f t="shared" si="379"/>
        <v>35.879999999999995</v>
      </c>
      <c r="G561" s="168"/>
      <c r="H561" s="120" t="str">
        <f t="shared" ref="H561" si="387">+IF(OR($E561="",G561=""),"",$E561*G561)</f>
        <v/>
      </c>
    </row>
    <row r="562" spans="2:8" s="110" customFormat="1" ht="15" customHeight="1" outlineLevel="2">
      <c r="B562" s="143"/>
      <c r="C562" s="144" t="s">
        <v>447</v>
      </c>
      <c r="D562" s="139"/>
      <c r="E562" s="140"/>
      <c r="F562" s="145"/>
      <c r="G562" s="173"/>
      <c r="H562" s="227"/>
    </row>
    <row r="563" spans="2:8" ht="90" outlineLevel="2">
      <c r="C563" s="27" t="s">
        <v>101</v>
      </c>
      <c r="F563" s="118"/>
      <c r="G563" s="168"/>
    </row>
    <row r="564" spans="2:8" ht="22.5" outlineLevel="2">
      <c r="C564" s="27" t="s">
        <v>471</v>
      </c>
      <c r="D564" s="1">
        <v>14</v>
      </c>
      <c r="E564" s="117">
        <v>2.6</v>
      </c>
      <c r="F564" s="118">
        <f t="shared" si="379"/>
        <v>36.4</v>
      </c>
      <c r="G564" s="168"/>
      <c r="H564" s="120" t="str">
        <f t="shared" ref="H564" si="388">+IF(OR($E564="",G564=""),"",$E564*G564)</f>
        <v/>
      </c>
    </row>
    <row r="565" spans="2:8" s="110" customFormat="1" ht="15" customHeight="1" outlineLevel="2">
      <c r="B565" s="143"/>
      <c r="C565" s="144" t="s">
        <v>250</v>
      </c>
      <c r="D565" s="139"/>
      <c r="E565" s="140"/>
      <c r="F565" s="145"/>
      <c r="G565" s="173"/>
      <c r="H565" s="227"/>
    </row>
    <row r="566" spans="2:8" ht="67.5" outlineLevel="2">
      <c r="C566" s="27" t="s">
        <v>121</v>
      </c>
      <c r="F566" s="118"/>
      <c r="G566" s="168"/>
    </row>
    <row r="567" spans="2:8" ht="15" customHeight="1" outlineLevel="2">
      <c r="C567" s="27" t="s">
        <v>192</v>
      </c>
      <c r="D567" s="1">
        <v>1</v>
      </c>
      <c r="E567" s="117">
        <v>1095.94</v>
      </c>
      <c r="F567" s="118">
        <f t="shared" si="379"/>
        <v>1095.94</v>
      </c>
      <c r="G567" s="168"/>
      <c r="H567" s="120" t="str">
        <f t="shared" ref="H567" si="389">+IF(OR($E567="",G567=""),"",$E567*G567)</f>
        <v/>
      </c>
    </row>
    <row r="568" spans="2:8" ht="22.5" outlineLevel="2">
      <c r="C568" s="27" t="s">
        <v>472</v>
      </c>
      <c r="D568" s="1">
        <v>1</v>
      </c>
      <c r="E568" s="117">
        <v>183.75</v>
      </c>
      <c r="F568" s="118">
        <f t="shared" si="379"/>
        <v>183.75</v>
      </c>
      <c r="G568" s="168"/>
      <c r="H568" s="120" t="str">
        <f t="shared" ref="H568" si="390">+IF(OR($E568="",G568=""),"",$E568*G568)</f>
        <v/>
      </c>
    </row>
    <row r="569" spans="2:8" s="6" customFormat="1" ht="18" customHeight="1">
      <c r="B569" s="15" t="s">
        <v>15</v>
      </c>
      <c r="C569" s="25" t="s">
        <v>280</v>
      </c>
      <c r="D569" s="18"/>
      <c r="E569" s="107"/>
      <c r="F569" s="108">
        <f>+SUM(F570:F620)</f>
        <v>5830.11</v>
      </c>
      <c r="G569" s="170"/>
      <c r="H569" s="109">
        <f>+SUM(H570:H620)</f>
        <v>0</v>
      </c>
    </row>
    <row r="570" spans="2:8" s="110" customFormat="1" ht="15" customHeight="1" outlineLevel="2">
      <c r="B570" s="143"/>
      <c r="C570" s="144" t="s">
        <v>193</v>
      </c>
      <c r="D570" s="139"/>
      <c r="E570" s="140"/>
      <c r="F570" s="141"/>
      <c r="G570" s="172"/>
      <c r="H570" s="226"/>
    </row>
    <row r="571" spans="2:8" ht="15" customHeight="1" outlineLevel="2">
      <c r="C571" s="27" t="s">
        <v>194</v>
      </c>
      <c r="F571" s="118"/>
      <c r="G571" s="168"/>
    </row>
    <row r="572" spans="2:8" ht="15" customHeight="1" outlineLevel="2">
      <c r="C572" s="27" t="s">
        <v>195</v>
      </c>
      <c r="D572" s="1">
        <v>1</v>
      </c>
      <c r="E572" s="117">
        <v>12.96</v>
      </c>
      <c r="F572" s="118">
        <f t="shared" ref="F572:F603" si="391">+D572*E572</f>
        <v>12.96</v>
      </c>
      <c r="G572" s="168"/>
      <c r="H572" s="120" t="str">
        <f t="shared" ref="H572" si="392">+IF(OR($E572="",G572=""),"",$E572*G572)</f>
        <v/>
      </c>
    </row>
    <row r="573" spans="2:8" ht="15" customHeight="1" outlineLevel="2">
      <c r="C573" s="27" t="s">
        <v>196</v>
      </c>
      <c r="D573" s="1">
        <v>1</v>
      </c>
      <c r="E573" s="117">
        <v>12.96</v>
      </c>
      <c r="F573" s="118">
        <f t="shared" si="391"/>
        <v>12.96</v>
      </c>
      <c r="G573" s="168"/>
      <c r="H573" s="120" t="str">
        <f t="shared" ref="H573" si="393">+IF(OR($E573="",G573=""),"",$E573*G573)</f>
        <v/>
      </c>
    </row>
    <row r="574" spans="2:8" ht="15" customHeight="1" outlineLevel="2">
      <c r="C574" s="27" t="s">
        <v>197</v>
      </c>
      <c r="D574" s="1">
        <v>5</v>
      </c>
      <c r="E574" s="117">
        <v>12.96</v>
      </c>
      <c r="F574" s="118">
        <f t="shared" si="391"/>
        <v>64.800000000000011</v>
      </c>
      <c r="G574" s="168"/>
      <c r="H574" s="120" t="str">
        <f t="shared" ref="H574" si="394">+IF(OR($E574="",G574=""),"",$E574*G574)</f>
        <v/>
      </c>
    </row>
    <row r="575" spans="2:8" ht="15" customHeight="1" outlineLevel="2">
      <c r="C575" s="27" t="s">
        <v>198</v>
      </c>
      <c r="D575" s="1">
        <v>11</v>
      </c>
      <c r="E575" s="117">
        <v>12.96</v>
      </c>
      <c r="F575" s="118">
        <f t="shared" si="391"/>
        <v>142.56</v>
      </c>
      <c r="G575" s="168"/>
      <c r="H575" s="120" t="str">
        <f t="shared" ref="H575" si="395">+IF(OR($E575="",G575=""),"",$E575*G575)</f>
        <v/>
      </c>
    </row>
    <row r="576" spans="2:8" ht="15" customHeight="1" outlineLevel="2">
      <c r="C576" s="27" t="s">
        <v>199</v>
      </c>
      <c r="D576" s="1">
        <v>1</v>
      </c>
      <c r="E576" s="117">
        <v>12.96</v>
      </c>
      <c r="F576" s="118">
        <f t="shared" si="391"/>
        <v>12.96</v>
      </c>
      <c r="G576" s="168"/>
      <c r="H576" s="120" t="str">
        <f t="shared" ref="H576" si="396">+IF(OR($E576="",G576=""),"",$E576*G576)</f>
        <v/>
      </c>
    </row>
    <row r="577" spans="3:8" ht="15" customHeight="1" outlineLevel="2">
      <c r="C577" s="27" t="s">
        <v>200</v>
      </c>
      <c r="D577" s="1">
        <v>2</v>
      </c>
      <c r="E577" s="117">
        <v>12.96</v>
      </c>
      <c r="F577" s="118">
        <f t="shared" si="391"/>
        <v>25.92</v>
      </c>
      <c r="G577" s="168"/>
      <c r="H577" s="120" t="str">
        <f t="shared" ref="H577" si="397">+IF(OR($E577="",G577=""),"",$E577*G577)</f>
        <v/>
      </c>
    </row>
    <row r="578" spans="3:8" ht="15" customHeight="1" outlineLevel="2">
      <c r="C578" s="27" t="s">
        <v>201</v>
      </c>
      <c r="D578" s="1">
        <v>11</v>
      </c>
      <c r="E578" s="117">
        <v>12.96</v>
      </c>
      <c r="F578" s="118">
        <f t="shared" si="391"/>
        <v>142.56</v>
      </c>
      <c r="G578" s="168"/>
      <c r="H578" s="120" t="str">
        <f t="shared" ref="H578" si="398">+IF(OR($E578="",G578=""),"",$E578*G578)</f>
        <v/>
      </c>
    </row>
    <row r="579" spans="3:8" ht="15" customHeight="1" outlineLevel="2">
      <c r="C579" s="27" t="s">
        <v>202</v>
      </c>
      <c r="D579" s="1">
        <v>18</v>
      </c>
      <c r="E579" s="117">
        <v>12.81</v>
      </c>
      <c r="F579" s="118">
        <f t="shared" si="391"/>
        <v>230.58</v>
      </c>
      <c r="G579" s="168"/>
      <c r="H579" s="120" t="str">
        <f t="shared" ref="H579" si="399">+IF(OR($E579="",G579=""),"",$E579*G579)</f>
        <v/>
      </c>
    </row>
    <row r="580" spans="3:8" ht="15" customHeight="1" outlineLevel="2">
      <c r="C580" s="27" t="s">
        <v>203</v>
      </c>
      <c r="D580" s="1">
        <v>3</v>
      </c>
      <c r="E580" s="117">
        <v>12.81</v>
      </c>
      <c r="F580" s="118">
        <f t="shared" si="391"/>
        <v>38.43</v>
      </c>
      <c r="G580" s="168"/>
      <c r="H580" s="120" t="str">
        <f t="shared" ref="H580" si="400">+IF(OR($E580="",G580=""),"",$E580*G580)</f>
        <v/>
      </c>
    </row>
    <row r="581" spans="3:8" ht="15" customHeight="1" outlineLevel="2">
      <c r="C581" s="27" t="s">
        <v>204</v>
      </c>
      <c r="D581" s="1">
        <v>1</v>
      </c>
      <c r="E581" s="117">
        <v>12.42</v>
      </c>
      <c r="F581" s="118">
        <f t="shared" si="391"/>
        <v>12.42</v>
      </c>
      <c r="G581" s="168"/>
      <c r="H581" s="120" t="str">
        <f t="shared" ref="H581" si="401">+IF(OR($E581="",G581=""),"",$E581*G581)</f>
        <v/>
      </c>
    </row>
    <row r="582" spans="3:8" ht="15" customHeight="1" outlineLevel="2">
      <c r="C582" s="27" t="s">
        <v>205</v>
      </c>
      <c r="D582" s="1">
        <v>1</v>
      </c>
      <c r="E582" s="117">
        <v>11.34</v>
      </c>
      <c r="F582" s="118">
        <f t="shared" si="391"/>
        <v>11.34</v>
      </c>
      <c r="G582" s="168"/>
      <c r="H582" s="120" t="str">
        <f t="shared" ref="H582" si="402">+IF(OR($E582="",G582=""),"",$E582*G582)</f>
        <v/>
      </c>
    </row>
    <row r="583" spans="3:8" ht="15" customHeight="1" outlineLevel="2">
      <c r="C583" s="27" t="s">
        <v>206</v>
      </c>
      <c r="D583" s="1">
        <v>25</v>
      </c>
      <c r="E583" s="117">
        <v>11.34</v>
      </c>
      <c r="F583" s="118">
        <f t="shared" si="391"/>
        <v>283.5</v>
      </c>
      <c r="G583" s="168"/>
      <c r="H583" s="120" t="str">
        <f t="shared" ref="H583" si="403">+IF(OR($E583="",G583=""),"",$E583*G583)</f>
        <v/>
      </c>
    </row>
    <row r="584" spans="3:8" ht="15" customHeight="1" outlineLevel="2">
      <c r="C584" s="27" t="s">
        <v>207</v>
      </c>
      <c r="D584" s="1">
        <v>1</v>
      </c>
      <c r="E584" s="117">
        <v>12.42</v>
      </c>
      <c r="F584" s="118">
        <f t="shared" si="391"/>
        <v>12.42</v>
      </c>
      <c r="G584" s="168"/>
      <c r="H584" s="120" t="str">
        <f t="shared" ref="H584" si="404">+IF(OR($E584="",G584=""),"",$E584*G584)</f>
        <v/>
      </c>
    </row>
    <row r="585" spans="3:8" ht="15" customHeight="1" outlineLevel="2">
      <c r="C585" s="27" t="s">
        <v>208</v>
      </c>
      <c r="D585" s="1">
        <v>4</v>
      </c>
      <c r="E585" s="117">
        <v>12.42</v>
      </c>
      <c r="F585" s="118">
        <f t="shared" si="391"/>
        <v>49.68</v>
      </c>
      <c r="G585" s="168"/>
      <c r="H585" s="120" t="str">
        <f t="shared" ref="H585" si="405">+IF(OR($E585="",G585=""),"",$E585*G585)</f>
        <v/>
      </c>
    </row>
    <row r="586" spans="3:8" ht="15" customHeight="1" outlineLevel="2">
      <c r="C586" s="27" t="s">
        <v>209</v>
      </c>
      <c r="D586" s="1">
        <v>1</v>
      </c>
      <c r="E586" s="117">
        <v>12.42</v>
      </c>
      <c r="F586" s="118">
        <f t="shared" si="391"/>
        <v>12.42</v>
      </c>
      <c r="G586" s="168"/>
      <c r="H586" s="120" t="str">
        <f t="shared" ref="H586" si="406">+IF(OR($E586="",G586=""),"",$E586*G586)</f>
        <v/>
      </c>
    </row>
    <row r="587" spans="3:8" ht="15" customHeight="1" outlineLevel="2">
      <c r="C587" s="27" t="s">
        <v>210</v>
      </c>
      <c r="D587" s="1">
        <v>1</v>
      </c>
      <c r="E587" s="117">
        <v>12.42</v>
      </c>
      <c r="F587" s="118">
        <f t="shared" si="391"/>
        <v>12.42</v>
      </c>
      <c r="G587" s="168"/>
      <c r="H587" s="120" t="str">
        <f t="shared" ref="H587" si="407">+IF(OR($E587="",G587=""),"",$E587*G587)</f>
        <v/>
      </c>
    </row>
    <row r="588" spans="3:8" ht="15" customHeight="1" outlineLevel="2">
      <c r="C588" s="27" t="s">
        <v>211</v>
      </c>
      <c r="D588" s="1">
        <v>7</v>
      </c>
      <c r="E588" s="117">
        <v>12.42</v>
      </c>
      <c r="F588" s="118">
        <f t="shared" si="391"/>
        <v>86.94</v>
      </c>
      <c r="G588" s="168"/>
      <c r="H588" s="120" t="str">
        <f t="shared" ref="H588" si="408">+IF(OR($E588="",G588=""),"",$E588*G588)</f>
        <v/>
      </c>
    </row>
    <row r="589" spans="3:8" ht="15" customHeight="1" outlineLevel="2">
      <c r="C589" s="27" t="s">
        <v>212</v>
      </c>
      <c r="D589" s="1">
        <v>1</v>
      </c>
      <c r="E589" s="117">
        <v>12.42</v>
      </c>
      <c r="F589" s="118">
        <f t="shared" si="391"/>
        <v>12.42</v>
      </c>
      <c r="G589" s="168"/>
      <c r="H589" s="120" t="str">
        <f t="shared" ref="H589" si="409">+IF(OR($E589="",G589=""),"",$E589*G589)</f>
        <v/>
      </c>
    </row>
    <row r="590" spans="3:8" ht="15" customHeight="1" outlineLevel="2">
      <c r="C590" s="27" t="s">
        <v>213</v>
      </c>
      <c r="D590" s="1">
        <v>5</v>
      </c>
      <c r="E590" s="117">
        <v>11.87</v>
      </c>
      <c r="F590" s="118">
        <f t="shared" si="391"/>
        <v>59.349999999999994</v>
      </c>
      <c r="G590" s="168"/>
      <c r="H590" s="120" t="str">
        <f t="shared" ref="H590" si="410">+IF(OR($E590="",G590=""),"",$E590*G590)</f>
        <v/>
      </c>
    </row>
    <row r="591" spans="3:8" ht="15" customHeight="1" outlineLevel="2">
      <c r="C591" s="27" t="s">
        <v>214</v>
      </c>
      <c r="D591" s="1">
        <v>1</v>
      </c>
      <c r="E591" s="117">
        <v>11.87</v>
      </c>
      <c r="F591" s="118">
        <f t="shared" si="391"/>
        <v>11.87</v>
      </c>
      <c r="G591" s="168"/>
      <c r="H591" s="120" t="str">
        <f t="shared" ref="H591" si="411">+IF(OR($E591="",G591=""),"",$E591*G591)</f>
        <v/>
      </c>
    </row>
    <row r="592" spans="3:8" ht="15" customHeight="1" outlineLevel="2">
      <c r="C592" s="27" t="s">
        <v>215</v>
      </c>
      <c r="D592" s="1">
        <v>2</v>
      </c>
      <c r="E592" s="117">
        <v>11.87</v>
      </c>
      <c r="F592" s="118">
        <f t="shared" si="391"/>
        <v>23.74</v>
      </c>
      <c r="G592" s="168"/>
      <c r="H592" s="120" t="str">
        <f t="shared" ref="H592" si="412">+IF(OR($E592="",G592=""),"",$E592*G592)</f>
        <v/>
      </c>
    </row>
    <row r="593" spans="3:8" ht="15" customHeight="1" outlineLevel="2">
      <c r="C593" s="27" t="s">
        <v>216</v>
      </c>
      <c r="D593" s="1">
        <v>1</v>
      </c>
      <c r="E593" s="117">
        <v>11.87</v>
      </c>
      <c r="F593" s="118">
        <f t="shared" si="391"/>
        <v>11.87</v>
      </c>
      <c r="G593" s="168"/>
      <c r="H593" s="120" t="str">
        <f t="shared" ref="H593" si="413">+IF(OR($E593="",G593=""),"",$E593*G593)</f>
        <v/>
      </c>
    </row>
    <row r="594" spans="3:8" ht="15" customHeight="1" outlineLevel="2">
      <c r="C594" s="27" t="s">
        <v>217</v>
      </c>
      <c r="D594" s="1">
        <v>1</v>
      </c>
      <c r="E594" s="117">
        <v>12.96</v>
      </c>
      <c r="F594" s="118">
        <f t="shared" si="391"/>
        <v>12.96</v>
      </c>
      <c r="G594" s="168"/>
      <c r="H594" s="120" t="str">
        <f t="shared" ref="H594" si="414">+IF(OR($E594="",G594=""),"",$E594*G594)</f>
        <v/>
      </c>
    </row>
    <row r="595" spans="3:8" ht="15" customHeight="1" outlineLevel="2">
      <c r="C595" s="27" t="s">
        <v>218</v>
      </c>
      <c r="D595" s="1">
        <v>2</v>
      </c>
      <c r="E595" s="117">
        <v>12.96</v>
      </c>
      <c r="F595" s="118">
        <f t="shared" si="391"/>
        <v>25.92</v>
      </c>
      <c r="G595" s="168"/>
      <c r="H595" s="120" t="str">
        <f t="shared" ref="H595" si="415">+IF(OR($E595="",G595=""),"",$E595*G595)</f>
        <v/>
      </c>
    </row>
    <row r="596" spans="3:8" ht="15" customHeight="1" outlineLevel="2">
      <c r="C596" s="27" t="s">
        <v>219</v>
      </c>
      <c r="D596" s="1">
        <v>1</v>
      </c>
      <c r="E596" s="117">
        <v>11.34</v>
      </c>
      <c r="F596" s="118">
        <f t="shared" si="391"/>
        <v>11.34</v>
      </c>
      <c r="G596" s="168"/>
      <c r="H596" s="120" t="str">
        <f t="shared" ref="H596" si="416">+IF(OR($E596="",G596=""),"",$E596*G596)</f>
        <v/>
      </c>
    </row>
    <row r="597" spans="3:8" ht="15" customHeight="1" outlineLevel="2">
      <c r="C597" s="27" t="s">
        <v>220</v>
      </c>
      <c r="D597" s="1">
        <v>2</v>
      </c>
      <c r="E597" s="117">
        <v>11.34</v>
      </c>
      <c r="F597" s="118">
        <f t="shared" si="391"/>
        <v>22.68</v>
      </c>
      <c r="G597" s="168"/>
      <c r="H597" s="120" t="str">
        <f t="shared" ref="H597" si="417">+IF(OR($E597="",G597=""),"",$E597*G597)</f>
        <v/>
      </c>
    </row>
    <row r="598" spans="3:8" ht="15" customHeight="1" outlineLevel="2">
      <c r="C598" s="27" t="s">
        <v>221</v>
      </c>
      <c r="D598" s="1">
        <v>1</v>
      </c>
      <c r="E598" s="117">
        <v>11.34</v>
      </c>
      <c r="F598" s="118">
        <f t="shared" si="391"/>
        <v>11.34</v>
      </c>
      <c r="G598" s="168"/>
      <c r="H598" s="120" t="str">
        <f t="shared" ref="H598" si="418">+IF(OR($E598="",G598=""),"",$E598*G598)</f>
        <v/>
      </c>
    </row>
    <row r="599" spans="3:8" ht="15" customHeight="1" outlineLevel="2">
      <c r="C599" s="27" t="s">
        <v>222</v>
      </c>
      <c r="D599" s="1">
        <v>3</v>
      </c>
      <c r="E599" s="117">
        <v>19.239999999999998</v>
      </c>
      <c r="F599" s="118">
        <f t="shared" si="391"/>
        <v>57.72</v>
      </c>
      <c r="G599" s="168"/>
      <c r="H599" s="120" t="str">
        <f t="shared" ref="H599" si="419">+IF(OR($E599="",G599=""),"",$E599*G599)</f>
        <v/>
      </c>
    </row>
    <row r="600" spans="3:8" ht="15" customHeight="1" outlineLevel="2">
      <c r="C600" s="27" t="s">
        <v>223</v>
      </c>
      <c r="D600" s="1">
        <v>6</v>
      </c>
      <c r="E600" s="117">
        <v>19.239999999999998</v>
      </c>
      <c r="F600" s="118">
        <f t="shared" si="391"/>
        <v>115.44</v>
      </c>
      <c r="G600" s="168"/>
      <c r="H600" s="120" t="str">
        <f t="shared" ref="H600" si="420">+IF(OR($E600="",G600=""),"",$E600*G600)</f>
        <v/>
      </c>
    </row>
    <row r="601" spans="3:8" ht="15" customHeight="1" outlineLevel="2">
      <c r="C601" s="27" t="s">
        <v>224</v>
      </c>
      <c r="D601" s="1">
        <v>5</v>
      </c>
      <c r="E601" s="117">
        <v>22.45</v>
      </c>
      <c r="F601" s="118">
        <f t="shared" si="391"/>
        <v>112.25</v>
      </c>
      <c r="G601" s="168"/>
      <c r="H601" s="120" t="str">
        <f t="shared" ref="H601" si="421">+IF(OR($E601="",G601=""),"",$E601*G601)</f>
        <v/>
      </c>
    </row>
    <row r="602" spans="3:8" ht="15" customHeight="1" outlineLevel="2">
      <c r="C602" s="27" t="s">
        <v>225</v>
      </c>
      <c r="D602" s="1">
        <v>2</v>
      </c>
      <c r="E602" s="117">
        <v>12.96</v>
      </c>
      <c r="F602" s="118">
        <f t="shared" si="391"/>
        <v>25.92</v>
      </c>
      <c r="G602" s="168"/>
      <c r="H602" s="120" t="str">
        <f t="shared" ref="H602" si="422">+IF(OR($E602="",G602=""),"",$E602*G602)</f>
        <v/>
      </c>
    </row>
    <row r="603" spans="3:8" ht="15" customHeight="1" outlineLevel="2">
      <c r="C603" s="27" t="s">
        <v>226</v>
      </c>
      <c r="D603" s="1">
        <v>1</v>
      </c>
      <c r="E603" s="117">
        <v>12.96</v>
      </c>
      <c r="F603" s="118">
        <f t="shared" si="391"/>
        <v>12.96</v>
      </c>
      <c r="G603" s="168"/>
      <c r="H603" s="120" t="str">
        <f t="shared" ref="H603" si="423">+IF(OR($E603="",G603=""),"",$E603*G603)</f>
        <v/>
      </c>
    </row>
    <row r="604" spans="3:8" ht="15" customHeight="1" outlineLevel="2">
      <c r="C604" s="27" t="s">
        <v>227</v>
      </c>
      <c r="D604" s="1">
        <v>1</v>
      </c>
      <c r="E604" s="117">
        <v>12.96</v>
      </c>
      <c r="F604" s="118">
        <f t="shared" ref="F604:F620" si="424">+D604*E604</f>
        <v>12.96</v>
      </c>
      <c r="G604" s="168"/>
      <c r="H604" s="120" t="str">
        <f t="shared" ref="H604" si="425">+IF(OR($E604="",G604=""),"",$E604*G604)</f>
        <v/>
      </c>
    </row>
    <row r="605" spans="3:8" ht="15" customHeight="1" outlineLevel="2">
      <c r="C605" s="27" t="s">
        <v>228</v>
      </c>
      <c r="D605" s="1">
        <v>1</v>
      </c>
      <c r="E605" s="117">
        <v>12.96</v>
      </c>
      <c r="F605" s="118">
        <f t="shared" si="424"/>
        <v>12.96</v>
      </c>
      <c r="G605" s="168"/>
      <c r="H605" s="120" t="str">
        <f t="shared" ref="H605" si="426">+IF(OR($E605="",G605=""),"",$E605*G605)</f>
        <v/>
      </c>
    </row>
    <row r="606" spans="3:8" ht="15" customHeight="1" outlineLevel="2">
      <c r="C606" s="27" t="s">
        <v>229</v>
      </c>
      <c r="D606" s="1">
        <v>1</v>
      </c>
      <c r="E606" s="117">
        <v>12.96</v>
      </c>
      <c r="F606" s="118">
        <f t="shared" si="424"/>
        <v>12.96</v>
      </c>
      <c r="G606" s="168"/>
      <c r="H606" s="120" t="str">
        <f t="shared" ref="H606" si="427">+IF(OR($E606="",G606=""),"",$E606*G606)</f>
        <v/>
      </c>
    </row>
    <row r="607" spans="3:8" ht="15" customHeight="1" outlineLevel="2">
      <c r="C607" s="27" t="s">
        <v>230</v>
      </c>
      <c r="D607" s="1">
        <v>1</v>
      </c>
      <c r="E607" s="117">
        <v>12.96</v>
      </c>
      <c r="F607" s="118">
        <f t="shared" si="424"/>
        <v>12.96</v>
      </c>
      <c r="G607" s="168"/>
      <c r="H607" s="120" t="str">
        <f t="shared" ref="H607" si="428">+IF(OR($E607="",G607=""),"",$E607*G607)</f>
        <v/>
      </c>
    </row>
    <row r="608" spans="3:8" ht="15" customHeight="1" outlineLevel="2">
      <c r="C608" s="27" t="s">
        <v>231</v>
      </c>
      <c r="D608" s="1">
        <v>1</v>
      </c>
      <c r="E608" s="117">
        <v>12.96</v>
      </c>
      <c r="F608" s="118">
        <f t="shared" si="424"/>
        <v>12.96</v>
      </c>
      <c r="G608" s="168"/>
      <c r="H608" s="120" t="str">
        <f t="shared" ref="H608" si="429">+IF(OR($E608="",G608=""),"",$E608*G608)</f>
        <v/>
      </c>
    </row>
    <row r="609" spans="2:8" ht="15" customHeight="1" outlineLevel="2">
      <c r="C609" s="27" t="s">
        <v>232</v>
      </c>
      <c r="D609" s="1">
        <v>10</v>
      </c>
      <c r="E609" s="117">
        <v>12.42</v>
      </c>
      <c r="F609" s="118">
        <f t="shared" si="424"/>
        <v>124.2</v>
      </c>
      <c r="G609" s="168"/>
      <c r="H609" s="120" t="str">
        <f t="shared" ref="H609" si="430">+IF(OR($E609="",G609=""),"",$E609*G609)</f>
        <v/>
      </c>
    </row>
    <row r="610" spans="2:8" ht="22.5" outlineLevel="2">
      <c r="C610" s="27" t="s">
        <v>473</v>
      </c>
      <c r="D610" s="1">
        <v>2</v>
      </c>
      <c r="E610" s="117">
        <v>11.44</v>
      </c>
      <c r="F610" s="118">
        <f t="shared" si="424"/>
        <v>22.88</v>
      </c>
      <c r="G610" s="168"/>
      <c r="H610" s="120" t="str">
        <f t="shared" ref="H610" si="431">+IF(OR($E610="",G610=""),"",$E610*G610)</f>
        <v/>
      </c>
    </row>
    <row r="611" spans="2:8" s="110" customFormat="1" ht="15" customHeight="1" outlineLevel="2">
      <c r="B611" s="143"/>
      <c r="C611" s="144" t="s">
        <v>233</v>
      </c>
      <c r="D611" s="139"/>
      <c r="E611" s="140"/>
      <c r="F611" s="145"/>
      <c r="G611" s="173"/>
      <c r="H611" s="227"/>
    </row>
    <row r="612" spans="2:8" ht="15" customHeight="1" outlineLevel="2">
      <c r="C612" s="27" t="s">
        <v>234</v>
      </c>
      <c r="D612" s="1">
        <v>10</v>
      </c>
      <c r="E612" s="117">
        <v>106.44</v>
      </c>
      <c r="F612" s="118">
        <f t="shared" si="424"/>
        <v>1064.4000000000001</v>
      </c>
      <c r="G612" s="168"/>
      <c r="H612" s="120" t="str">
        <f t="shared" ref="H612" si="432">+IF(OR($E612="",G612=""),"",$E612*G612)</f>
        <v/>
      </c>
    </row>
    <row r="613" spans="2:8" ht="22.5" outlineLevel="2">
      <c r="C613" s="27" t="s">
        <v>474</v>
      </c>
      <c r="D613" s="1">
        <v>10</v>
      </c>
      <c r="E613" s="117">
        <v>94.98</v>
      </c>
      <c r="F613" s="118">
        <f t="shared" si="424"/>
        <v>949.80000000000007</v>
      </c>
      <c r="G613" s="168"/>
      <c r="H613" s="120" t="str">
        <f t="shared" ref="H613" si="433">+IF(OR($E613="",G613=""),"",$E613*G613)</f>
        <v/>
      </c>
    </row>
    <row r="614" spans="2:8" s="110" customFormat="1" ht="15" customHeight="1" outlineLevel="2">
      <c r="B614" s="143"/>
      <c r="C614" s="144" t="s">
        <v>235</v>
      </c>
      <c r="D614" s="139"/>
      <c r="E614" s="140"/>
      <c r="F614" s="145"/>
      <c r="G614" s="173"/>
      <c r="H614" s="227"/>
    </row>
    <row r="615" spans="2:8" s="110" customFormat="1" ht="15" customHeight="1" outlineLevel="2">
      <c r="B615" s="143"/>
      <c r="C615" s="144" t="s">
        <v>236</v>
      </c>
      <c r="D615" s="139"/>
      <c r="E615" s="140"/>
      <c r="F615" s="145"/>
      <c r="G615" s="173"/>
      <c r="H615" s="227"/>
    </row>
    <row r="616" spans="2:8" ht="33.75" outlineLevel="2">
      <c r="C616" s="27" t="s">
        <v>664</v>
      </c>
      <c r="D616" s="1">
        <v>20</v>
      </c>
      <c r="E616" s="117">
        <v>66.89</v>
      </c>
      <c r="F616" s="118">
        <f t="shared" si="424"/>
        <v>1337.8</v>
      </c>
      <c r="G616" s="168"/>
      <c r="H616" s="120" t="str">
        <f t="shared" ref="H616" si="434">+IF(OR($E616="",G616=""),"",$E616*G616)</f>
        <v/>
      </c>
    </row>
    <row r="617" spans="2:8" ht="33.75" outlineLevel="2">
      <c r="C617" s="27" t="s">
        <v>665</v>
      </c>
      <c r="D617" s="1">
        <v>5</v>
      </c>
      <c r="E617" s="117">
        <v>86.89</v>
      </c>
      <c r="F617" s="118">
        <f t="shared" si="424"/>
        <v>434.45</v>
      </c>
      <c r="G617" s="168"/>
      <c r="H617" s="120" t="str">
        <f t="shared" ref="H617" si="435">+IF(OR($E617="",G617=""),"",$E617*G617)</f>
        <v/>
      </c>
    </row>
    <row r="618" spans="2:8" ht="33.75" outlineLevel="2">
      <c r="C618" s="27" t="s">
        <v>475</v>
      </c>
      <c r="D618" s="1">
        <v>1</v>
      </c>
      <c r="E618" s="117">
        <v>93.19</v>
      </c>
      <c r="F618" s="118">
        <f t="shared" si="424"/>
        <v>93.19</v>
      </c>
      <c r="G618" s="168"/>
      <c r="H618" s="120" t="str">
        <f t="shared" ref="H618" si="436">+IF(OR($E618="",G618=""),"",$E618*G618)</f>
        <v/>
      </c>
    </row>
    <row r="619" spans="2:8" s="110" customFormat="1" ht="15" customHeight="1" outlineLevel="2">
      <c r="B619" s="143"/>
      <c r="C619" s="144" t="s">
        <v>237</v>
      </c>
      <c r="D619" s="139"/>
      <c r="E619" s="140"/>
      <c r="F619" s="145"/>
      <c r="G619" s="173"/>
      <c r="H619" s="227"/>
    </row>
    <row r="620" spans="2:8" ht="33.75" outlineLevel="2">
      <c r="C620" s="27" t="s">
        <v>476</v>
      </c>
      <c r="D620" s="1">
        <v>1</v>
      </c>
      <c r="E620" s="117">
        <v>45.94</v>
      </c>
      <c r="F620" s="118">
        <f t="shared" si="424"/>
        <v>45.94</v>
      </c>
      <c r="G620" s="168"/>
      <c r="H620" s="120" t="str">
        <f t="shared" ref="H620" si="437">+IF(OR($E620="",G620=""),"",$E620*G620)</f>
        <v/>
      </c>
    </row>
    <row r="621" spans="2:8" s="6" customFormat="1" ht="18" customHeight="1">
      <c r="B621" s="15" t="s">
        <v>16</v>
      </c>
      <c r="C621" s="25" t="s">
        <v>238</v>
      </c>
      <c r="D621" s="18"/>
      <c r="E621" s="107"/>
      <c r="F621" s="108">
        <f>+SUM(F622:F696)</f>
        <v>38283.869999999995</v>
      </c>
      <c r="G621" s="170"/>
      <c r="H621" s="109">
        <f>+SUM(H622:H696)</f>
        <v>0</v>
      </c>
    </row>
    <row r="622" spans="2:8" s="110" customFormat="1" ht="15" customHeight="1" outlineLevel="2">
      <c r="B622" s="143"/>
      <c r="C622" s="144" t="s">
        <v>711</v>
      </c>
      <c r="D622" s="139"/>
      <c r="E622" s="140"/>
      <c r="F622" s="145"/>
      <c r="G622" s="173"/>
      <c r="H622" s="227"/>
    </row>
    <row r="623" spans="2:8" s="110" customFormat="1" ht="15" customHeight="1" outlineLevel="2">
      <c r="B623" s="143"/>
      <c r="C623" s="144" t="s">
        <v>369</v>
      </c>
      <c r="D623" s="139"/>
      <c r="E623" s="140"/>
      <c r="F623" s="145"/>
      <c r="G623" s="173"/>
      <c r="H623" s="227"/>
    </row>
    <row r="624" spans="2:8" ht="78.75" outlineLevel="2">
      <c r="C624" s="27" t="s">
        <v>239</v>
      </c>
      <c r="F624" s="118"/>
      <c r="G624" s="168"/>
    </row>
    <row r="625" spans="2:8" ht="22.5" outlineLevel="2">
      <c r="C625" s="27" t="s">
        <v>479</v>
      </c>
      <c r="D625" s="1">
        <v>813</v>
      </c>
      <c r="E625" s="117">
        <v>2.36</v>
      </c>
      <c r="F625" s="118">
        <f t="shared" ref="F625:F656" si="438">+D625*E625</f>
        <v>1918.6799999999998</v>
      </c>
      <c r="G625" s="168"/>
      <c r="H625" s="120" t="str">
        <f t="shared" ref="H625" si="439">+IF(OR($E625="",G625=""),"",$E625*G625)</f>
        <v/>
      </c>
    </row>
    <row r="626" spans="2:8" s="110" customFormat="1" ht="15" customHeight="1" outlineLevel="2">
      <c r="B626" s="143"/>
      <c r="C626" s="144" t="s">
        <v>447</v>
      </c>
      <c r="D626" s="139"/>
      <c r="E626" s="140"/>
      <c r="F626" s="145"/>
      <c r="G626" s="173"/>
      <c r="H626" s="227"/>
    </row>
    <row r="627" spans="2:8" ht="90" outlineLevel="2">
      <c r="C627" s="27" t="s">
        <v>240</v>
      </c>
      <c r="F627" s="118"/>
      <c r="G627" s="168"/>
    </row>
    <row r="628" spans="2:8" ht="15" customHeight="1" outlineLevel="2">
      <c r="C628" s="27" t="s">
        <v>241</v>
      </c>
      <c r="D628" s="1">
        <v>813</v>
      </c>
      <c r="E628" s="117">
        <v>2.29</v>
      </c>
      <c r="F628" s="118">
        <f t="shared" si="438"/>
        <v>1861.77</v>
      </c>
      <c r="G628" s="168"/>
      <c r="H628" s="120" t="str">
        <f t="shared" ref="H628" si="440">+IF(OR($E628="",G628=""),"",$E628*G628)</f>
        <v/>
      </c>
    </row>
    <row r="629" spans="2:8" ht="22.5" outlineLevel="2">
      <c r="C629" s="27" t="s">
        <v>480</v>
      </c>
      <c r="D629" s="1">
        <v>69</v>
      </c>
      <c r="E629" s="117">
        <v>2.77</v>
      </c>
      <c r="F629" s="118">
        <f t="shared" si="438"/>
        <v>191.13</v>
      </c>
      <c r="G629" s="168"/>
      <c r="H629" s="120" t="str">
        <f t="shared" ref="H629" si="441">+IF(OR($E629="",G629=""),"",$E629*G629)</f>
        <v/>
      </c>
    </row>
    <row r="630" spans="2:8" s="110" customFormat="1" ht="15" customHeight="1" outlineLevel="2">
      <c r="B630" s="143"/>
      <c r="C630" s="144" t="s">
        <v>250</v>
      </c>
      <c r="D630" s="139"/>
      <c r="E630" s="140"/>
      <c r="F630" s="145"/>
      <c r="G630" s="173"/>
      <c r="H630" s="227"/>
    </row>
    <row r="631" spans="2:8" ht="78.75" outlineLevel="2">
      <c r="C631" s="27" t="s">
        <v>641</v>
      </c>
      <c r="F631" s="118"/>
      <c r="G631" s="168"/>
    </row>
    <row r="632" spans="2:8" ht="101.25" outlineLevel="2">
      <c r="C632" s="27" t="s">
        <v>666</v>
      </c>
      <c r="D632" s="1">
        <v>1</v>
      </c>
      <c r="E632" s="117">
        <v>1581.56</v>
      </c>
      <c r="F632" s="118">
        <f t="shared" si="438"/>
        <v>1581.56</v>
      </c>
      <c r="G632" s="168"/>
      <c r="H632" s="120" t="str">
        <f t="shared" ref="H632" si="442">+IF(OR($E632="",G632=""),"",$E632*G632)</f>
        <v/>
      </c>
    </row>
    <row r="633" spans="2:8" ht="33.75" outlineLevel="2">
      <c r="C633" s="27" t="s">
        <v>481</v>
      </c>
      <c r="D633" s="1">
        <v>53</v>
      </c>
      <c r="E633" s="117">
        <v>68.25</v>
      </c>
      <c r="F633" s="118">
        <f t="shared" si="438"/>
        <v>3617.25</v>
      </c>
      <c r="G633" s="168"/>
      <c r="H633" s="120" t="str">
        <f t="shared" ref="H633" si="443">+IF(OR($E633="",G633=""),"",$E633*G633)</f>
        <v/>
      </c>
    </row>
    <row r="634" spans="2:8" ht="56.25" outlineLevel="2">
      <c r="C634" s="27" t="s">
        <v>667</v>
      </c>
      <c r="D634" s="1">
        <v>6</v>
      </c>
      <c r="E634" s="117">
        <v>66.94</v>
      </c>
      <c r="F634" s="118">
        <f t="shared" si="438"/>
        <v>401.64</v>
      </c>
      <c r="G634" s="168"/>
      <c r="H634" s="120" t="str">
        <f t="shared" ref="H634" si="444">+IF(OR($E634="",G634=""),"",$E634*G634)</f>
        <v/>
      </c>
    </row>
    <row r="635" spans="2:8" ht="22.5" outlineLevel="2">
      <c r="C635" s="27" t="s">
        <v>482</v>
      </c>
      <c r="D635" s="1">
        <v>6</v>
      </c>
      <c r="E635" s="117">
        <v>98.44</v>
      </c>
      <c r="F635" s="118">
        <f t="shared" si="438"/>
        <v>590.64</v>
      </c>
      <c r="G635" s="168"/>
      <c r="H635" s="120" t="str">
        <f t="shared" ref="H635" si="445">+IF(OR($E635="",G635=""),"",$E635*G635)</f>
        <v/>
      </c>
    </row>
    <row r="636" spans="2:8" ht="45" outlineLevel="2">
      <c r="C636" s="27" t="s">
        <v>483</v>
      </c>
      <c r="D636" s="1">
        <v>2</v>
      </c>
      <c r="E636" s="117">
        <v>360.94</v>
      </c>
      <c r="F636" s="118">
        <f t="shared" si="438"/>
        <v>721.88</v>
      </c>
      <c r="G636" s="168"/>
      <c r="H636" s="120" t="str">
        <f t="shared" ref="H636" si="446">+IF(OR($E636="",G636=""),"",$E636*G636)</f>
        <v/>
      </c>
    </row>
    <row r="637" spans="2:8" ht="78.75" outlineLevel="2">
      <c r="C637" s="27" t="s">
        <v>484</v>
      </c>
      <c r="D637" s="1">
        <v>1</v>
      </c>
      <c r="E637" s="117">
        <v>984.38</v>
      </c>
      <c r="F637" s="118">
        <f t="shared" si="438"/>
        <v>984.38</v>
      </c>
      <c r="G637" s="168"/>
      <c r="H637" s="120" t="str">
        <f t="shared" ref="H637" si="447">+IF(OR($E637="",G637=""),"",$E637*G637)</f>
        <v/>
      </c>
    </row>
    <row r="638" spans="2:8" ht="33.75" outlineLevel="2">
      <c r="C638" s="27" t="s">
        <v>485</v>
      </c>
      <c r="D638" s="1">
        <v>16</v>
      </c>
      <c r="E638" s="117">
        <v>68.25</v>
      </c>
      <c r="F638" s="118">
        <f t="shared" si="438"/>
        <v>1092</v>
      </c>
      <c r="G638" s="168"/>
      <c r="H638" s="120" t="str">
        <f t="shared" ref="H638" si="448">+IF(OR($E638="",G638=""),"",$E638*G638)</f>
        <v/>
      </c>
    </row>
    <row r="639" spans="2:8" ht="45" outlineLevel="2">
      <c r="C639" s="27" t="s">
        <v>668</v>
      </c>
      <c r="D639" s="1">
        <v>4</v>
      </c>
      <c r="E639" s="117">
        <v>69.56</v>
      </c>
      <c r="F639" s="118">
        <f t="shared" si="438"/>
        <v>278.24</v>
      </c>
      <c r="G639" s="168"/>
      <c r="H639" s="120" t="str">
        <f t="shared" ref="H639" si="449">+IF(OR($E639="",G639=""),"",$E639*G639)</f>
        <v/>
      </c>
    </row>
    <row r="640" spans="2:8" ht="33.75" outlineLevel="2">
      <c r="C640" s="27" t="s">
        <v>486</v>
      </c>
      <c r="D640" s="1">
        <v>8</v>
      </c>
      <c r="E640" s="117">
        <v>28.88</v>
      </c>
      <c r="F640" s="118">
        <f t="shared" si="438"/>
        <v>231.04</v>
      </c>
      <c r="G640" s="168"/>
      <c r="H640" s="120" t="str">
        <f t="shared" ref="H640" si="450">+IF(OR($E640="",G640=""),"",$E640*G640)</f>
        <v/>
      </c>
    </row>
    <row r="641" spans="2:8" ht="45" outlineLevel="2">
      <c r="C641" s="27" t="s">
        <v>487</v>
      </c>
      <c r="D641" s="1">
        <v>4</v>
      </c>
      <c r="E641" s="117">
        <v>56.44</v>
      </c>
      <c r="F641" s="118">
        <f t="shared" si="438"/>
        <v>225.76</v>
      </c>
      <c r="G641" s="168"/>
      <c r="H641" s="120" t="str">
        <f t="shared" ref="H641" si="451">+IF(OR($E641="",G641=""),"",$E641*G641)</f>
        <v/>
      </c>
    </row>
    <row r="642" spans="2:8" ht="33.75" outlineLevel="2">
      <c r="C642" s="27" t="s">
        <v>488</v>
      </c>
      <c r="D642" s="1">
        <v>4</v>
      </c>
      <c r="E642" s="117">
        <v>85.31</v>
      </c>
      <c r="F642" s="118">
        <f t="shared" si="438"/>
        <v>341.24</v>
      </c>
      <c r="G642" s="168"/>
      <c r="H642" s="120" t="str">
        <f t="shared" ref="H642" si="452">+IF(OR($E642="",G642=""),"",$E642*G642)</f>
        <v/>
      </c>
    </row>
    <row r="643" spans="2:8" s="110" customFormat="1" ht="15" customHeight="1" outlineLevel="2">
      <c r="B643" s="143"/>
      <c r="C643" s="144" t="s">
        <v>712</v>
      </c>
      <c r="D643" s="139"/>
      <c r="E643" s="140"/>
      <c r="F643" s="145"/>
      <c r="G643" s="173"/>
      <c r="H643" s="227"/>
    </row>
    <row r="644" spans="2:8" s="110" customFormat="1" ht="15" customHeight="1" outlineLevel="2">
      <c r="B644" s="143"/>
      <c r="C644" s="144" t="s">
        <v>369</v>
      </c>
      <c r="D644" s="139"/>
      <c r="E644" s="140"/>
      <c r="F644" s="145"/>
      <c r="G644" s="173"/>
      <c r="H644" s="227"/>
    </row>
    <row r="645" spans="2:8" ht="67.5" outlineLevel="2">
      <c r="C645" s="27" t="s">
        <v>161</v>
      </c>
      <c r="F645" s="118"/>
      <c r="G645" s="168"/>
    </row>
    <row r="646" spans="2:8" ht="22.5" outlineLevel="2">
      <c r="C646" s="27" t="s">
        <v>451</v>
      </c>
      <c r="D646" s="1">
        <v>168</v>
      </c>
      <c r="E646" s="117">
        <v>2.76</v>
      </c>
      <c r="F646" s="118">
        <f t="shared" si="438"/>
        <v>463.67999999999995</v>
      </c>
      <c r="G646" s="168"/>
      <c r="H646" s="120" t="str">
        <f t="shared" ref="H646" si="453">+IF(OR($E646="",G646=""),"",$E646*G646)</f>
        <v/>
      </c>
    </row>
    <row r="647" spans="2:8" s="110" customFormat="1" ht="15" customHeight="1" outlineLevel="2">
      <c r="B647" s="143"/>
      <c r="C647" s="144" t="s">
        <v>447</v>
      </c>
      <c r="D647" s="139"/>
      <c r="E647" s="140"/>
      <c r="F647" s="145"/>
      <c r="G647" s="173"/>
      <c r="H647" s="227"/>
    </row>
    <row r="648" spans="2:8" ht="78.75" outlineLevel="2">
      <c r="C648" s="27" t="s">
        <v>242</v>
      </c>
      <c r="F648" s="118"/>
      <c r="G648" s="168"/>
    </row>
    <row r="649" spans="2:8" ht="15" customHeight="1" outlineLevel="2">
      <c r="C649" s="27" t="s">
        <v>243</v>
      </c>
      <c r="D649" s="1">
        <v>16</v>
      </c>
      <c r="E649" s="117">
        <v>2.2999999999999998</v>
      </c>
      <c r="F649" s="118">
        <f t="shared" si="438"/>
        <v>36.799999999999997</v>
      </c>
      <c r="G649" s="168"/>
      <c r="H649" s="120" t="str">
        <f t="shared" ref="H649" si="454">+IF(OR($E649="",G649=""),"",$E649*G649)</f>
        <v/>
      </c>
    </row>
    <row r="650" spans="2:8" ht="15" customHeight="1" outlineLevel="2">
      <c r="C650" s="27" t="s">
        <v>244</v>
      </c>
      <c r="D650" s="1">
        <v>8</v>
      </c>
      <c r="E650" s="117">
        <v>2.08</v>
      </c>
      <c r="F650" s="118">
        <f t="shared" si="438"/>
        <v>16.64</v>
      </c>
      <c r="G650" s="168"/>
      <c r="H650" s="120" t="str">
        <f t="shared" ref="H650" si="455">+IF(OR($E650="",G650=""),"",$E650*G650)</f>
        <v/>
      </c>
    </row>
    <row r="651" spans="2:8" ht="33.75" outlineLevel="2">
      <c r="C651" s="27" t="s">
        <v>489</v>
      </c>
      <c r="D651" s="1">
        <v>153</v>
      </c>
      <c r="E651" s="117">
        <v>1.38</v>
      </c>
      <c r="F651" s="118">
        <f t="shared" si="438"/>
        <v>211.14</v>
      </c>
      <c r="G651" s="168"/>
      <c r="H651" s="120" t="str">
        <f t="shared" ref="H651" si="456">+IF(OR($E651="",G651=""),"",$E651*G651)</f>
        <v/>
      </c>
    </row>
    <row r="652" spans="2:8" s="110" customFormat="1" ht="15" customHeight="1" outlineLevel="2">
      <c r="B652" s="143"/>
      <c r="C652" s="144" t="s">
        <v>250</v>
      </c>
      <c r="D652" s="139"/>
      <c r="E652" s="140"/>
      <c r="F652" s="145"/>
      <c r="G652" s="173"/>
      <c r="H652" s="227"/>
    </row>
    <row r="653" spans="2:8" ht="90" outlineLevel="2">
      <c r="C653" s="27" t="s">
        <v>679</v>
      </c>
      <c r="F653" s="118"/>
      <c r="G653" s="168"/>
    </row>
    <row r="654" spans="2:8" ht="45" outlineLevel="2">
      <c r="C654" s="27" t="s">
        <v>669</v>
      </c>
      <c r="D654" s="1">
        <v>10</v>
      </c>
      <c r="E654" s="117">
        <v>983.68</v>
      </c>
      <c r="F654" s="118">
        <f t="shared" si="438"/>
        <v>9836.7999999999993</v>
      </c>
      <c r="G654" s="168"/>
      <c r="H654" s="120" t="str">
        <f t="shared" ref="H654" si="457">+IF(OR($E654="",G654=""),"",$E654*G654)</f>
        <v/>
      </c>
    </row>
    <row r="655" spans="2:8" ht="33.75" outlineLevel="2">
      <c r="C655" s="27" t="s">
        <v>670</v>
      </c>
      <c r="D655" s="1">
        <v>1</v>
      </c>
      <c r="E655" s="117">
        <v>460.04</v>
      </c>
      <c r="F655" s="118">
        <f t="shared" si="438"/>
        <v>460.04</v>
      </c>
      <c r="G655" s="168"/>
      <c r="H655" s="120" t="str">
        <f t="shared" ref="H655" si="458">+IF(OR($E655="",G655=""),"",$E655*G655)</f>
        <v/>
      </c>
    </row>
    <row r="656" spans="2:8" ht="33.75" outlineLevel="2">
      <c r="C656" s="27" t="s">
        <v>671</v>
      </c>
      <c r="D656" s="1">
        <v>4</v>
      </c>
      <c r="E656" s="117">
        <v>78.900000000000006</v>
      </c>
      <c r="F656" s="118">
        <f t="shared" si="438"/>
        <v>315.60000000000002</v>
      </c>
      <c r="G656" s="168"/>
      <c r="H656" s="120" t="str">
        <f t="shared" ref="H656" si="459">+IF(OR($E656="",G656=""),"",$E656*G656)</f>
        <v/>
      </c>
    </row>
    <row r="657" spans="2:8" ht="33.75" outlineLevel="2">
      <c r="C657" s="27" t="s">
        <v>672</v>
      </c>
      <c r="D657" s="1">
        <v>1</v>
      </c>
      <c r="E657" s="117">
        <v>686.97</v>
      </c>
      <c r="F657" s="118">
        <f t="shared" ref="F657:F688" si="460">+D657*E657</f>
        <v>686.97</v>
      </c>
      <c r="G657" s="168"/>
      <c r="H657" s="120" t="str">
        <f t="shared" ref="H657" si="461">+IF(OR($E657="",G657=""),"",$E657*G657)</f>
        <v/>
      </c>
    </row>
    <row r="658" spans="2:8" ht="45" outlineLevel="2">
      <c r="C658" s="27" t="s">
        <v>673</v>
      </c>
      <c r="D658" s="1">
        <v>1</v>
      </c>
      <c r="E658" s="117">
        <v>432.34</v>
      </c>
      <c r="F658" s="118">
        <f t="shared" si="460"/>
        <v>432.34</v>
      </c>
      <c r="G658" s="168"/>
      <c r="H658" s="120" t="str">
        <f t="shared" ref="H658" si="462">+IF(OR($E658="",G658=""),"",$E658*G658)</f>
        <v/>
      </c>
    </row>
    <row r="659" spans="2:8" ht="33.75" outlineLevel="2">
      <c r="C659" s="27" t="s">
        <v>674</v>
      </c>
      <c r="D659" s="1">
        <v>6</v>
      </c>
      <c r="E659" s="117">
        <v>570.94000000000005</v>
      </c>
      <c r="F659" s="118">
        <f t="shared" si="460"/>
        <v>3425.6400000000003</v>
      </c>
      <c r="G659" s="168"/>
      <c r="H659" s="120" t="str">
        <f t="shared" ref="H659" si="463">+IF(OR($E659="",G659=""),"",$E659*G659)</f>
        <v/>
      </c>
    </row>
    <row r="660" spans="2:8" ht="33.75" outlineLevel="2">
      <c r="C660" s="27" t="s">
        <v>675</v>
      </c>
      <c r="D660" s="1">
        <v>1</v>
      </c>
      <c r="E660" s="117">
        <v>273</v>
      </c>
      <c r="F660" s="118">
        <f t="shared" si="460"/>
        <v>273</v>
      </c>
      <c r="G660" s="168"/>
      <c r="H660" s="120" t="str">
        <f t="shared" ref="H660" si="464">+IF(OR($E660="",G660=""),"",$E660*G660)</f>
        <v/>
      </c>
    </row>
    <row r="661" spans="2:8" ht="33.75" outlineLevel="2">
      <c r="C661" s="27" t="s">
        <v>676</v>
      </c>
      <c r="D661" s="1">
        <v>1</v>
      </c>
      <c r="E661" s="117">
        <v>16.760000000000002</v>
      </c>
      <c r="F661" s="118">
        <f t="shared" si="460"/>
        <v>16.760000000000002</v>
      </c>
      <c r="G661" s="168"/>
      <c r="H661" s="120" t="str">
        <f t="shared" ref="H661" si="465">+IF(OR($E661="",G661=""),"",$E661*G661)</f>
        <v/>
      </c>
    </row>
    <row r="662" spans="2:8" ht="45" outlineLevel="2">
      <c r="C662" s="27" t="s">
        <v>677</v>
      </c>
      <c r="D662" s="1">
        <v>1</v>
      </c>
      <c r="E662" s="117">
        <v>98.44</v>
      </c>
      <c r="F662" s="118">
        <f t="shared" si="460"/>
        <v>98.44</v>
      </c>
      <c r="G662" s="168"/>
      <c r="H662" s="120" t="str">
        <f t="shared" ref="H662" si="466">+IF(OR($E662="",G662=""),"",$E662*G662)</f>
        <v/>
      </c>
    </row>
    <row r="663" spans="2:8" ht="45" outlineLevel="2">
      <c r="C663" s="27" t="s">
        <v>678</v>
      </c>
      <c r="D663" s="1">
        <v>1</v>
      </c>
      <c r="E663" s="117">
        <v>1128.75</v>
      </c>
      <c r="F663" s="118">
        <f t="shared" si="460"/>
        <v>1128.75</v>
      </c>
      <c r="G663" s="168"/>
      <c r="H663" s="120" t="str">
        <f t="shared" ref="H663" si="467">+IF(OR($E663="",G663=""),"",$E663*G663)</f>
        <v/>
      </c>
    </row>
    <row r="664" spans="2:8" ht="33.75" outlineLevel="2">
      <c r="C664" s="27" t="s">
        <v>490</v>
      </c>
      <c r="D664" s="1">
        <v>1</v>
      </c>
      <c r="E664" s="117">
        <v>1995</v>
      </c>
      <c r="F664" s="118">
        <f t="shared" si="460"/>
        <v>1995</v>
      </c>
      <c r="G664" s="168"/>
      <c r="H664" s="120" t="str">
        <f t="shared" ref="H664" si="468">+IF(OR($E664="",G664=""),"",$E664*G664)</f>
        <v/>
      </c>
    </row>
    <row r="665" spans="2:8" s="110" customFormat="1" ht="15" customHeight="1" outlineLevel="2">
      <c r="B665" s="143"/>
      <c r="C665" s="144" t="s">
        <v>713</v>
      </c>
      <c r="D665" s="139"/>
      <c r="E665" s="140"/>
      <c r="F665" s="145"/>
      <c r="G665" s="173"/>
      <c r="H665" s="227"/>
    </row>
    <row r="666" spans="2:8" s="110" customFormat="1" ht="15" customHeight="1" outlineLevel="2">
      <c r="B666" s="143"/>
      <c r="C666" s="144" t="s">
        <v>369</v>
      </c>
      <c r="D666" s="139"/>
      <c r="E666" s="140"/>
      <c r="F666" s="145"/>
      <c r="G666" s="173"/>
      <c r="H666" s="227"/>
    </row>
    <row r="667" spans="2:8" ht="78.75" outlineLevel="2">
      <c r="C667" s="27" t="s">
        <v>239</v>
      </c>
      <c r="F667" s="118"/>
      <c r="G667" s="168"/>
    </row>
    <row r="668" spans="2:8" ht="22.5" outlineLevel="2">
      <c r="C668" s="27" t="s">
        <v>451</v>
      </c>
      <c r="D668" s="1">
        <v>5</v>
      </c>
      <c r="E668" s="117">
        <v>2.76</v>
      </c>
      <c r="F668" s="118">
        <f t="shared" si="460"/>
        <v>13.799999999999999</v>
      </c>
      <c r="G668" s="168"/>
      <c r="H668" s="120" t="str">
        <f t="shared" ref="H668" si="469">+IF(OR($E668="",G668=""),"",$E668*G668)</f>
        <v/>
      </c>
    </row>
    <row r="669" spans="2:8" s="110" customFormat="1" ht="15" customHeight="1" outlineLevel="2">
      <c r="B669" s="143"/>
      <c r="C669" s="144" t="s">
        <v>447</v>
      </c>
      <c r="D669" s="139"/>
      <c r="E669" s="140"/>
      <c r="F669" s="145"/>
      <c r="G669" s="173"/>
      <c r="H669" s="227"/>
    </row>
    <row r="670" spans="2:8" ht="90" outlineLevel="2">
      <c r="C670" s="27" t="s">
        <v>240</v>
      </c>
      <c r="F670" s="118"/>
      <c r="G670" s="168"/>
    </row>
    <row r="671" spans="2:8" ht="22.5" outlineLevel="2">
      <c r="C671" s="27" t="s">
        <v>478</v>
      </c>
      <c r="D671" s="1">
        <v>5</v>
      </c>
      <c r="E671" s="117">
        <v>1.38</v>
      </c>
      <c r="F671" s="118">
        <f t="shared" si="460"/>
        <v>6.8999999999999995</v>
      </c>
      <c r="G671" s="168"/>
      <c r="H671" s="120" t="str">
        <f t="shared" ref="H671" si="470">+IF(OR($E671="",G671=""),"",$E671*G671)</f>
        <v/>
      </c>
    </row>
    <row r="672" spans="2:8" s="110" customFormat="1" ht="15" customHeight="1" outlineLevel="2">
      <c r="B672" s="143"/>
      <c r="C672" s="144" t="s">
        <v>250</v>
      </c>
      <c r="D672" s="139"/>
      <c r="E672" s="140"/>
      <c r="F672" s="145"/>
      <c r="G672" s="173"/>
      <c r="H672" s="227"/>
    </row>
    <row r="673" spans="2:8" ht="90" outlineLevel="2">
      <c r="C673" s="27" t="s">
        <v>679</v>
      </c>
      <c r="F673" s="118"/>
      <c r="G673" s="168"/>
    </row>
    <row r="674" spans="2:8" ht="33.75" outlineLevel="2">
      <c r="C674" s="27" t="s">
        <v>680</v>
      </c>
      <c r="D674" s="1">
        <v>1</v>
      </c>
      <c r="E674" s="117">
        <v>1010.63</v>
      </c>
      <c r="F674" s="118">
        <f t="shared" si="460"/>
        <v>1010.63</v>
      </c>
      <c r="G674" s="168"/>
      <c r="H674" s="120" t="str">
        <f t="shared" ref="H674" si="471">+IF(OR($E674="",G674=""),"",$E674*G674)</f>
        <v/>
      </c>
    </row>
    <row r="675" spans="2:8" ht="67.5" outlineLevel="2">
      <c r="C675" s="27" t="s">
        <v>681</v>
      </c>
      <c r="D675" s="1">
        <v>1</v>
      </c>
      <c r="E675" s="117">
        <v>233.63</v>
      </c>
      <c r="F675" s="118">
        <f t="shared" si="460"/>
        <v>233.63</v>
      </c>
      <c r="G675" s="168"/>
      <c r="H675" s="120" t="str">
        <f t="shared" ref="H675" si="472">+IF(OR($E675="",G675=""),"",$E675*G675)</f>
        <v/>
      </c>
    </row>
    <row r="676" spans="2:8" ht="22.5" outlineLevel="2">
      <c r="C676" s="27" t="s">
        <v>491</v>
      </c>
      <c r="D676" s="1">
        <v>1</v>
      </c>
      <c r="E676" s="117">
        <v>492.19</v>
      </c>
      <c r="F676" s="118">
        <f t="shared" si="460"/>
        <v>492.19</v>
      </c>
      <c r="G676" s="168"/>
      <c r="H676" s="120" t="str">
        <f t="shared" ref="H676" si="473">+IF(OR($E676="",G676=""),"",$E676*G676)</f>
        <v/>
      </c>
    </row>
    <row r="677" spans="2:8" s="110" customFormat="1" ht="15" customHeight="1" outlineLevel="2">
      <c r="B677" s="143"/>
      <c r="C677" s="144" t="s">
        <v>714</v>
      </c>
      <c r="D677" s="139"/>
      <c r="E677" s="140"/>
      <c r="F677" s="145"/>
      <c r="G677" s="173"/>
      <c r="H677" s="227"/>
    </row>
    <row r="678" spans="2:8" s="110" customFormat="1" ht="15" customHeight="1" outlineLevel="2">
      <c r="B678" s="143"/>
      <c r="C678" s="144" t="s">
        <v>369</v>
      </c>
      <c r="D678" s="139"/>
      <c r="E678" s="140"/>
      <c r="F678" s="145"/>
      <c r="G678" s="173"/>
      <c r="H678" s="227"/>
    </row>
    <row r="679" spans="2:8" ht="78.75" outlineLevel="2">
      <c r="C679" s="27" t="s">
        <v>239</v>
      </c>
      <c r="F679" s="118"/>
      <c r="G679" s="168"/>
    </row>
    <row r="680" spans="2:8" ht="22.5" outlineLevel="2">
      <c r="C680" s="27" t="s">
        <v>492</v>
      </c>
      <c r="D680" s="1">
        <v>44</v>
      </c>
      <c r="E680" s="117">
        <v>2.36</v>
      </c>
      <c r="F680" s="118">
        <f t="shared" si="460"/>
        <v>103.83999999999999</v>
      </c>
      <c r="G680" s="168"/>
      <c r="H680" s="120" t="str">
        <f t="shared" ref="H680" si="474">+IF(OR($E680="",G680=""),"",$E680*G680)</f>
        <v/>
      </c>
    </row>
    <row r="681" spans="2:8" s="110" customFormat="1" ht="15" customHeight="1" outlineLevel="2">
      <c r="B681" s="143"/>
      <c r="C681" s="144" t="s">
        <v>447</v>
      </c>
      <c r="D681" s="139"/>
      <c r="E681" s="140"/>
      <c r="F681" s="145"/>
      <c r="G681" s="173"/>
      <c r="H681" s="227"/>
    </row>
    <row r="682" spans="2:8" ht="90" outlineLevel="2">
      <c r="C682" s="27" t="s">
        <v>240</v>
      </c>
      <c r="F682" s="118"/>
      <c r="G682" s="168"/>
    </row>
    <row r="683" spans="2:8" ht="22.5" outlineLevel="2">
      <c r="C683" s="27" t="s">
        <v>478</v>
      </c>
      <c r="D683" s="1">
        <v>46</v>
      </c>
      <c r="E683" s="117">
        <v>1.38</v>
      </c>
      <c r="F683" s="118">
        <f t="shared" si="460"/>
        <v>63.48</v>
      </c>
      <c r="G683" s="168"/>
      <c r="H683" s="120" t="str">
        <f t="shared" ref="H683" si="475">+IF(OR($E683="",G683=""),"",$E683*G683)</f>
        <v/>
      </c>
    </row>
    <row r="684" spans="2:8" s="110" customFormat="1" ht="15" customHeight="1" outlineLevel="2">
      <c r="B684" s="143"/>
      <c r="C684" s="144" t="s">
        <v>250</v>
      </c>
      <c r="D684" s="139"/>
      <c r="E684" s="140"/>
      <c r="F684" s="145"/>
      <c r="G684" s="173"/>
      <c r="H684" s="227"/>
    </row>
    <row r="685" spans="2:8" ht="67.5" outlineLevel="2">
      <c r="C685" s="27" t="s">
        <v>117</v>
      </c>
      <c r="F685" s="118"/>
      <c r="G685" s="168"/>
    </row>
    <row r="686" spans="2:8" ht="15" customHeight="1" outlineLevel="2">
      <c r="C686" s="27" t="s">
        <v>245</v>
      </c>
      <c r="D686" s="1">
        <v>1</v>
      </c>
      <c r="E686" s="117">
        <v>514.58000000000004</v>
      </c>
      <c r="F686" s="118">
        <f t="shared" si="460"/>
        <v>514.58000000000004</v>
      </c>
      <c r="G686" s="168"/>
      <c r="H686" s="120" t="str">
        <f t="shared" ref="H686" si="476">+IF(OR($E686="",G686=""),"",$E686*G686)</f>
        <v/>
      </c>
    </row>
    <row r="687" spans="2:8" ht="15" customHeight="1" outlineLevel="2">
      <c r="C687" s="27" t="s">
        <v>246</v>
      </c>
      <c r="D687" s="1">
        <v>2</v>
      </c>
      <c r="E687" s="117">
        <v>137.81</v>
      </c>
      <c r="F687" s="118">
        <f t="shared" si="460"/>
        <v>275.62</v>
      </c>
      <c r="G687" s="168"/>
      <c r="H687" s="120" t="str">
        <f t="shared" ref="H687" si="477">+IF(OR($E687="",G687=""),"",$E687*G687)</f>
        <v/>
      </c>
    </row>
    <row r="688" spans="2:8" ht="15" customHeight="1" outlineLevel="2">
      <c r="C688" s="27" t="s">
        <v>247</v>
      </c>
      <c r="D688" s="1">
        <v>2</v>
      </c>
      <c r="E688" s="117">
        <v>68.25</v>
      </c>
      <c r="F688" s="118">
        <f t="shared" si="460"/>
        <v>136.5</v>
      </c>
      <c r="G688" s="168"/>
      <c r="H688" s="120" t="str">
        <f t="shared" ref="H688" si="478">+IF(OR($E688="",G688=""),"",$E688*G688)</f>
        <v/>
      </c>
    </row>
    <row r="689" spans="2:8" ht="15" customHeight="1" outlineLevel="2">
      <c r="C689" s="27" t="s">
        <v>248</v>
      </c>
      <c r="D689" s="1">
        <v>2</v>
      </c>
      <c r="E689" s="117">
        <v>56.44</v>
      </c>
      <c r="F689" s="118">
        <f t="shared" ref="F689:F696" si="479">+D689*E689</f>
        <v>112.88</v>
      </c>
      <c r="G689" s="168"/>
      <c r="H689" s="120" t="str">
        <f t="shared" ref="H689" si="480">+IF(OR($E689="",G689=""),"",$E689*G689)</f>
        <v/>
      </c>
    </row>
    <row r="690" spans="2:8" ht="15" customHeight="1" outlineLevel="2">
      <c r="C690" s="27" t="s">
        <v>249</v>
      </c>
      <c r="D690" s="1">
        <v>1</v>
      </c>
      <c r="E690" s="117">
        <v>124.69</v>
      </c>
      <c r="F690" s="118">
        <f t="shared" si="479"/>
        <v>124.69</v>
      </c>
      <c r="G690" s="168"/>
      <c r="H690" s="120" t="str">
        <f t="shared" ref="H690" si="481">+IF(OR($E690="",G690=""),"",$E690*G690)</f>
        <v/>
      </c>
    </row>
    <row r="691" spans="2:8" ht="33.75" outlineLevel="2">
      <c r="C691" s="27" t="s">
        <v>477</v>
      </c>
      <c r="D691" s="1">
        <v>1</v>
      </c>
      <c r="E691" s="117">
        <v>164.06</v>
      </c>
      <c r="F691" s="118">
        <f t="shared" si="479"/>
        <v>164.06</v>
      </c>
      <c r="G691" s="168"/>
      <c r="H691" s="120" t="str">
        <f t="shared" ref="H691" si="482">+IF(OR($E691="",G691=""),"",$E691*G691)</f>
        <v/>
      </c>
    </row>
    <row r="692" spans="2:8" s="110" customFormat="1" ht="15" customHeight="1" outlineLevel="2">
      <c r="B692" s="143"/>
      <c r="C692" s="144" t="s">
        <v>702</v>
      </c>
      <c r="D692" s="139"/>
      <c r="E692" s="140"/>
      <c r="F692" s="145"/>
      <c r="G692" s="173"/>
      <c r="H692" s="227"/>
    </row>
    <row r="693" spans="2:8" ht="33.75" outlineLevel="2">
      <c r="C693" s="27" t="s">
        <v>443</v>
      </c>
      <c r="F693" s="118"/>
      <c r="G693" s="168"/>
    </row>
    <row r="694" spans="2:8" ht="22.5" outlineLevel="2">
      <c r="C694" s="27" t="s">
        <v>263</v>
      </c>
      <c r="D694" s="1">
        <v>1</v>
      </c>
      <c r="E694" s="117">
        <v>546.25</v>
      </c>
      <c r="F694" s="118">
        <f t="shared" si="479"/>
        <v>546.25</v>
      </c>
      <c r="G694" s="168"/>
      <c r="H694" s="120" t="str">
        <f t="shared" ref="H694" si="483">+IF(OR($E694="",G694=""),"",$E694*G694)</f>
        <v/>
      </c>
    </row>
    <row r="695" spans="2:8" ht="67.5" outlineLevel="2">
      <c r="C695" s="27" t="s">
        <v>663</v>
      </c>
      <c r="D695" s="1">
        <v>1</v>
      </c>
      <c r="E695" s="117">
        <v>590.63</v>
      </c>
      <c r="F695" s="118">
        <f t="shared" si="479"/>
        <v>590.63</v>
      </c>
      <c r="G695" s="168"/>
      <c r="H695" s="120" t="str">
        <f t="shared" ref="H695" si="484">+IF(OR($E695="",G695=""),"",$E695*G695)</f>
        <v/>
      </c>
    </row>
    <row r="696" spans="2:8" ht="45" outlineLevel="2">
      <c r="C696" s="27" t="s">
        <v>521</v>
      </c>
      <c r="D696" s="1">
        <v>1</v>
      </c>
      <c r="E696" s="117">
        <v>459.38</v>
      </c>
      <c r="F696" s="118">
        <f t="shared" si="479"/>
        <v>459.38</v>
      </c>
      <c r="G696" s="168"/>
      <c r="H696" s="120" t="str">
        <f t="shared" ref="H696" si="485">+IF(OR($E696="",G696=""),"",$E696*G696)</f>
        <v/>
      </c>
    </row>
    <row r="697" spans="2:8" s="6" customFormat="1" ht="18" customHeight="1">
      <c r="B697" s="15" t="s">
        <v>21</v>
      </c>
      <c r="C697" s="25" t="s">
        <v>278</v>
      </c>
      <c r="D697" s="18"/>
      <c r="E697" s="107"/>
      <c r="F697" s="108">
        <f>+SUM(F698:F797)</f>
        <v>123673.25274000001</v>
      </c>
      <c r="G697" s="170"/>
      <c r="H697" s="109">
        <f>+SUM(H698:H797)</f>
        <v>0</v>
      </c>
    </row>
    <row r="698" spans="2:8" s="110" customFormat="1" ht="15" customHeight="1" outlineLevel="2">
      <c r="B698" s="143"/>
      <c r="C698" s="144" t="s">
        <v>715</v>
      </c>
      <c r="D698" s="139"/>
      <c r="E698" s="140"/>
      <c r="F698" s="145"/>
      <c r="G698" s="173"/>
      <c r="H698" s="227" t="str">
        <f t="shared" ref="H698" si="486">+IF(OR($E698="",G698=""),"",$E698*G698)</f>
        <v/>
      </c>
    </row>
    <row r="699" spans="2:8" ht="90" outlineLevel="2">
      <c r="C699" s="27" t="s">
        <v>682</v>
      </c>
      <c r="F699" s="118"/>
      <c r="G699" s="168"/>
    </row>
    <row r="700" spans="2:8" ht="22.5" outlineLevel="2">
      <c r="C700" s="27" t="s">
        <v>410</v>
      </c>
      <c r="D700" s="1">
        <v>1</v>
      </c>
      <c r="E700" s="117">
        <v>14904.73</v>
      </c>
      <c r="F700" s="118">
        <f t="shared" ref="F700:F730" si="487">+D700*E700</f>
        <v>14904.73</v>
      </c>
      <c r="G700" s="168"/>
      <c r="H700" s="120" t="str">
        <f t="shared" ref="H700" si="488">+IF(OR($E700="",G700=""),"",$E700*G700)</f>
        <v/>
      </c>
    </row>
    <row r="701" spans="2:8" ht="67.5" outlineLevel="2">
      <c r="C701" s="27" t="s">
        <v>55</v>
      </c>
      <c r="F701" s="118"/>
      <c r="G701" s="168"/>
    </row>
    <row r="702" spans="2:8" ht="22.5" outlineLevel="2">
      <c r="C702" s="27" t="s">
        <v>411</v>
      </c>
      <c r="D702" s="1">
        <v>1</v>
      </c>
      <c r="E702" s="117">
        <v>9331.0499999999993</v>
      </c>
      <c r="F702" s="118">
        <f t="shared" si="487"/>
        <v>9331.0499999999993</v>
      </c>
      <c r="G702" s="168"/>
      <c r="H702" s="120" t="str">
        <f t="shared" ref="H702" si="489">+IF(OR($E702="",G702=""),"",$E702*G702)</f>
        <v/>
      </c>
    </row>
    <row r="703" spans="2:8" s="7" customFormat="1" ht="15" customHeight="1" outlineLevel="2">
      <c r="B703" s="161"/>
      <c r="C703" s="144" t="s">
        <v>412</v>
      </c>
      <c r="D703" s="158"/>
      <c r="E703" s="159"/>
      <c r="F703" s="118"/>
      <c r="G703" s="168"/>
      <c r="H703" s="120"/>
    </row>
    <row r="704" spans="2:8" ht="78.75" outlineLevel="2">
      <c r="C704" s="27" t="s">
        <v>683</v>
      </c>
      <c r="F704" s="118"/>
      <c r="G704" s="168"/>
    </row>
    <row r="705" spans="2:8" outlineLevel="2">
      <c r="C705" s="27" t="s">
        <v>56</v>
      </c>
      <c r="F705" s="118"/>
      <c r="G705" s="168"/>
    </row>
    <row r="706" spans="2:8" ht="15" customHeight="1" outlineLevel="2">
      <c r="C706" s="27" t="s">
        <v>57</v>
      </c>
      <c r="D706" s="1">
        <v>1</v>
      </c>
      <c r="E706" s="117">
        <v>1052.5899999999999</v>
      </c>
      <c r="F706" s="118">
        <f t="shared" si="487"/>
        <v>1052.5899999999999</v>
      </c>
      <c r="G706" s="168"/>
      <c r="H706" s="120" t="str">
        <f t="shared" ref="H706" si="490">+IF(OR($E706="",G706=""),"",$E706*G706)</f>
        <v/>
      </c>
    </row>
    <row r="707" spans="2:8" ht="15" customHeight="1" outlineLevel="2">
      <c r="C707" s="27" t="s">
        <v>58</v>
      </c>
      <c r="D707" s="1">
        <v>2</v>
      </c>
      <c r="E707" s="117">
        <v>1052.5899999999999</v>
      </c>
      <c r="F707" s="118">
        <f t="shared" si="487"/>
        <v>2105.1799999999998</v>
      </c>
      <c r="G707" s="168"/>
      <c r="H707" s="120" t="str">
        <f t="shared" ref="H707" si="491">+IF(OR($E707="",G707=""),"",$E707*G707)</f>
        <v/>
      </c>
    </row>
    <row r="708" spans="2:8" ht="15" customHeight="1" outlineLevel="2">
      <c r="C708" s="27" t="s">
        <v>59</v>
      </c>
      <c r="D708" s="1">
        <v>2</v>
      </c>
      <c r="E708" s="117">
        <v>1052.5899999999999</v>
      </c>
      <c r="F708" s="118">
        <f t="shared" si="487"/>
        <v>2105.1799999999998</v>
      </c>
      <c r="G708" s="168"/>
      <c r="H708" s="120" t="str">
        <f t="shared" ref="H708" si="492">+IF(OR($E708="",G708=""),"",$E708*G708)</f>
        <v/>
      </c>
    </row>
    <row r="709" spans="2:8" ht="15" customHeight="1" outlineLevel="2">
      <c r="C709" s="27" t="s">
        <v>60</v>
      </c>
      <c r="D709" s="1">
        <v>1</v>
      </c>
      <c r="E709" s="117">
        <v>1052.5899999999999</v>
      </c>
      <c r="F709" s="118">
        <f t="shared" si="487"/>
        <v>1052.5899999999999</v>
      </c>
      <c r="G709" s="168"/>
      <c r="H709" s="120" t="str">
        <f t="shared" ref="H709" si="493">+IF(OR($E709="",G709=""),"",$E709*G709)</f>
        <v/>
      </c>
    </row>
    <row r="710" spans="2:8" ht="15" customHeight="1" outlineLevel="2">
      <c r="C710" s="27" t="s">
        <v>61</v>
      </c>
      <c r="D710" s="1">
        <v>2</v>
      </c>
      <c r="E710" s="117">
        <v>1052.5899999999999</v>
      </c>
      <c r="F710" s="118">
        <f t="shared" si="487"/>
        <v>2105.1799999999998</v>
      </c>
      <c r="G710" s="168"/>
      <c r="H710" s="120" t="str">
        <f t="shared" ref="H710" si="494">+IF(OR($E710="",G710=""),"",$E710*G710)</f>
        <v/>
      </c>
    </row>
    <row r="711" spans="2:8" ht="15" customHeight="1" outlineLevel="2">
      <c r="C711" s="27" t="s">
        <v>62</v>
      </c>
      <c r="D711" s="1">
        <v>1</v>
      </c>
      <c r="E711" s="117">
        <v>1052.5899999999999</v>
      </c>
      <c r="F711" s="118">
        <f t="shared" si="487"/>
        <v>1052.5899999999999</v>
      </c>
      <c r="G711" s="168"/>
      <c r="H711" s="120" t="str">
        <f t="shared" ref="H711" si="495">+IF(OR($E711="",G711=""),"",$E711*G711)</f>
        <v/>
      </c>
    </row>
    <row r="712" spans="2:8" ht="22.5" outlineLevel="2">
      <c r="C712" s="27" t="s">
        <v>567</v>
      </c>
      <c r="D712" s="1">
        <v>1</v>
      </c>
      <c r="E712" s="117">
        <v>1052.5899999999999</v>
      </c>
      <c r="F712" s="118">
        <f t="shared" si="487"/>
        <v>1052.5899999999999</v>
      </c>
      <c r="G712" s="168"/>
      <c r="H712" s="120" t="str">
        <f t="shared" ref="H712" si="496">+IF(OR($E712="",G712=""),"",$E712*G712)</f>
        <v/>
      </c>
    </row>
    <row r="713" spans="2:8" s="7" customFormat="1" ht="15" customHeight="1" outlineLevel="2">
      <c r="B713" s="161"/>
      <c r="C713" s="144" t="s">
        <v>413</v>
      </c>
      <c r="D713" s="158"/>
      <c r="E713" s="159"/>
      <c r="F713" s="118"/>
      <c r="G713" s="168"/>
      <c r="H713" s="120"/>
    </row>
    <row r="714" spans="2:8" ht="112.5" outlineLevel="2">
      <c r="C714" s="27" t="s">
        <v>63</v>
      </c>
      <c r="F714" s="118"/>
      <c r="G714" s="168"/>
    </row>
    <row r="715" spans="2:8" ht="15" customHeight="1" outlineLevel="2">
      <c r="C715" s="27" t="s">
        <v>64</v>
      </c>
      <c r="D715" s="1">
        <v>8</v>
      </c>
      <c r="E715" s="117">
        <v>1243.9000000000001</v>
      </c>
      <c r="F715" s="118">
        <f t="shared" si="487"/>
        <v>9951.2000000000007</v>
      </c>
      <c r="G715" s="168"/>
      <c r="H715" s="120" t="str">
        <f t="shared" ref="H715" si="497">+IF(OR($E715="",G715=""),"",$E715*G715)</f>
        <v/>
      </c>
    </row>
    <row r="716" spans="2:8" ht="15" customHeight="1" outlineLevel="2">
      <c r="C716" s="27" t="s">
        <v>65</v>
      </c>
      <c r="D716" s="1">
        <v>1</v>
      </c>
      <c r="E716" s="117">
        <v>1354.76</v>
      </c>
      <c r="F716" s="118">
        <f t="shared" si="487"/>
        <v>1354.76</v>
      </c>
      <c r="G716" s="168"/>
      <c r="H716" s="120" t="str">
        <f t="shared" ref="H716" si="498">+IF(OR($E716="",G716=""),"",$E716*G716)</f>
        <v/>
      </c>
    </row>
    <row r="717" spans="2:8" ht="15" customHeight="1" outlineLevel="2">
      <c r="C717" s="27" t="s">
        <v>66</v>
      </c>
      <c r="D717" s="1">
        <v>3</v>
      </c>
      <c r="E717" s="117">
        <v>1399.11</v>
      </c>
      <c r="F717" s="118">
        <f t="shared" si="487"/>
        <v>4197.33</v>
      </c>
      <c r="G717" s="168"/>
      <c r="H717" s="120" t="str">
        <f t="shared" ref="H717" si="499">+IF(OR($E717="",G717=""),"",$E717*G717)</f>
        <v/>
      </c>
    </row>
    <row r="718" spans="2:8" ht="22.5" outlineLevel="2">
      <c r="C718" s="27" t="s">
        <v>414</v>
      </c>
      <c r="D718" s="1">
        <v>2</v>
      </c>
      <c r="E718" s="117">
        <v>1243.9000000000001</v>
      </c>
      <c r="F718" s="118">
        <f t="shared" si="487"/>
        <v>2487.8000000000002</v>
      </c>
      <c r="G718" s="168"/>
      <c r="H718" s="120" t="str">
        <f t="shared" ref="H718" si="500">+IF(OR($E718="",G718=""),"",$E718*G718)</f>
        <v/>
      </c>
    </row>
    <row r="719" spans="2:8" ht="78.75" outlineLevel="2">
      <c r="C719" s="27" t="s">
        <v>67</v>
      </c>
      <c r="F719" s="118"/>
      <c r="G719" s="168"/>
    </row>
    <row r="720" spans="2:8" ht="22.5" outlineLevel="2">
      <c r="C720" s="27" t="s">
        <v>415</v>
      </c>
      <c r="D720" s="1">
        <v>1</v>
      </c>
      <c r="E720" s="117">
        <v>7909.36</v>
      </c>
      <c r="F720" s="118">
        <f t="shared" si="487"/>
        <v>7909.36</v>
      </c>
      <c r="G720" s="168"/>
      <c r="H720" s="120" t="str">
        <f t="shared" ref="H720" si="501">+IF(OR($E720="",G720=""),"",$E720*G720)</f>
        <v/>
      </c>
    </row>
    <row r="721" spans="2:8" s="7" customFormat="1" ht="15" customHeight="1" outlineLevel="2">
      <c r="B721" s="161"/>
      <c r="C721" s="144" t="s">
        <v>721</v>
      </c>
      <c r="D721" s="158"/>
      <c r="E721" s="159"/>
      <c r="F721" s="118"/>
      <c r="G721" s="168"/>
      <c r="H721" s="120"/>
    </row>
    <row r="722" spans="2:8" ht="78.75" outlineLevel="2">
      <c r="C722" s="27" t="s">
        <v>684</v>
      </c>
      <c r="F722" s="118"/>
      <c r="G722" s="168"/>
    </row>
    <row r="723" spans="2:8" ht="22.5" outlineLevel="2">
      <c r="C723" s="27" t="s">
        <v>685</v>
      </c>
      <c r="D723" s="1">
        <v>58</v>
      </c>
      <c r="E723" s="117">
        <v>37.39</v>
      </c>
      <c r="F723" s="118">
        <f t="shared" si="487"/>
        <v>2168.62</v>
      </c>
      <c r="G723" s="168"/>
      <c r="H723" s="120" t="str">
        <f t="shared" ref="H723" si="502">+IF(OR($E723="",G723=""),"",$E723*G723)</f>
        <v/>
      </c>
    </row>
    <row r="724" spans="2:8" ht="33.75" outlineLevel="2">
      <c r="C724" s="27" t="s">
        <v>686</v>
      </c>
      <c r="D724" s="1">
        <v>56</v>
      </c>
      <c r="E724" s="117">
        <v>93.09</v>
      </c>
      <c r="F724" s="118">
        <f t="shared" si="487"/>
        <v>5213.04</v>
      </c>
      <c r="G724" s="168"/>
      <c r="H724" s="120" t="str">
        <f t="shared" ref="H724" si="503">+IF(OR($E724="",G724=""),"",$E724*G724)</f>
        <v/>
      </c>
    </row>
    <row r="725" spans="2:8" ht="22.5" outlineLevel="2">
      <c r="C725" s="27" t="s">
        <v>416</v>
      </c>
      <c r="D725" s="1">
        <v>58</v>
      </c>
      <c r="E725" s="117">
        <v>30.85</v>
      </c>
      <c r="F725" s="118">
        <f t="shared" si="487"/>
        <v>1789.3000000000002</v>
      </c>
      <c r="G725" s="168"/>
      <c r="H725" s="120" t="str">
        <f t="shared" ref="H725" si="504">+IF(OR($E725="",G725=""),"",$E725*G725)</f>
        <v/>
      </c>
    </row>
    <row r="726" spans="2:8" ht="15" customHeight="1" outlineLevel="2">
      <c r="C726" s="27" t="s">
        <v>68</v>
      </c>
      <c r="F726" s="118"/>
      <c r="G726" s="168"/>
    </row>
    <row r="727" spans="2:8" ht="22.5" outlineLevel="2">
      <c r="C727" s="27" t="s">
        <v>417</v>
      </c>
      <c r="D727" s="1">
        <v>186.327</v>
      </c>
      <c r="E727" s="117">
        <v>10.62</v>
      </c>
      <c r="F727" s="118">
        <f t="shared" si="487"/>
        <v>1978.7927399999999</v>
      </c>
      <c r="G727" s="168"/>
      <c r="H727" s="120" t="str">
        <f t="shared" ref="H727" si="505">+IF(OR($E727="",G727=""),"",$E727*G727)</f>
        <v/>
      </c>
    </row>
    <row r="728" spans="2:8" ht="90" outlineLevel="2">
      <c r="C728" s="27" t="s">
        <v>426</v>
      </c>
      <c r="F728" s="118"/>
      <c r="G728" s="168"/>
    </row>
    <row r="729" spans="2:8" ht="22.5" outlineLevel="2">
      <c r="C729" s="27" t="s">
        <v>69</v>
      </c>
      <c r="F729" s="118"/>
      <c r="G729" s="168"/>
    </row>
    <row r="730" spans="2:8" ht="22.5" outlineLevel="2">
      <c r="C730" s="27" t="s">
        <v>418</v>
      </c>
      <c r="D730" s="1">
        <v>12</v>
      </c>
      <c r="E730" s="117">
        <v>527.1</v>
      </c>
      <c r="F730" s="118">
        <f t="shared" si="487"/>
        <v>6325.2000000000007</v>
      </c>
      <c r="G730" s="168"/>
      <c r="H730" s="120" t="str">
        <f t="shared" ref="H730" si="506">+IF(OR($E730="",G730=""),"",$E730*G730)</f>
        <v/>
      </c>
    </row>
    <row r="731" spans="2:8" ht="15" customHeight="1" outlineLevel="2">
      <c r="C731" s="27" t="s">
        <v>70</v>
      </c>
      <c r="F731" s="118"/>
      <c r="G731" s="168"/>
    </row>
    <row r="732" spans="2:8" ht="22.5" outlineLevel="2">
      <c r="C732" s="27" t="s">
        <v>419</v>
      </c>
      <c r="D732" s="1">
        <v>2</v>
      </c>
      <c r="E732" s="117">
        <v>478.02</v>
      </c>
      <c r="F732" s="118">
        <f t="shared" ref="F732:F762" si="507">+D732*E732</f>
        <v>956.04</v>
      </c>
      <c r="G732" s="168"/>
      <c r="H732" s="120" t="str">
        <f t="shared" ref="H732" si="508">+IF(OR($E732="",G732=""),"",$E732*G732)</f>
        <v/>
      </c>
    </row>
    <row r="733" spans="2:8" ht="15" customHeight="1" outlineLevel="2">
      <c r="C733" s="27" t="s">
        <v>71</v>
      </c>
      <c r="F733" s="118"/>
      <c r="G733" s="168"/>
    </row>
    <row r="734" spans="2:8" ht="15" customHeight="1" outlineLevel="2">
      <c r="C734" s="27" t="s">
        <v>72</v>
      </c>
      <c r="D734" s="1">
        <v>16</v>
      </c>
      <c r="E734" s="117">
        <v>101.6</v>
      </c>
      <c r="F734" s="118">
        <f t="shared" si="507"/>
        <v>1625.6</v>
      </c>
      <c r="G734" s="168"/>
      <c r="H734" s="120" t="str">
        <f t="shared" ref="H734" si="509">+IF(OR($E734="",G734=""),"",$E734*G734)</f>
        <v/>
      </c>
    </row>
    <row r="735" spans="2:8" ht="15" customHeight="1" outlineLevel="2">
      <c r="C735" s="27" t="s">
        <v>73</v>
      </c>
      <c r="D735" s="1">
        <v>4</v>
      </c>
      <c r="E735" s="117">
        <v>129.72999999999999</v>
      </c>
      <c r="F735" s="118">
        <f t="shared" si="507"/>
        <v>518.91999999999996</v>
      </c>
      <c r="G735" s="168"/>
      <c r="H735" s="120" t="str">
        <f t="shared" ref="H735" si="510">+IF(OR($E735="",G735=""),"",$E735*G735)</f>
        <v/>
      </c>
    </row>
    <row r="736" spans="2:8" ht="22.5" outlineLevel="2">
      <c r="C736" s="27" t="s">
        <v>420</v>
      </c>
      <c r="D736" s="1">
        <v>2</v>
      </c>
      <c r="E736" s="117">
        <v>117.36</v>
      </c>
      <c r="F736" s="118">
        <f t="shared" si="507"/>
        <v>234.72</v>
      </c>
      <c r="G736" s="168"/>
      <c r="H736" s="120" t="str">
        <f t="shared" ref="H736" si="511">+IF(OR($E736="",G736=""),"",$E736*G736)</f>
        <v/>
      </c>
    </row>
    <row r="737" spans="2:8" ht="22.5" outlineLevel="2">
      <c r="C737" s="27" t="s">
        <v>74</v>
      </c>
      <c r="F737" s="118"/>
      <c r="G737" s="168"/>
    </row>
    <row r="738" spans="2:8" ht="22.5" outlineLevel="2">
      <c r="C738" s="27" t="s">
        <v>421</v>
      </c>
      <c r="D738" s="1">
        <v>16</v>
      </c>
      <c r="E738" s="117">
        <v>96.1</v>
      </c>
      <c r="F738" s="118">
        <f t="shared" si="507"/>
        <v>1537.6</v>
      </c>
      <c r="G738" s="168"/>
      <c r="H738" s="120" t="str">
        <f t="shared" ref="H738" si="512">+IF(OR($E738="",G738=""),"",$E738*G738)</f>
        <v/>
      </c>
    </row>
    <row r="739" spans="2:8" ht="33.75" outlineLevel="2">
      <c r="C739" s="27" t="s">
        <v>423</v>
      </c>
      <c r="D739" s="1">
        <v>23</v>
      </c>
      <c r="E739" s="117">
        <v>12.32</v>
      </c>
      <c r="F739" s="118">
        <f t="shared" si="507"/>
        <v>283.36</v>
      </c>
      <c r="G739" s="168"/>
      <c r="H739" s="120" t="str">
        <f t="shared" ref="H739" si="513">+IF(OR($E739="",G739=""),"",$E739*G739)</f>
        <v/>
      </c>
    </row>
    <row r="740" spans="2:8" ht="15" customHeight="1" outlineLevel="2">
      <c r="C740" s="27" t="s">
        <v>75</v>
      </c>
      <c r="F740" s="118"/>
      <c r="G740" s="168"/>
    </row>
    <row r="741" spans="2:8" ht="15" customHeight="1" outlineLevel="2">
      <c r="C741" s="27" t="s">
        <v>76</v>
      </c>
      <c r="D741" s="1">
        <v>10</v>
      </c>
      <c r="E741" s="117">
        <v>27.56</v>
      </c>
      <c r="F741" s="118">
        <f t="shared" si="507"/>
        <v>275.59999999999997</v>
      </c>
      <c r="G741" s="168"/>
      <c r="H741" s="120" t="str">
        <f t="shared" ref="H741" si="514">+IF(OR($E741="",G741=""),"",$E741*G741)</f>
        <v/>
      </c>
    </row>
    <row r="742" spans="2:8" ht="22.5" outlineLevel="2">
      <c r="C742" s="27" t="s">
        <v>422</v>
      </c>
      <c r="D742" s="1">
        <v>10</v>
      </c>
      <c r="E742" s="117">
        <v>27.56</v>
      </c>
      <c r="F742" s="118">
        <f t="shared" si="507"/>
        <v>275.59999999999997</v>
      </c>
      <c r="G742" s="168"/>
      <c r="H742" s="120" t="str">
        <f t="shared" ref="H742" si="515">+IF(OR($E742="",G742=""),"",$E742*G742)</f>
        <v/>
      </c>
    </row>
    <row r="743" spans="2:8" ht="22.5" outlineLevel="2">
      <c r="C743" s="27" t="s">
        <v>424</v>
      </c>
      <c r="D743" s="1">
        <v>1</v>
      </c>
      <c r="E743" s="117">
        <v>2276.84</v>
      </c>
      <c r="F743" s="118">
        <f t="shared" si="507"/>
        <v>2276.84</v>
      </c>
      <c r="G743" s="168"/>
      <c r="H743" s="120" t="str">
        <f t="shared" ref="H743" si="516">+IF(OR($E743="",G743=""),"",$E743*G743)</f>
        <v/>
      </c>
    </row>
    <row r="744" spans="2:8" ht="22.5" outlineLevel="2">
      <c r="C744" s="27" t="s">
        <v>425</v>
      </c>
      <c r="D744" s="1">
        <v>4</v>
      </c>
      <c r="E744" s="117">
        <v>67.44</v>
      </c>
      <c r="F744" s="118">
        <f t="shared" si="507"/>
        <v>269.76</v>
      </c>
      <c r="G744" s="168"/>
      <c r="H744" s="120" t="str">
        <f t="shared" ref="H744" si="517">+IF(OR($E744="",G744=""),"",$E744*G744)</f>
        <v/>
      </c>
    </row>
    <row r="745" spans="2:8" ht="78.75" outlineLevel="2">
      <c r="C745" s="27" t="s">
        <v>427</v>
      </c>
      <c r="F745" s="118"/>
      <c r="G745" s="168"/>
    </row>
    <row r="746" spans="2:8" ht="15" customHeight="1" outlineLevel="2">
      <c r="C746" s="27" t="s">
        <v>77</v>
      </c>
      <c r="F746" s="118"/>
      <c r="G746" s="168"/>
    </row>
    <row r="747" spans="2:8" ht="22.5" outlineLevel="2">
      <c r="C747" s="27" t="s">
        <v>568</v>
      </c>
      <c r="D747" s="1">
        <v>8</v>
      </c>
      <c r="E747" s="117">
        <v>34.049999999999997</v>
      </c>
      <c r="F747" s="118">
        <f t="shared" si="507"/>
        <v>272.39999999999998</v>
      </c>
      <c r="G747" s="168"/>
      <c r="H747" s="120" t="str">
        <f t="shared" ref="H747" si="518">+IF(OR($E747="",G747=""),"",$E747*G747)</f>
        <v/>
      </c>
    </row>
    <row r="748" spans="2:8" ht="78.75" outlineLevel="2">
      <c r="C748" s="27" t="s">
        <v>428</v>
      </c>
      <c r="F748" s="118"/>
      <c r="G748" s="168"/>
    </row>
    <row r="749" spans="2:8" ht="15" customHeight="1" outlineLevel="2">
      <c r="C749" s="27" t="s">
        <v>78</v>
      </c>
      <c r="F749" s="118"/>
      <c r="G749" s="168"/>
    </row>
    <row r="750" spans="2:8" ht="22.5" outlineLevel="2">
      <c r="C750" s="27" t="s">
        <v>429</v>
      </c>
      <c r="D750" s="1">
        <v>10</v>
      </c>
      <c r="E750" s="117">
        <v>133.54</v>
      </c>
      <c r="F750" s="118">
        <f t="shared" si="507"/>
        <v>1335.3999999999999</v>
      </c>
      <c r="G750" s="168"/>
      <c r="H750" s="120" t="str">
        <f t="shared" ref="H750" si="519">+IF(OR($E750="",G750=""),"",$E750*G750)</f>
        <v/>
      </c>
    </row>
    <row r="751" spans="2:8" s="7" customFormat="1" ht="15" customHeight="1" outlineLevel="2">
      <c r="B751" s="161"/>
      <c r="C751" s="144" t="s">
        <v>720</v>
      </c>
      <c r="D751" s="158"/>
      <c r="E751" s="159"/>
      <c r="F751" s="118"/>
      <c r="G751" s="168"/>
      <c r="H751" s="120"/>
    </row>
    <row r="752" spans="2:8" ht="78.75" outlineLevel="2">
      <c r="C752" s="27" t="s">
        <v>432</v>
      </c>
      <c r="F752" s="118"/>
      <c r="G752" s="168"/>
    </row>
    <row r="753" spans="3:8" ht="22.5" outlineLevel="2">
      <c r="C753" s="27" t="s">
        <v>79</v>
      </c>
      <c r="F753" s="118"/>
      <c r="G753" s="168"/>
    </row>
    <row r="754" spans="3:8" ht="15" customHeight="1" outlineLevel="2">
      <c r="C754" s="27" t="s">
        <v>80</v>
      </c>
      <c r="D754" s="1">
        <v>5</v>
      </c>
      <c r="E754" s="117">
        <v>30.27</v>
      </c>
      <c r="F754" s="118">
        <f t="shared" si="507"/>
        <v>151.35</v>
      </c>
      <c r="G754" s="168"/>
      <c r="H754" s="120" t="str">
        <f t="shared" ref="H754" si="520">+IF(OR($E754="",G754=""),"",$E754*G754)</f>
        <v/>
      </c>
    </row>
    <row r="755" spans="3:8" ht="22.5" outlineLevel="2">
      <c r="C755" s="27" t="s">
        <v>430</v>
      </c>
      <c r="D755" s="1">
        <v>5</v>
      </c>
      <c r="E755" s="117">
        <v>40.98</v>
      </c>
      <c r="F755" s="118">
        <f t="shared" si="507"/>
        <v>204.89999999999998</v>
      </c>
      <c r="G755" s="168"/>
      <c r="H755" s="120" t="str">
        <f t="shared" ref="H755" si="521">+IF(OR($E755="",G755=""),"",$E755*G755)</f>
        <v/>
      </c>
    </row>
    <row r="756" spans="3:8" ht="15" customHeight="1" outlineLevel="2">
      <c r="C756" s="27" t="s">
        <v>81</v>
      </c>
      <c r="F756" s="118"/>
      <c r="G756" s="168"/>
    </row>
    <row r="757" spans="3:8" ht="15" customHeight="1" outlineLevel="2">
      <c r="C757" s="27" t="s">
        <v>82</v>
      </c>
      <c r="D757" s="1">
        <v>50</v>
      </c>
      <c r="E757" s="117">
        <v>7.16</v>
      </c>
      <c r="F757" s="118">
        <f t="shared" si="507"/>
        <v>358</v>
      </c>
      <c r="G757" s="168"/>
      <c r="H757" s="120" t="str">
        <f t="shared" ref="H757" si="522">+IF(OR($E757="",G757=""),"",$E757*G757)</f>
        <v/>
      </c>
    </row>
    <row r="758" spans="3:8" ht="15" customHeight="1" outlineLevel="2">
      <c r="C758" s="27" t="s">
        <v>83</v>
      </c>
      <c r="D758" s="1">
        <v>101</v>
      </c>
      <c r="E758" s="117">
        <v>8.25</v>
      </c>
      <c r="F758" s="118">
        <f t="shared" si="507"/>
        <v>833.25</v>
      </c>
      <c r="G758" s="168"/>
      <c r="H758" s="120" t="str">
        <f t="shared" ref="H758" si="523">+IF(OR($E758="",G758=""),"",$E758*G758)</f>
        <v/>
      </c>
    </row>
    <row r="759" spans="3:8" ht="15" customHeight="1" outlineLevel="2">
      <c r="C759" s="27" t="s">
        <v>84</v>
      </c>
      <c r="D759" s="1">
        <v>60</v>
      </c>
      <c r="E759" s="117">
        <v>9.36</v>
      </c>
      <c r="F759" s="118">
        <f t="shared" si="507"/>
        <v>561.59999999999991</v>
      </c>
      <c r="G759" s="168"/>
      <c r="H759" s="120" t="str">
        <f t="shared" ref="H759" si="524">+IF(OR($E759="",G759=""),"",$E759*G759)</f>
        <v/>
      </c>
    </row>
    <row r="760" spans="3:8" ht="15" customHeight="1" outlineLevel="2">
      <c r="C760" s="27" t="s">
        <v>80</v>
      </c>
      <c r="D760" s="1">
        <v>111</v>
      </c>
      <c r="E760" s="117">
        <v>10.64</v>
      </c>
      <c r="F760" s="118">
        <f t="shared" si="507"/>
        <v>1181.04</v>
      </c>
      <c r="G760" s="168"/>
      <c r="H760" s="120" t="str">
        <f t="shared" ref="H760" si="525">+IF(OR($E760="",G760=""),"",$E760*G760)</f>
        <v/>
      </c>
    </row>
    <row r="761" spans="3:8" ht="15" customHeight="1" outlineLevel="2">
      <c r="C761" s="27" t="s">
        <v>85</v>
      </c>
      <c r="D761" s="1">
        <v>15</v>
      </c>
      <c r="E761" s="117">
        <v>13.04</v>
      </c>
      <c r="F761" s="118">
        <f t="shared" si="507"/>
        <v>195.6</v>
      </c>
      <c r="G761" s="168"/>
      <c r="H761" s="120" t="str">
        <f t="shared" ref="H761" si="526">+IF(OR($E761="",G761=""),"",$E761*G761)</f>
        <v/>
      </c>
    </row>
    <row r="762" spans="3:8" ht="22.5" outlineLevel="2">
      <c r="C762" s="27" t="s">
        <v>430</v>
      </c>
      <c r="D762" s="1">
        <v>31</v>
      </c>
      <c r="E762" s="117">
        <v>18.55</v>
      </c>
      <c r="F762" s="118">
        <f t="shared" si="507"/>
        <v>575.05000000000007</v>
      </c>
      <c r="G762" s="168"/>
      <c r="H762" s="120" t="str">
        <f t="shared" ref="H762" si="527">+IF(OR($E762="",G762=""),"",$E762*G762)</f>
        <v/>
      </c>
    </row>
    <row r="763" spans="3:8" ht="15" customHeight="1" outlineLevel="2">
      <c r="C763" s="27" t="s">
        <v>86</v>
      </c>
      <c r="F763" s="118"/>
      <c r="G763" s="168"/>
    </row>
    <row r="764" spans="3:8" ht="22.5" outlineLevel="2">
      <c r="C764" s="27" t="s">
        <v>431</v>
      </c>
      <c r="D764" s="1">
        <v>87</v>
      </c>
      <c r="E764" s="117">
        <v>7.59</v>
      </c>
      <c r="F764" s="118">
        <f t="shared" ref="F764:F794" si="528">+D764*E764</f>
        <v>660.33</v>
      </c>
      <c r="G764" s="168"/>
      <c r="H764" s="120" t="str">
        <f t="shared" ref="H764" si="529">+IF(OR($E764="",G764=""),"",$E764*G764)</f>
        <v/>
      </c>
    </row>
    <row r="765" spans="3:8" ht="15" customHeight="1" outlineLevel="2">
      <c r="C765" s="27" t="s">
        <v>87</v>
      </c>
      <c r="F765" s="118"/>
      <c r="G765" s="168"/>
    </row>
    <row r="766" spans="3:8" ht="15" customHeight="1" outlineLevel="2">
      <c r="C766" s="27" t="s">
        <v>88</v>
      </c>
      <c r="D766" s="1">
        <v>10</v>
      </c>
      <c r="E766" s="117">
        <v>107.76</v>
      </c>
      <c r="F766" s="118">
        <f t="shared" si="528"/>
        <v>1077.6000000000001</v>
      </c>
      <c r="G766" s="168"/>
      <c r="H766" s="120" t="str">
        <f t="shared" ref="H766" si="530">+IF(OR($E766="",G766=""),"",$E766*G766)</f>
        <v/>
      </c>
    </row>
    <row r="767" spans="3:8" ht="15" customHeight="1" outlineLevel="2">
      <c r="C767" s="27" t="s">
        <v>89</v>
      </c>
      <c r="D767" s="1">
        <v>3</v>
      </c>
      <c r="E767" s="117">
        <v>107.76</v>
      </c>
      <c r="F767" s="118">
        <f t="shared" si="528"/>
        <v>323.28000000000003</v>
      </c>
      <c r="G767" s="168"/>
      <c r="H767" s="120" t="str">
        <f t="shared" ref="H767" si="531">+IF(OR($E767="",G767=""),"",$E767*G767)</f>
        <v/>
      </c>
    </row>
    <row r="768" spans="3:8" ht="22.5" outlineLevel="2">
      <c r="C768" s="27" t="s">
        <v>431</v>
      </c>
      <c r="D768" s="1">
        <v>87</v>
      </c>
      <c r="E768" s="117">
        <v>7.72</v>
      </c>
      <c r="F768" s="118">
        <f t="shared" si="528"/>
        <v>671.64</v>
      </c>
      <c r="G768" s="168"/>
      <c r="H768" s="120" t="str">
        <f t="shared" ref="H768" si="532">+IF(OR($E768="",G768=""),"",$E768*G768)</f>
        <v/>
      </c>
    </row>
    <row r="769" spans="2:8" s="7" customFormat="1" ht="15" customHeight="1" outlineLevel="2">
      <c r="B769" s="161"/>
      <c r="C769" s="144" t="s">
        <v>719</v>
      </c>
      <c r="D769" s="158"/>
      <c r="E769" s="159"/>
      <c r="F769" s="118"/>
      <c r="G769" s="168"/>
      <c r="H769" s="120"/>
    </row>
    <row r="770" spans="2:8" ht="78.75" outlineLevel="2">
      <c r="C770" s="27" t="s">
        <v>432</v>
      </c>
      <c r="F770" s="118"/>
      <c r="G770" s="168"/>
    </row>
    <row r="771" spans="2:8" ht="22.5" outlineLevel="2">
      <c r="C771" s="27" t="s">
        <v>79</v>
      </c>
      <c r="F771" s="118"/>
      <c r="G771" s="168"/>
    </row>
    <row r="772" spans="2:8" ht="22.5" outlineLevel="2">
      <c r="C772" s="27" t="s">
        <v>433</v>
      </c>
      <c r="D772" s="1">
        <v>10</v>
      </c>
      <c r="E772" s="117">
        <v>43.39</v>
      </c>
      <c r="F772" s="118">
        <f t="shared" si="528"/>
        <v>433.9</v>
      </c>
      <c r="G772" s="168"/>
      <c r="H772" s="120" t="str">
        <f t="shared" ref="H772" si="533">+IF(OR($E772="",G772=""),"",$E772*G772)</f>
        <v/>
      </c>
    </row>
    <row r="773" spans="2:8" ht="15" customHeight="1" outlineLevel="2">
      <c r="C773" s="27" t="s">
        <v>81</v>
      </c>
      <c r="F773" s="118"/>
      <c r="G773" s="168"/>
    </row>
    <row r="774" spans="2:8" ht="22.5" outlineLevel="2">
      <c r="C774" s="27" t="s">
        <v>433</v>
      </c>
      <c r="D774" s="1">
        <v>20</v>
      </c>
      <c r="E774" s="117">
        <v>20.72</v>
      </c>
      <c r="F774" s="118">
        <f t="shared" si="528"/>
        <v>414.4</v>
      </c>
      <c r="G774" s="168"/>
      <c r="H774" s="120" t="str">
        <f t="shared" ref="H774" si="534">+IF(OR($E774="",G774=""),"",$E774*G774)</f>
        <v/>
      </c>
    </row>
    <row r="775" spans="2:8" ht="90" outlineLevel="2">
      <c r="C775" s="27" t="s">
        <v>434</v>
      </c>
      <c r="D775" s="1">
        <v>1</v>
      </c>
      <c r="E775" s="117">
        <v>809.64</v>
      </c>
      <c r="F775" s="118">
        <f t="shared" si="528"/>
        <v>809.64</v>
      </c>
      <c r="G775" s="168"/>
      <c r="H775" s="120" t="str">
        <f t="shared" ref="H775" si="535">+IF(OR($E775="",G775=""),"",$E775*G775)</f>
        <v/>
      </c>
    </row>
    <row r="776" spans="2:8" s="7" customFormat="1" ht="15" customHeight="1" outlineLevel="2">
      <c r="B776" s="161"/>
      <c r="C776" s="144" t="s">
        <v>718</v>
      </c>
      <c r="D776" s="158"/>
      <c r="E776" s="159"/>
      <c r="F776" s="118"/>
      <c r="G776" s="168"/>
      <c r="H776" s="120"/>
    </row>
    <row r="777" spans="2:8" ht="67.5" outlineLevel="2">
      <c r="C777" s="27" t="s">
        <v>90</v>
      </c>
      <c r="F777" s="118"/>
      <c r="G777" s="168"/>
    </row>
    <row r="778" spans="2:8" ht="22.5" outlineLevel="2">
      <c r="C778" s="27" t="s">
        <v>435</v>
      </c>
      <c r="D778" s="1">
        <v>1</v>
      </c>
      <c r="E778" s="117">
        <v>11993.27</v>
      </c>
      <c r="F778" s="118">
        <f t="shared" si="528"/>
        <v>11993.27</v>
      </c>
      <c r="G778" s="168"/>
      <c r="H778" s="120" t="str">
        <f t="shared" ref="H778" si="536">+IF(OR($E778="",G778=""),"",$E778*G778)</f>
        <v/>
      </c>
    </row>
    <row r="779" spans="2:8" ht="90" outlineLevel="2">
      <c r="C779" s="27" t="s">
        <v>91</v>
      </c>
      <c r="F779" s="118"/>
      <c r="G779" s="168"/>
    </row>
    <row r="780" spans="2:8" ht="15" customHeight="1" outlineLevel="2">
      <c r="C780" s="27" t="s">
        <v>92</v>
      </c>
      <c r="D780" s="1">
        <v>12</v>
      </c>
      <c r="E780" s="117">
        <v>7.82</v>
      </c>
      <c r="F780" s="118">
        <f t="shared" si="528"/>
        <v>93.84</v>
      </c>
      <c r="G780" s="168"/>
      <c r="H780" s="120" t="str">
        <f t="shared" ref="H780" si="537">+IF(OR($E780="",G780=""),"",$E780*G780)</f>
        <v/>
      </c>
    </row>
    <row r="781" spans="2:8" ht="15" customHeight="1" outlineLevel="2">
      <c r="C781" s="27" t="s">
        <v>93</v>
      </c>
      <c r="D781" s="1">
        <v>10</v>
      </c>
      <c r="E781" s="117">
        <v>5.0599999999999996</v>
      </c>
      <c r="F781" s="118">
        <f t="shared" si="528"/>
        <v>50.599999999999994</v>
      </c>
      <c r="G781" s="168"/>
      <c r="H781" s="120" t="str">
        <f t="shared" ref="H781" si="538">+IF(OR($E781="",G781=""),"",$E781*G781)</f>
        <v/>
      </c>
    </row>
    <row r="782" spans="2:8" ht="15" customHeight="1" outlineLevel="2">
      <c r="C782" s="27" t="s">
        <v>94</v>
      </c>
      <c r="D782" s="1">
        <v>1150</v>
      </c>
      <c r="E782" s="117">
        <v>3.31</v>
      </c>
      <c r="F782" s="118">
        <f t="shared" si="528"/>
        <v>3806.5</v>
      </c>
      <c r="G782" s="168"/>
      <c r="H782" s="120" t="str">
        <f t="shared" ref="H782" si="539">+IF(OR($E782="",G782=""),"",$E782*G782)</f>
        <v/>
      </c>
    </row>
    <row r="783" spans="2:8" ht="15" customHeight="1" outlineLevel="2">
      <c r="C783" s="27" t="s">
        <v>95</v>
      </c>
      <c r="D783" s="1">
        <v>12</v>
      </c>
      <c r="E783" s="117">
        <v>7.09</v>
      </c>
      <c r="F783" s="118">
        <f t="shared" si="528"/>
        <v>85.08</v>
      </c>
      <c r="G783" s="168"/>
      <c r="H783" s="120" t="str">
        <f t="shared" ref="H783" si="540">+IF(OR($E783="",G783=""),"",$E783*G783)</f>
        <v/>
      </c>
    </row>
    <row r="784" spans="2:8" ht="22.5" outlineLevel="2">
      <c r="C784" s="27" t="s">
        <v>436</v>
      </c>
      <c r="D784" s="1">
        <v>1160</v>
      </c>
      <c r="E784" s="117">
        <v>2.76</v>
      </c>
      <c r="F784" s="118">
        <f t="shared" si="528"/>
        <v>3201.6</v>
      </c>
      <c r="G784" s="168"/>
      <c r="H784" s="120" t="str">
        <f t="shared" ref="H784" si="541">+IF(OR($E784="",G784=""),"",$E784*G784)</f>
        <v/>
      </c>
    </row>
    <row r="785" spans="1:8" s="7" customFormat="1" ht="15" customHeight="1" outlineLevel="2">
      <c r="B785" s="161"/>
      <c r="C785" s="144" t="s">
        <v>717</v>
      </c>
      <c r="D785" s="158"/>
      <c r="E785" s="159"/>
      <c r="F785" s="118"/>
      <c r="G785" s="168"/>
      <c r="H785" s="120"/>
    </row>
    <row r="786" spans="1:8" ht="78.75" outlineLevel="2">
      <c r="C786" s="27" t="s">
        <v>437</v>
      </c>
      <c r="F786" s="118"/>
      <c r="G786" s="168"/>
    </row>
    <row r="787" spans="1:8" ht="33.75" outlineLevel="2">
      <c r="C787" s="27" t="s">
        <v>438</v>
      </c>
      <c r="D787" s="1">
        <v>2</v>
      </c>
      <c r="E787" s="117">
        <v>106.75</v>
      </c>
      <c r="F787" s="118">
        <f t="shared" si="528"/>
        <v>213.5</v>
      </c>
      <c r="G787" s="168"/>
      <c r="H787" s="120" t="str">
        <f t="shared" ref="H787" si="542">+IF(OR($E787="",G787=""),"",$E787*G787)</f>
        <v/>
      </c>
    </row>
    <row r="788" spans="1:8" ht="33.75" outlineLevel="2">
      <c r="C788" s="27" t="s">
        <v>439</v>
      </c>
      <c r="D788" s="1">
        <v>2</v>
      </c>
      <c r="E788" s="117">
        <v>128.18</v>
      </c>
      <c r="F788" s="118">
        <f t="shared" si="528"/>
        <v>256.36</v>
      </c>
      <c r="G788" s="168"/>
      <c r="H788" s="120" t="str">
        <f t="shared" ref="H788" si="543">+IF(OR($E788="",G788=""),"",$E788*G788)</f>
        <v/>
      </c>
    </row>
    <row r="789" spans="1:8" ht="22.5" outlineLevel="2">
      <c r="C789" s="27" t="s">
        <v>440</v>
      </c>
      <c r="F789" s="118"/>
      <c r="G789" s="168"/>
    </row>
    <row r="790" spans="1:8" ht="67.5" outlineLevel="2">
      <c r="C790" s="27" t="s">
        <v>687</v>
      </c>
      <c r="D790" s="1">
        <v>1</v>
      </c>
      <c r="E790" s="117">
        <v>566.27</v>
      </c>
      <c r="F790" s="118">
        <f t="shared" si="528"/>
        <v>566.27</v>
      </c>
      <c r="G790" s="168"/>
      <c r="H790" s="120" t="str">
        <f t="shared" ref="H790" si="544">+IF(OR($E790="",G790=""),"",$E790*G790)</f>
        <v/>
      </c>
    </row>
    <row r="791" spans="1:8" s="7" customFormat="1" ht="15" customHeight="1" outlineLevel="2">
      <c r="B791" s="161"/>
      <c r="C791" s="144" t="s">
        <v>716</v>
      </c>
      <c r="D791" s="158"/>
      <c r="E791" s="159"/>
      <c r="F791" s="118"/>
      <c r="G791" s="168"/>
      <c r="H791" s="120"/>
    </row>
    <row r="792" spans="1:8" ht="22.5" outlineLevel="2">
      <c r="C792" s="27" t="s">
        <v>444</v>
      </c>
      <c r="D792" s="1">
        <v>2</v>
      </c>
      <c r="E792" s="117">
        <v>566.27</v>
      </c>
      <c r="F792" s="118">
        <f t="shared" si="528"/>
        <v>1132.54</v>
      </c>
      <c r="G792" s="168"/>
      <c r="H792" s="120" t="str">
        <f t="shared" ref="H792" si="545">+IF(OR($E792="",G792=""),"",$E792*G792)</f>
        <v/>
      </c>
    </row>
    <row r="793" spans="1:8" ht="22.5" outlineLevel="2">
      <c r="C793" s="27" t="s">
        <v>445</v>
      </c>
      <c r="D793" s="1">
        <v>3</v>
      </c>
      <c r="E793" s="117">
        <v>655</v>
      </c>
      <c r="F793" s="118">
        <f t="shared" si="528"/>
        <v>1965</v>
      </c>
      <c r="G793" s="168"/>
      <c r="H793" s="120" t="str">
        <f t="shared" ref="H793" si="546">+IF(OR($E793="",G793=""),"",$E793*G793)</f>
        <v/>
      </c>
    </row>
    <row r="794" spans="1:8" ht="22.5" outlineLevel="2">
      <c r="C794" s="27" t="s">
        <v>441</v>
      </c>
      <c r="D794" s="1">
        <v>1</v>
      </c>
      <c r="E794" s="117">
        <v>2112.38</v>
      </c>
      <c r="F794" s="118">
        <f t="shared" si="528"/>
        <v>2112.38</v>
      </c>
      <c r="G794" s="168"/>
      <c r="H794" s="120" t="str">
        <f t="shared" ref="H794" si="547">+IF(OR($E794="",G794=""),"",$E794*G794)</f>
        <v/>
      </c>
    </row>
    <row r="795" spans="1:8" s="7" customFormat="1" ht="22.5" outlineLevel="2">
      <c r="B795" s="161"/>
      <c r="C795" s="162" t="s">
        <v>442</v>
      </c>
      <c r="D795" s="158"/>
      <c r="E795" s="159"/>
      <c r="F795" s="118"/>
      <c r="G795" s="168"/>
      <c r="H795" s="120"/>
    </row>
    <row r="796" spans="1:8" ht="33.75" outlineLevel="2">
      <c r="C796" s="27" t="s">
        <v>443</v>
      </c>
      <c r="D796" s="1">
        <v>1</v>
      </c>
      <c r="E796" s="117">
        <v>1037.51</v>
      </c>
      <c r="F796" s="118">
        <f t="shared" ref="F796:F797" si="548">+D796*E796</f>
        <v>1037.51</v>
      </c>
      <c r="G796" s="168"/>
      <c r="H796" s="120" t="str">
        <f t="shared" ref="H796" si="549">+IF(OR($E796="",G796=""),"",$E796*G796)</f>
        <v/>
      </c>
    </row>
    <row r="797" spans="1:8" ht="22.5" outlineLevel="2">
      <c r="B797" s="8"/>
      <c r="C797" s="163" t="s">
        <v>263</v>
      </c>
      <c r="D797" s="10">
        <v>1</v>
      </c>
      <c r="E797" s="100">
        <v>708.3</v>
      </c>
      <c r="F797" s="164">
        <f t="shared" si="548"/>
        <v>708.3</v>
      </c>
      <c r="G797" s="176"/>
      <c r="H797" s="101" t="str">
        <f t="shared" ref="H797" si="550">+IF(OR($E797="",G797=""),"",$E797*G797)</f>
        <v/>
      </c>
    </row>
    <row r="798" spans="1:8" s="4" customFormat="1">
      <c r="A798" s="3"/>
      <c r="B798" s="12"/>
      <c r="C798" s="13"/>
      <c r="D798" s="14"/>
      <c r="E798" s="165"/>
      <c r="F798" s="166"/>
      <c r="G798" s="14"/>
      <c r="H798" s="166"/>
    </row>
    <row r="799" spans="1:8" s="4" customFormat="1">
      <c r="A799" s="3"/>
      <c r="C799" s="2"/>
      <c r="D799" s="1"/>
      <c r="E799" s="117"/>
      <c r="F799" s="120"/>
      <c r="G799" s="1"/>
      <c r="H799" s="120"/>
    </row>
    <row r="800" spans="1:8" s="4" customFormat="1">
      <c r="A800" s="3"/>
      <c r="C800" s="2"/>
      <c r="D800" s="1"/>
      <c r="E800" s="117"/>
      <c r="F800" s="120"/>
      <c r="G800" s="1"/>
      <c r="H800" s="120"/>
    </row>
    <row r="801" spans="1:8" s="4" customFormat="1">
      <c r="A801" s="3"/>
      <c r="C801" s="2"/>
      <c r="D801" s="1"/>
      <c r="E801" s="117"/>
      <c r="F801" s="120"/>
      <c r="G801" s="1"/>
      <c r="H801" s="120"/>
    </row>
    <row r="802" spans="1:8" s="4" customFormat="1">
      <c r="A802" s="3"/>
      <c r="C802" s="2"/>
      <c r="D802" s="1"/>
      <c r="E802" s="117"/>
      <c r="F802" s="120"/>
      <c r="G802" s="1"/>
      <c r="H802" s="120"/>
    </row>
    <row r="803" spans="1:8" s="4" customFormat="1">
      <c r="A803" s="3"/>
      <c r="C803" s="2"/>
      <c r="D803" s="1"/>
      <c r="E803" s="117"/>
      <c r="F803" s="120"/>
      <c r="G803" s="1"/>
      <c r="H803" s="120"/>
    </row>
    <row r="804" spans="1:8" s="4" customFormat="1">
      <c r="A804" s="3"/>
      <c r="C804" s="2"/>
      <c r="D804" s="1"/>
      <c r="E804" s="117"/>
      <c r="F804" s="120"/>
      <c r="G804" s="1"/>
      <c r="H804" s="120"/>
    </row>
    <row r="805" spans="1:8" s="4" customFormat="1">
      <c r="A805" s="3"/>
      <c r="C805" s="2"/>
      <c r="D805" s="1"/>
      <c r="E805" s="117"/>
      <c r="F805" s="120"/>
      <c r="G805" s="1"/>
      <c r="H805" s="120"/>
    </row>
    <row r="806" spans="1:8" s="4" customFormat="1">
      <c r="A806" s="3"/>
      <c r="C806" s="2"/>
      <c r="D806" s="1"/>
      <c r="E806" s="117"/>
      <c r="F806" s="120"/>
      <c r="G806" s="1"/>
      <c r="H806" s="120"/>
    </row>
    <row r="807" spans="1:8" s="4" customFormat="1">
      <c r="A807" s="3"/>
      <c r="C807" s="2"/>
      <c r="D807" s="1"/>
      <c r="E807" s="117"/>
      <c r="F807" s="120"/>
      <c r="G807" s="1"/>
      <c r="H807" s="120"/>
    </row>
  </sheetData>
  <autoFilter ref="B6:H797" xr:uid="{B8D26788-2DDB-44FD-B1EB-B388FA279A86}"/>
  <mergeCells count="8">
    <mergeCell ref="G4:H4"/>
    <mergeCell ref="B1:C1"/>
    <mergeCell ref="C2:H2"/>
    <mergeCell ref="B4:B5"/>
    <mergeCell ref="C4:C5"/>
    <mergeCell ref="D4:D5"/>
    <mergeCell ref="E4:E5"/>
    <mergeCell ref="F4:F5"/>
  </mergeCells>
  <printOptions horizontalCentered="1"/>
  <pageMargins left="0.11811023622047245" right="0.11811023622047245" top="0.19685039370078741" bottom="0.19685039370078741" header="0" footer="7.874015748031496E-2"/>
  <pageSetup paperSize="9" scale="86" fitToHeight="0" orientation="portrait" r:id="rId1"/>
  <headerFooter>
    <oddFooter>&amp;L&amp;"Calibri,Negrito"&amp;8LSD  |  Largo de São Domingos&amp;C&amp;"Calibri,Negrito"&amp;8&amp;D&amp;R&amp;"Calibri,Negrito"&amp;8&amp;P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D8FF-75B1-49C8-BB06-CF43DCF709BD}">
  <sheetPr>
    <tabColor theme="6" tint="0.39997558519241921"/>
    <outlinePr summaryBelow="0"/>
    <pageSetUpPr fitToPage="1"/>
  </sheetPr>
  <dimension ref="A1:CO361"/>
  <sheetViews>
    <sheetView showGridLines="0" zoomScaleNormal="100" zoomScaleSheetLayoutView="100" workbookViewId="0">
      <selection activeCell="AE6" sqref="AE6"/>
    </sheetView>
  </sheetViews>
  <sheetFormatPr defaultColWidth="0" defaultRowHeight="11.25" zeroHeight="1" outlineLevelRow="1" outlineLevelCol="1"/>
  <cols>
    <col min="1" max="1" width="2.7109375" style="3" customWidth="1"/>
    <col min="2" max="2" width="4.5703125" style="4" customWidth="1"/>
    <col min="3" max="3" width="30.5703125" style="2" customWidth="1"/>
    <col min="4" max="4" width="6.85546875" style="55" bestFit="1" customWidth="1"/>
    <col min="5" max="5" width="4" style="88" customWidth="1"/>
    <col min="6" max="6" width="8.5703125" style="56" customWidth="1"/>
    <col min="7" max="7" width="10.85546875" style="59" bestFit="1" customWidth="1"/>
    <col min="8" max="8" width="6.5703125" style="58" hidden="1" customWidth="1" outlineLevel="1"/>
    <col min="9" max="9" width="10" style="59" hidden="1" customWidth="1" outlineLevel="1"/>
    <col min="10" max="10" width="6.5703125" style="55" hidden="1" customWidth="1" outlineLevel="1"/>
    <col min="11" max="11" width="10" style="59" hidden="1" customWidth="1" outlineLevel="1"/>
    <col min="12" max="12" width="6.5703125" style="55" hidden="1" customWidth="1" outlineLevel="1"/>
    <col min="13" max="13" width="10" style="59" hidden="1" customWidth="1" outlineLevel="1"/>
    <col min="14" max="14" width="6.5703125" style="55" hidden="1" customWidth="1" outlineLevel="1"/>
    <col min="15" max="15" width="10" style="59" hidden="1" customWidth="1" outlineLevel="1"/>
    <col min="16" max="16" width="6.5703125" style="55" hidden="1" customWidth="1" outlineLevel="1"/>
    <col min="17" max="17" width="10" style="59" hidden="1" customWidth="1" outlineLevel="1"/>
    <col min="18" max="18" width="6.5703125" style="55" hidden="1" customWidth="1" outlineLevel="1"/>
    <col min="19" max="19" width="10" style="59" hidden="1" customWidth="1" outlineLevel="1"/>
    <col min="20" max="20" width="6.5703125" style="55" hidden="1" customWidth="1" outlineLevel="1"/>
    <col min="21" max="21" width="10" style="59" hidden="1" customWidth="1" outlineLevel="1"/>
    <col min="22" max="22" width="6.5703125" style="55" hidden="1" customWidth="1" outlineLevel="1"/>
    <col min="23" max="23" width="10" style="59" hidden="1" customWidth="1" outlineLevel="1"/>
    <col min="24" max="24" width="6.5703125" style="55" hidden="1" customWidth="1" outlineLevel="1"/>
    <col min="25" max="25" width="10" style="59" hidden="1" customWidth="1" outlineLevel="1"/>
    <col min="26" max="26" width="6.5703125" style="55" hidden="1" customWidth="1" outlineLevel="1"/>
    <col min="27" max="27" width="10" style="59" hidden="1" customWidth="1" outlineLevel="1"/>
    <col min="28" max="28" width="6.5703125" style="55" customWidth="1" collapsed="1"/>
    <col min="29" max="29" width="10" style="59" customWidth="1"/>
    <col min="30" max="30" width="6.5703125" style="55" customWidth="1" outlineLevel="1"/>
    <col min="31" max="31" width="10" style="59" customWidth="1" outlineLevel="1"/>
    <col min="32" max="32" width="6.5703125" style="55" customWidth="1" outlineLevel="1"/>
    <col min="33" max="33" width="10" style="59" customWidth="1" outlineLevel="1"/>
    <col min="34" max="34" width="6.5703125" style="55" customWidth="1"/>
    <col min="35" max="35" width="10" style="59" customWidth="1"/>
    <col min="36" max="36" width="6.5703125" style="55" hidden="1" customWidth="1" outlineLevel="1"/>
    <col min="37" max="37" width="10" style="59" hidden="1" customWidth="1" outlineLevel="1"/>
    <col min="38" max="38" width="6.5703125" style="55" hidden="1" customWidth="1" outlineLevel="1"/>
    <col min="39" max="39" width="10" style="59" hidden="1" customWidth="1" outlineLevel="1"/>
    <col min="40" max="40" width="6.5703125" style="55" hidden="1" customWidth="1" outlineLevel="1"/>
    <col min="41" max="41" width="10" style="59" hidden="1" customWidth="1" outlineLevel="1"/>
    <col min="42" max="42" width="6.5703125" style="55" hidden="1" customWidth="1" outlineLevel="1"/>
    <col min="43" max="43" width="10" style="59" hidden="1" customWidth="1" outlineLevel="1"/>
    <col min="44" max="44" width="6.5703125" style="55" hidden="1" customWidth="1" outlineLevel="1"/>
    <col min="45" max="45" width="10" style="59" hidden="1" customWidth="1" outlineLevel="1"/>
    <col min="46" max="46" width="6.5703125" style="55" hidden="1" customWidth="1" outlineLevel="1"/>
    <col min="47" max="47" width="10" style="59" hidden="1" customWidth="1" outlineLevel="1"/>
    <col min="48" max="48" width="6.5703125" style="55" hidden="1" customWidth="1" outlineLevel="1"/>
    <col min="49" max="49" width="10" style="59" hidden="1" customWidth="1" outlineLevel="1"/>
    <col min="50" max="50" width="6.5703125" style="55" hidden="1" customWidth="1" outlineLevel="1"/>
    <col min="51" max="51" width="10" style="59" hidden="1" customWidth="1" outlineLevel="1"/>
    <col min="52" max="52" width="6.5703125" style="55" hidden="1" customWidth="1" outlineLevel="1"/>
    <col min="53" max="53" width="10" style="59" hidden="1" customWidth="1" outlineLevel="1"/>
    <col min="54" max="54" width="6.5703125" style="55" hidden="1" customWidth="1" outlineLevel="1"/>
    <col min="55" max="55" width="10" style="59" hidden="1" customWidth="1" outlineLevel="1"/>
    <col min="56" max="56" width="7.140625" style="55" bestFit="1" customWidth="1" collapsed="1"/>
    <col min="57" max="57" width="10.140625" style="59" customWidth="1"/>
    <col min="58" max="58" width="6.85546875" style="55" bestFit="1" customWidth="1"/>
    <col min="59" max="59" width="10.85546875" style="59" bestFit="1" customWidth="1"/>
    <col min="60" max="60" width="30.7109375" style="3" hidden="1" customWidth="1"/>
    <col min="61" max="84" width="6.5703125" style="1" hidden="1" customWidth="1" outlineLevel="1"/>
    <col min="85" max="85" width="10.7109375" style="3" customWidth="1" collapsed="1"/>
    <col min="86" max="88" width="9.140625" style="3" hidden="1" customWidth="1"/>
    <col min="89" max="93" width="0" style="3" hidden="1" customWidth="1"/>
    <col min="94" max="16384" width="9.140625" style="3" hidden="1"/>
  </cols>
  <sheetData>
    <row r="1" spans="2:86" s="7" customFormat="1" ht="25.9" customHeight="1">
      <c r="B1" s="20"/>
      <c r="C1" s="20"/>
      <c r="D1" s="30"/>
      <c r="E1" s="82"/>
      <c r="F1" s="31"/>
      <c r="G1" s="32"/>
      <c r="H1" s="30"/>
      <c r="I1" s="32"/>
      <c r="J1" s="33"/>
      <c r="K1" s="32"/>
      <c r="L1" s="33"/>
      <c r="M1" s="32"/>
      <c r="N1" s="33"/>
      <c r="O1" s="32"/>
      <c r="P1" s="33"/>
      <c r="Q1" s="32"/>
      <c r="R1" s="33"/>
      <c r="S1" s="32"/>
      <c r="T1" s="33"/>
      <c r="U1" s="32"/>
      <c r="V1" s="33"/>
      <c r="W1" s="32"/>
      <c r="X1" s="33"/>
      <c r="Y1" s="32"/>
      <c r="Z1" s="33"/>
      <c r="AA1" s="32"/>
      <c r="AB1" s="33"/>
      <c r="AC1" s="32"/>
      <c r="AD1" s="33"/>
      <c r="AE1" s="32"/>
      <c r="AF1" s="33"/>
      <c r="AG1" s="32"/>
      <c r="AH1" s="33"/>
      <c r="AI1" s="32"/>
      <c r="AJ1" s="33"/>
      <c r="AK1" s="32"/>
      <c r="AL1" s="33"/>
      <c r="AM1" s="32"/>
      <c r="AN1" s="33"/>
      <c r="AO1" s="32"/>
      <c r="AP1" s="33"/>
      <c r="AQ1" s="32"/>
      <c r="AR1" s="33"/>
      <c r="AS1" s="32"/>
      <c r="AT1" s="33"/>
      <c r="AU1" s="32"/>
      <c r="AV1" s="33"/>
      <c r="AW1" s="32"/>
      <c r="AX1" s="33"/>
      <c r="AY1" s="32"/>
      <c r="AZ1" s="33"/>
      <c r="BA1" s="32"/>
      <c r="BB1" s="33"/>
      <c r="BC1" s="32"/>
      <c r="BD1" s="30"/>
      <c r="BE1" s="32"/>
      <c r="BF1" s="30"/>
      <c r="BG1" s="3"/>
      <c r="BI1" s="22"/>
      <c r="BJ1" s="22"/>
      <c r="BK1" s="22"/>
      <c r="BL1" s="22"/>
      <c r="BM1" s="22"/>
      <c r="BN1" s="22"/>
      <c r="BO1" s="22"/>
      <c r="BP1" s="22"/>
      <c r="BQ1" s="22"/>
      <c r="BR1" s="22"/>
      <c r="BS1" s="22"/>
      <c r="BT1" s="22"/>
      <c r="BU1" s="22"/>
      <c r="BV1" s="22"/>
      <c r="BW1" s="22"/>
      <c r="BX1" s="22"/>
      <c r="BY1" s="22"/>
      <c r="BZ1" s="22"/>
      <c r="CA1" s="22"/>
      <c r="CB1" s="22"/>
      <c r="CC1" s="22"/>
      <c r="CD1" s="22"/>
      <c r="CE1" s="22"/>
      <c r="CF1" s="22"/>
    </row>
    <row r="2" spans="2:86" ht="39.75" customHeight="1">
      <c r="B2" s="11" t="e" vm="1">
        <v>#VALUE!</v>
      </c>
      <c r="C2" s="232" t="s">
        <v>688</v>
      </c>
      <c r="D2" s="232"/>
      <c r="E2" s="232"/>
      <c r="F2" s="232"/>
      <c r="G2" s="232"/>
      <c r="H2" s="232"/>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row>
    <row r="3" spans="2:86" ht="15" customHeight="1">
      <c r="B3" s="8"/>
      <c r="C3" s="9"/>
      <c r="D3" s="34"/>
      <c r="E3" s="83"/>
      <c r="F3" s="35"/>
      <c r="G3" s="36"/>
      <c r="H3" s="37"/>
      <c r="I3" s="36"/>
      <c r="J3" s="34"/>
      <c r="K3" s="36"/>
      <c r="L3" s="34"/>
      <c r="M3" s="36"/>
      <c r="N3" s="34"/>
      <c r="O3" s="36"/>
      <c r="P3" s="34"/>
      <c r="Q3" s="36"/>
      <c r="R3" s="34"/>
      <c r="S3" s="36"/>
      <c r="T3" s="34"/>
      <c r="U3" s="36"/>
      <c r="V3" s="37"/>
      <c r="W3" s="36"/>
      <c r="X3" s="34"/>
      <c r="Y3" s="36"/>
      <c r="Z3" s="34"/>
      <c r="AA3" s="36"/>
      <c r="AB3" s="216"/>
      <c r="AC3" s="217" t="s">
        <v>1038</v>
      </c>
      <c r="AD3" s="34"/>
      <c r="AE3" s="36"/>
      <c r="AF3" s="34"/>
      <c r="AG3" s="36"/>
      <c r="AH3" s="34"/>
      <c r="AI3" s="36"/>
      <c r="AJ3" s="34"/>
      <c r="AK3" s="36"/>
      <c r="AL3" s="34"/>
      <c r="AM3" s="36"/>
      <c r="AN3" s="34"/>
      <c r="AO3" s="36"/>
      <c r="AP3" s="34"/>
      <c r="AQ3" s="36"/>
      <c r="AR3" s="34"/>
      <c r="AS3" s="36"/>
      <c r="AT3" s="34"/>
      <c r="AU3" s="36"/>
      <c r="AV3" s="34"/>
      <c r="AW3" s="36"/>
      <c r="AX3" s="34"/>
      <c r="AY3" s="36"/>
      <c r="AZ3" s="34"/>
      <c r="BA3" s="36"/>
      <c r="BB3" s="34"/>
      <c r="BC3" s="36"/>
      <c r="BD3" s="34"/>
      <c r="BE3" s="36"/>
      <c r="BF3" s="34"/>
      <c r="BG3" s="36"/>
      <c r="BI3" s="10"/>
      <c r="BJ3" s="10"/>
      <c r="BK3" s="10"/>
      <c r="BL3" s="10"/>
      <c r="BM3" s="10"/>
      <c r="BN3" s="10"/>
      <c r="BO3" s="10"/>
      <c r="BP3" s="10"/>
      <c r="BQ3" s="10"/>
      <c r="BR3" s="10"/>
      <c r="BS3" s="10"/>
      <c r="BT3" s="10"/>
      <c r="BU3" s="10"/>
      <c r="BV3" s="10"/>
      <c r="BW3" s="10"/>
      <c r="BX3" s="10"/>
      <c r="BY3" s="10"/>
      <c r="BZ3" s="10"/>
      <c r="CA3" s="10"/>
      <c r="CB3" s="10"/>
      <c r="CC3" s="10"/>
      <c r="CD3" s="10"/>
      <c r="CE3" s="10"/>
      <c r="CF3" s="10"/>
    </row>
    <row r="4" spans="2:86" s="6" customFormat="1" ht="18" customHeight="1">
      <c r="B4" s="233" t="s">
        <v>733</v>
      </c>
      <c r="C4" s="235" t="s">
        <v>0</v>
      </c>
      <c r="D4" s="247" t="s">
        <v>282</v>
      </c>
      <c r="E4" s="248"/>
      <c r="F4" s="252" t="s">
        <v>264</v>
      </c>
      <c r="G4" s="254" t="s">
        <v>265</v>
      </c>
      <c r="H4" s="244" t="s">
        <v>787</v>
      </c>
      <c r="I4" s="244"/>
      <c r="J4" s="230" t="s">
        <v>788</v>
      </c>
      <c r="K4" s="256"/>
      <c r="L4" s="230" t="s">
        <v>789</v>
      </c>
      <c r="M4" s="256"/>
      <c r="N4" s="229" t="s">
        <v>790</v>
      </c>
      <c r="O4" s="229"/>
      <c r="P4" s="229" t="s">
        <v>791</v>
      </c>
      <c r="Q4" s="229"/>
      <c r="R4" s="229" t="s">
        <v>792</v>
      </c>
      <c r="S4" s="229"/>
      <c r="T4" s="229" t="s">
        <v>793</v>
      </c>
      <c r="U4" s="229"/>
      <c r="V4" s="229" t="s">
        <v>829</v>
      </c>
      <c r="W4" s="229"/>
      <c r="X4" s="229" t="s">
        <v>830</v>
      </c>
      <c r="Y4" s="229"/>
      <c r="Z4" s="229" t="s">
        <v>831</v>
      </c>
      <c r="AA4" s="229"/>
      <c r="AB4" s="246" t="s">
        <v>833</v>
      </c>
      <c r="AC4" s="246"/>
      <c r="AD4" s="229" t="s">
        <v>837</v>
      </c>
      <c r="AE4" s="229"/>
      <c r="AF4" s="229" t="s">
        <v>845</v>
      </c>
      <c r="AG4" s="229"/>
      <c r="AH4" s="229" t="s">
        <v>1018</v>
      </c>
      <c r="AI4" s="229"/>
      <c r="AJ4" s="229" t="s">
        <v>723</v>
      </c>
      <c r="AK4" s="229"/>
      <c r="AL4" s="229" t="s">
        <v>724</v>
      </c>
      <c r="AM4" s="229"/>
      <c r="AN4" s="229" t="s">
        <v>725</v>
      </c>
      <c r="AO4" s="229"/>
      <c r="AP4" s="229" t="s">
        <v>726</v>
      </c>
      <c r="AQ4" s="229"/>
      <c r="AR4" s="229" t="s">
        <v>727</v>
      </c>
      <c r="AS4" s="229"/>
      <c r="AT4" s="229" t="s">
        <v>728</v>
      </c>
      <c r="AU4" s="229"/>
      <c r="AV4" s="229" t="s">
        <v>729</v>
      </c>
      <c r="AW4" s="229"/>
      <c r="AX4" s="229" t="s">
        <v>730</v>
      </c>
      <c r="AY4" s="229"/>
      <c r="AZ4" s="229" t="s">
        <v>731</v>
      </c>
      <c r="BA4" s="229"/>
      <c r="BB4" s="251" t="s">
        <v>732</v>
      </c>
      <c r="BC4" s="245"/>
      <c r="BD4" s="245" t="s">
        <v>832</v>
      </c>
      <c r="BE4" s="243"/>
      <c r="BF4" s="243" t="s">
        <v>722</v>
      </c>
      <c r="BG4" s="244"/>
      <c r="BH4" s="178" t="s">
        <v>838</v>
      </c>
      <c r="BI4" s="23"/>
      <c r="BJ4" s="23"/>
      <c r="BK4" s="23"/>
      <c r="BL4" s="23"/>
      <c r="BM4" s="23"/>
      <c r="BN4" s="23"/>
      <c r="BO4" s="23"/>
      <c r="BP4" s="23"/>
      <c r="BQ4" s="23"/>
      <c r="BR4" s="23"/>
      <c r="BS4" s="23"/>
      <c r="BT4" s="23"/>
      <c r="BU4" s="23"/>
      <c r="BV4" s="23"/>
      <c r="BW4" s="23"/>
      <c r="BX4" s="23"/>
      <c r="BY4" s="23"/>
      <c r="BZ4" s="23"/>
      <c r="CA4" s="23"/>
      <c r="CB4" s="23"/>
      <c r="CC4" s="23"/>
      <c r="CD4" s="23"/>
      <c r="CE4" s="23"/>
      <c r="CF4" s="23"/>
      <c r="CG4" s="243" t="s">
        <v>1030</v>
      </c>
      <c r="CH4" s="244"/>
    </row>
    <row r="5" spans="2:86" s="5" customFormat="1" ht="18" customHeight="1">
      <c r="B5" s="234"/>
      <c r="C5" s="236"/>
      <c r="D5" s="249"/>
      <c r="E5" s="250"/>
      <c r="F5" s="253"/>
      <c r="G5" s="255"/>
      <c r="H5" s="38" t="s">
        <v>282</v>
      </c>
      <c r="I5" s="39" t="s">
        <v>265</v>
      </c>
      <c r="J5" s="40" t="s">
        <v>282</v>
      </c>
      <c r="K5" s="41" t="s">
        <v>265</v>
      </c>
      <c r="L5" s="40" t="s">
        <v>282</v>
      </c>
      <c r="M5" s="41" t="s">
        <v>265</v>
      </c>
      <c r="N5" s="40" t="s">
        <v>282</v>
      </c>
      <c r="O5" s="41" t="s">
        <v>265</v>
      </c>
      <c r="P5" s="40" t="s">
        <v>282</v>
      </c>
      <c r="Q5" s="41" t="s">
        <v>265</v>
      </c>
      <c r="R5" s="40" t="s">
        <v>282</v>
      </c>
      <c r="S5" s="41" t="s">
        <v>265</v>
      </c>
      <c r="T5" s="40" t="s">
        <v>282</v>
      </c>
      <c r="U5" s="41" t="s">
        <v>265</v>
      </c>
      <c r="V5" s="40" t="s">
        <v>282</v>
      </c>
      <c r="W5" s="41" t="s">
        <v>265</v>
      </c>
      <c r="X5" s="40" t="s">
        <v>282</v>
      </c>
      <c r="Y5" s="41" t="s">
        <v>265</v>
      </c>
      <c r="Z5" s="40" t="s">
        <v>282</v>
      </c>
      <c r="AA5" s="41" t="s">
        <v>265</v>
      </c>
      <c r="AB5" s="40" t="s">
        <v>282</v>
      </c>
      <c r="AC5" s="41" t="s">
        <v>265</v>
      </c>
      <c r="AD5" s="40" t="s">
        <v>282</v>
      </c>
      <c r="AE5" s="41" t="s">
        <v>265</v>
      </c>
      <c r="AF5" s="40" t="s">
        <v>282</v>
      </c>
      <c r="AG5" s="41" t="s">
        <v>265</v>
      </c>
      <c r="AH5" s="40" t="s">
        <v>282</v>
      </c>
      <c r="AI5" s="41" t="s">
        <v>265</v>
      </c>
      <c r="AJ5" s="40" t="s">
        <v>282</v>
      </c>
      <c r="AK5" s="41" t="s">
        <v>265</v>
      </c>
      <c r="AL5" s="40" t="s">
        <v>282</v>
      </c>
      <c r="AM5" s="41" t="s">
        <v>265</v>
      </c>
      <c r="AN5" s="40" t="s">
        <v>282</v>
      </c>
      <c r="AO5" s="41" t="s">
        <v>265</v>
      </c>
      <c r="AP5" s="40" t="s">
        <v>282</v>
      </c>
      <c r="AQ5" s="41" t="s">
        <v>265</v>
      </c>
      <c r="AR5" s="40" t="s">
        <v>282</v>
      </c>
      <c r="AS5" s="41" t="s">
        <v>265</v>
      </c>
      <c r="AT5" s="40" t="s">
        <v>282</v>
      </c>
      <c r="AU5" s="41" t="s">
        <v>265</v>
      </c>
      <c r="AV5" s="40" t="s">
        <v>282</v>
      </c>
      <c r="AW5" s="41" t="s">
        <v>265</v>
      </c>
      <c r="AX5" s="40" t="s">
        <v>282</v>
      </c>
      <c r="AY5" s="41" t="s">
        <v>265</v>
      </c>
      <c r="AZ5" s="40" t="s">
        <v>282</v>
      </c>
      <c r="BA5" s="41" t="s">
        <v>265</v>
      </c>
      <c r="BB5" s="40" t="s">
        <v>282</v>
      </c>
      <c r="BC5" s="42" t="s">
        <v>265</v>
      </c>
      <c r="BD5" s="43" t="s">
        <v>282</v>
      </c>
      <c r="BE5" s="39" t="s">
        <v>265</v>
      </c>
      <c r="BF5" s="43" t="s">
        <v>282</v>
      </c>
      <c r="BG5" s="39" t="s">
        <v>265</v>
      </c>
      <c r="BI5" s="16" t="s">
        <v>282</v>
      </c>
      <c r="BJ5" s="16" t="s">
        <v>282</v>
      </c>
      <c r="BK5" s="16" t="s">
        <v>282</v>
      </c>
      <c r="BL5" s="16" t="s">
        <v>282</v>
      </c>
      <c r="BM5" s="16" t="s">
        <v>282</v>
      </c>
      <c r="BN5" s="16" t="s">
        <v>282</v>
      </c>
      <c r="BO5" s="16" t="s">
        <v>282</v>
      </c>
      <c r="BP5" s="16" t="s">
        <v>282</v>
      </c>
      <c r="BQ5" s="16" t="s">
        <v>282</v>
      </c>
      <c r="BR5" s="16" t="s">
        <v>282</v>
      </c>
      <c r="BS5" s="16" t="s">
        <v>282</v>
      </c>
      <c r="BT5" s="16" t="s">
        <v>282</v>
      </c>
      <c r="BU5" s="16" t="s">
        <v>282</v>
      </c>
      <c r="BV5" s="16" t="s">
        <v>282</v>
      </c>
      <c r="BW5" s="16" t="s">
        <v>282</v>
      </c>
      <c r="BX5" s="16" t="s">
        <v>282</v>
      </c>
      <c r="BY5" s="16" t="s">
        <v>282</v>
      </c>
      <c r="BZ5" s="16" t="s">
        <v>282</v>
      </c>
      <c r="CA5" s="16" t="s">
        <v>282</v>
      </c>
      <c r="CB5" s="16" t="s">
        <v>282</v>
      </c>
      <c r="CC5" s="16" t="s">
        <v>282</v>
      </c>
      <c r="CD5" s="16" t="s">
        <v>282</v>
      </c>
      <c r="CE5" s="16" t="s">
        <v>282</v>
      </c>
      <c r="CF5" s="16" t="s">
        <v>282</v>
      </c>
    </row>
    <row r="6" spans="2:86" s="5" customFormat="1" ht="18" customHeight="1">
      <c r="B6" s="17" t="s">
        <v>736</v>
      </c>
      <c r="C6" s="24" t="s">
        <v>737</v>
      </c>
      <c r="D6" s="38"/>
      <c r="E6" s="84"/>
      <c r="F6" s="44"/>
      <c r="G6" s="45">
        <f>+SUM(G7,G9,G12,G22,G25,G59,G61,G63,G65,G68,G57,G32,G105,G107,G110,G144,G181,G185,G189,G192,G197,G202,G207,G266,G269,G271,G284,G304)</f>
        <v>217958.59839444904</v>
      </c>
      <c r="H6" s="46"/>
      <c r="I6" s="47">
        <f>+SUM(I7,I9,I12,I22,I25,I59,I61,I63,I65,I68,I57,I32,I105,I107,I110,I144,I181,I185,I189,I192,I197,I202,I207,I266,I269,I271,I284,I304)</f>
        <v>5771.4299999999994</v>
      </c>
      <c r="J6" s="48"/>
      <c r="K6" s="47">
        <f>+SUM(K7,K9,K12,K22,K25,K59,K61,K63,K65,K68,K57,K32,K105,K107,K110,K144,K181,K185,K189,K192,K197,K202,K207,K266,K269,K271,K284,K304)</f>
        <v>8148</v>
      </c>
      <c r="L6" s="48"/>
      <c r="M6" s="47">
        <f>+SUM(M7,M9,M12,M22,M25,M59,M61,M63,M65,M68,M57,M32,M105,M107,M110,M144,M181,M185,M189,M192,M197,M202,M207,M266,M269,M271,M284,M304)</f>
        <v>19012</v>
      </c>
      <c r="N6" s="48"/>
      <c r="O6" s="47">
        <f>+SUM(O7,O9,O12,O22,O25,O59,O61,O63,O65,O68,O57,O32,O105,O107,O110,O144,O181,O185,O189,O192,O197,O202,O207,O266,O269,O271,O284,O304)</f>
        <v>3630.9041999999999</v>
      </c>
      <c r="P6" s="48"/>
      <c r="Q6" s="47">
        <f>+SUM(Q7,Q9,Q12,Q22,Q25,Q59,Q61,Q63,Q65,Q68,Q57,Q32,Q105,Q107,Q110,Q144,Q181,Q185,Q189,Q192,Q197,Q202,Q207,Q266,Q269,Q271,Q284,Q304)</f>
        <v>15112.738400000002</v>
      </c>
      <c r="R6" s="48"/>
      <c r="S6" s="47">
        <f>+SUM(S7,S9,S12,S22,S25,S59,S61,S63,S65,S68,S57,S32,S105,S107,S110,S144,S181,S185,S189,S192,S197,S202,S207,S266,S269,S271,S284,S304)</f>
        <v>198.90630099999908</v>
      </c>
      <c r="T6" s="48"/>
      <c r="U6" s="47">
        <f>+SUM(U7,U9,U12,U22,U25,U59,U61,U63,U65,U68,U57,U32,U105,U107,U110,U144,U181,U185,U189,U192,U197,U202,U207,U266,U269,U271,U284,U304)</f>
        <v>12443.288814999998</v>
      </c>
      <c r="V6" s="48"/>
      <c r="W6" s="47">
        <f>+SUM(W7,W9,W12,W22,W25,W59,W61,W63,W65,W68,W57,W32,W105,W107,W110,W144,W181,W185,W189,W192,W197,W202,W207,W266,W269,W271,W284,W304)</f>
        <v>802.62849999999798</v>
      </c>
      <c r="X6" s="90"/>
      <c r="Y6" s="47">
        <f>+SUM(Y7,Y9,Y12,Y22,Y25,Y59,Y61,Y63,Y65,Y68,Y57,Y32,Y105,Y107,Y110,Y144,Y181,Y185,Y189,Y192,Y197,Y202,Y207,Y266,Y269,Y271,Y284,Y304)</f>
        <v>11063.6783</v>
      </c>
      <c r="Z6" s="90"/>
      <c r="AA6" s="47">
        <f>+SUM(AA7,AA9,AA12,AA22,AA25,AA59,AA61,AA63,AA65,AA68,AA57,AA32,AA105,AA107,AA110,AA144,AA181,AA185,AA189,AA192,AA197,AA202,AA207,AA266,AA269,AA271,AA284,AA304)</f>
        <v>2966.4700000000003</v>
      </c>
      <c r="AB6" s="90"/>
      <c r="AC6" s="47">
        <f>+SUM(AC7,AC9,AC12,AC22,AC25,AC59,AC61,AC63,AC65,AC68,AC57,AC32,AC105,AC107,AC110,AC144,AC181,AC185,AC189,AC192,AC197,AC202,AC207,AC266,AC269,AC271,AC284,AC304)</f>
        <v>55283.198095000007</v>
      </c>
      <c r="AD6" s="90"/>
      <c r="AE6" s="47">
        <f>+SUM(AE7,AE9,AE12,AE22,AE25,AE59,AE61,AE63,AE65,AE68,AE57,AE32,AE105,AE107,AE110,AE144,AE181,AE185,AE189,AE192,AE197,AE202,AE207,AE266,AE269,AE271,AE284,AE304)</f>
        <v>28572.865875000003</v>
      </c>
      <c r="AF6" s="90"/>
      <c r="AG6" s="47">
        <f>+SUM(AG7,AG9,AG12,AG22,AG25,AG59,AG61,AG63,AG65,AG68,AG57,AG32,AG105,AG107,AG110,AG144,AG181,AG185,AG189,AG192,AG197,AG202,AG207,AG266,AG269,AG271,AG284,AG304)</f>
        <v>3458.5345000000025</v>
      </c>
      <c r="AH6" s="90"/>
      <c r="AI6" s="47">
        <f>+SUM(AI7,AI9,AI12,AI22,AI25,AI59,AI61,AI63,AI65,AI68,AI57,AI32,AI105,AI107,AI110,AI144,AI181,AI185,AI189,AI192,AI197,AI202,AI207,AI266,AI269,AI271,AI284,AI304)</f>
        <v>36591.528503999994</v>
      </c>
      <c r="AJ6" s="48"/>
      <c r="AK6" s="47" t="str">
        <f>IF(SUM(AK7,AK9,AK12,AK22,AK25,AK59,AK61,AK63,AK65,AK68,AK57,AK32,AK105,AK107,AK110,AK144,AK181,AK185,AK189,AK192,AK197,AK202,AK207,AK266,AK269)=0,"",SUM(AK7,AK9,AK12,AK22,AK25,AK59,AK61,AK63,AK65,AK68,AK57,AK32,AK105,AK107,AK110,AK144,AK181,AK185,AK189,AK192,AK197,AK202,AK207,AK266,AK269))</f>
        <v/>
      </c>
      <c r="AL6" s="48"/>
      <c r="AM6" s="47" t="str">
        <f>IF(SUM(AM7,AM9,AM12,AM22,AM25,AM59,AM61,AM63,AM65,AM68,AM57,AM32,AM105,AM107,AM110,AM144,AM181,AM185,AM189,AM192,AM197,AM202,AM207,AM266,AM269)=0,"",SUM(AM7,AM9,AM12,AM22,AM25,AM59,AM61,AM63,AM65,AM68,AM57,AM32,AM105,AM107,AM110,AM144,AM181,AM185,AM189,AM192,AM197,AM202,AM207,AM266,AM269))</f>
        <v/>
      </c>
      <c r="AN6" s="48"/>
      <c r="AO6" s="47" t="str">
        <f>IF(SUM(AO7,AO9,AO12,AO22,AO25,AO59,AO61,AO63,AO65,AO68,AO57,AO32,AO105,AO107,AO110,AO144,AO181,AO185,AO189,AO192,AO197,AO202,AO207,AO266,AO269)=0,"",SUM(AO7,AO9,AO12,AO22,AO25,AO59,AO61,AO63,AO65,AO68,AO57,AO32,AO105,AO107,AO110,AO144,AO181,AO185,AO189,AO192,AO197,AO202,AO207,AO266,AO269))</f>
        <v/>
      </c>
      <c r="AP6" s="48"/>
      <c r="AQ6" s="47" t="str">
        <f>IF(SUM(AQ7,AQ9,AQ12,AQ22,AQ25,AQ59,AQ61,AQ63,AQ65,AQ68,AQ57,AQ32,AQ105,AQ107,AQ110,AQ144,AQ181,AQ185,AQ189,AQ192,AQ197,AQ202,AQ207,AQ266,AQ269)=0,"",SUM(AQ7,AQ9,AQ12,AQ22,AQ25,AQ59,AQ61,AQ63,AQ65,AQ68,AQ57,AQ32,AQ105,AQ107,AQ110,AQ144,AQ181,AQ185,AQ189,AQ192,AQ197,AQ202,AQ207,AQ266,AQ269))</f>
        <v/>
      </c>
      <c r="AR6" s="48"/>
      <c r="AS6" s="47" t="str">
        <f>IF(SUM(AS7,AS9,AS12,AS22,AS25,AS59,AS61,AS63,AS65,AS68,AS57,AS32,AS105,AS107,AS110,AS144,AS181,AS185,AS189,AS192,AS197,AS202,AS207,AS266,AS269)=0,"",SUM(AS7,AS9,AS12,AS22,AS25,AS59,AS61,AS63,AS65,AS68,AS57,AS32,AS105,AS107,AS110,AS144,AS181,AS185,AS189,AS192,AS197,AS202,AS207,AS266,AS269))</f>
        <v/>
      </c>
      <c r="AT6" s="48"/>
      <c r="AU6" s="47" t="str">
        <f>IF(SUM(AU7,AU9,AU12,AU22,AU25,AU59,AU61,AU63,AU65,AU68,AU57,AU32,AU105,AU107,AU110,AU144,AU181,AU185,AU189,AU192,AU197,AU202,AU207,AU266,AU269)=0,"",SUM(AU7,AU9,AU12,AU22,AU25,AU59,AU61,AU63,AU65,AU68,AU57,AU32,AU105,AU107,AU110,AU144,AU181,AU185,AU189,AU192,AU197,AU202,AU207,AU266,AU269))</f>
        <v/>
      </c>
      <c r="AV6" s="48"/>
      <c r="AW6" s="47" t="str">
        <f>IF(SUM(AW7,AW9,AW12,AW22,AW25,AW59,AW61,AW63,AW65,AW68,AW57,AW32,AW105,AW107,AW110,AW144,AW181,AW185,AW189,AW192,AW197,AW202,AW207,AW266,AW269)=0,"",SUM(AW7,AW9,AW12,AW22,AW25,AW59,AW61,AW63,AW65,AW68,AW57,AW32,AW105,AW107,AW110,AW144,AW181,AW185,AW189,AW192,AW197,AW202,AW207,AW266,AW269))</f>
        <v/>
      </c>
      <c r="AX6" s="48"/>
      <c r="AY6" s="47" t="str">
        <f>IF(SUM(AY7,AY9,AY12,AY22,AY25,AY59,AY61,AY63,AY65,AY68,AY57,AY32,AY105,AY107,AY110,AY144,AY181,AY185,AY189,AY192,AY197,AY202,AY207,AY266,AY269)=0,"",SUM(AY7,AY9,AY12,AY22,AY25,AY59,AY61,AY63,AY65,AY68,AY57,AY32,AY105,AY107,AY110,AY144,AY181,AY185,AY189,AY192,AY197,AY202,AY207,AY266,AY269))</f>
        <v/>
      </c>
      <c r="AZ6" s="48"/>
      <c r="BA6" s="47" t="str">
        <f>IF(SUM(BA7,BA9,BA12,BA22,BA25,BA59,BA61,BA63,BA65,BA68,BA57,BA32,BA105,BA107,BA110,BA144,BA181,BA185,BA189,BA192,BA197,BA202,BA207,BA266,BA269)=0,"",SUM(BA7,BA9,BA12,BA22,BA25,BA59,BA61,BA63,BA65,BA68,BA57,BA32,BA105,BA107,BA110,BA144,BA181,BA185,BA189,BA192,BA197,BA202,BA207,BA266,BA269))</f>
        <v/>
      </c>
      <c r="BB6" s="48"/>
      <c r="BC6" s="47" t="str">
        <f>IF(SUM(BC7,BC9,BC12,BC22,BC25,BC59,BC61,BC63,BC65,BC68,BC57,BC32,BC105,BC107,BC110,BC144,BC181,BC185,BC189,BC192,BC197,BC202,BC207,BC266,BC269)=0,"",SUM(BC7,BC9,BC12,BC22,BC25,BC59,BC61,BC63,BC65,BC68,BC57,BC32,BC105,BC107,BC110,BC144,BC181,BC185,BC189,BC192,BC197,BC202,BC207,BC266,BC269))</f>
        <v/>
      </c>
      <c r="BD6" s="43"/>
      <c r="BE6" s="47">
        <f>+SUM(BE7,BE9,BE12,BE22,BE25,BE59,BE61,BE63,BE65,BE68,BE57,BE32,BE105,BE107,BE110,BE144,BE181,BE185,BE189,BE192,BE197,BE202,BE207,BE266,BE269,BE271,BE284,BE304)</f>
        <v>203056.17149000007</v>
      </c>
      <c r="BF6" s="43"/>
      <c r="BG6" s="47">
        <f>+SUM(BG7,BG9,BG12,BG22,BG25,BG59,BG61,BG63,BG65,BG68,BG57,BG32,BG105,BG107,BG110,BG144,BG181,BG185,BG189,BG192,BG197,BG202,BG207,BG266,BG269,BG271,BG284,BG304)</f>
        <v>14902.426904449025</v>
      </c>
      <c r="BI6" s="21"/>
      <c r="BJ6" s="21"/>
      <c r="BK6" s="21"/>
      <c r="BL6" s="21"/>
      <c r="BM6" s="21"/>
      <c r="BN6" s="21"/>
      <c r="BO6" s="21"/>
      <c r="BP6" s="21"/>
      <c r="BQ6" s="21"/>
      <c r="BR6" s="21"/>
      <c r="BS6" s="21"/>
      <c r="BT6" s="21"/>
      <c r="BU6" s="21"/>
      <c r="BV6" s="21"/>
      <c r="BW6" s="21"/>
      <c r="BX6" s="21"/>
      <c r="BY6" s="21"/>
      <c r="BZ6" s="21"/>
      <c r="CA6" s="21"/>
      <c r="CB6" s="21"/>
      <c r="CC6" s="21"/>
      <c r="CD6" s="21"/>
      <c r="CE6" s="21"/>
      <c r="CF6" s="21"/>
    </row>
    <row r="7" spans="2:86" s="6" customFormat="1" ht="18" customHeight="1">
      <c r="B7" s="15" t="s">
        <v>761</v>
      </c>
      <c r="C7" s="25" t="s">
        <v>739</v>
      </c>
      <c r="D7" s="49"/>
      <c r="E7" s="85"/>
      <c r="F7" s="50"/>
      <c r="G7" s="63">
        <f>+SUM(G8:G8)</f>
        <v>5771.4299999999994</v>
      </c>
      <c r="H7" s="51"/>
      <c r="I7" s="52">
        <f>+IF(SUM(I8:I8)=0,"",SUM(I8:I8))</f>
        <v>5771.4299999999994</v>
      </c>
      <c r="J7" s="53"/>
      <c r="K7" s="52" t="str">
        <f>+IF(SUM(K8:K8)=0,"",SUM(K8:K8))</f>
        <v/>
      </c>
      <c r="L7" s="53"/>
      <c r="M7" s="52" t="str">
        <f>+IF(SUM(M8:M8)=0,"",SUM(M8:M8))</f>
        <v/>
      </c>
      <c r="N7" s="53"/>
      <c r="O7" s="52" t="str">
        <f>+IF(SUM(O8:O8)=0,"",SUM(O8:O8))</f>
        <v/>
      </c>
      <c r="P7" s="53"/>
      <c r="Q7" s="52" t="str">
        <f>+IF(SUM(Q8:Q8)=0,"",SUM(Q8:Q8))</f>
        <v/>
      </c>
      <c r="R7" s="53"/>
      <c r="S7" s="52" t="str">
        <f>+IF(SUM(S8:S8)=0,"",SUM(S8:S8))</f>
        <v/>
      </c>
      <c r="T7" s="53"/>
      <c r="U7" s="52" t="str">
        <f>+IF(SUM(U8:U8)=0,"",SUM(U8:U8))</f>
        <v/>
      </c>
      <c r="V7" s="53"/>
      <c r="W7" s="52" t="str">
        <f>+IF(SUM(W8:W8)=0,"",SUM(W8:W8))</f>
        <v/>
      </c>
      <c r="X7" s="91"/>
      <c r="Y7" s="52" t="str">
        <f>+IF(SUM(Y8:Y8)=0,"",SUM(Y8:Y8))</f>
        <v/>
      </c>
      <c r="Z7" s="91"/>
      <c r="AA7" s="52" t="str">
        <f>+IF(SUM(AA8:AA8)=0,"",SUM(AA8:AA8))</f>
        <v/>
      </c>
      <c r="AB7" s="91"/>
      <c r="AC7" s="52" t="str">
        <f>+IF(SUM(AC8:AC8)=0,"",SUM(AC8:AC8))</f>
        <v/>
      </c>
      <c r="AD7" s="91"/>
      <c r="AE7" s="52" t="str">
        <f>+IF(SUM(AE8:AE8)=0,"",SUM(AE8:AE8))</f>
        <v/>
      </c>
      <c r="AF7" s="91"/>
      <c r="AG7" s="52" t="str">
        <f>+IF(SUM(AG8:AG8)=0,"",SUM(AG8:AG8))</f>
        <v/>
      </c>
      <c r="AH7" s="91"/>
      <c r="AI7" s="52" t="str">
        <f>+IF(SUM(AI8:AI8)=0,"",SUM(AI8:AI8))</f>
        <v/>
      </c>
      <c r="AJ7" s="53"/>
      <c r="AK7" s="52" t="str">
        <f>+IF(SUM(AK8:AK8)=0,"",SUM(AK8:AK8))</f>
        <v/>
      </c>
      <c r="AL7" s="53"/>
      <c r="AM7" s="52" t="str">
        <f>+IF(SUM(AM8:AM8)=0,"",SUM(AM8:AM8))</f>
        <v/>
      </c>
      <c r="AN7" s="53"/>
      <c r="AO7" s="52" t="str">
        <f>+IF(SUM(AO8:AO8)=0,"",SUM(AO8:AO8))</f>
        <v/>
      </c>
      <c r="AP7" s="53"/>
      <c r="AQ7" s="52" t="str">
        <f>+IF(SUM(AQ8:AQ8)=0,"",SUM(AQ8:AQ8))</f>
        <v/>
      </c>
      <c r="AR7" s="53"/>
      <c r="AS7" s="52" t="str">
        <f>+IF(SUM(AS8:AS8)=0,"",SUM(AS8:AS8))</f>
        <v/>
      </c>
      <c r="AT7" s="53"/>
      <c r="AU7" s="52" t="str">
        <f>+IF(SUM(AU8:AU8)=0,"",SUM(AU8:AU8))</f>
        <v/>
      </c>
      <c r="AV7" s="53"/>
      <c r="AW7" s="52" t="str">
        <f>+IF(SUM(AW8:AW8)=0,"",SUM(AW8:AW8))</f>
        <v/>
      </c>
      <c r="AX7" s="53"/>
      <c r="AY7" s="52" t="str">
        <f>+IF(SUM(AY8:AY8)=0,"",SUM(AY8:AY8))</f>
        <v/>
      </c>
      <c r="AZ7" s="53"/>
      <c r="BA7" s="52" t="str">
        <f>+IF(SUM(BA8:BA8)=0,"",SUM(BA8:BA8))</f>
        <v/>
      </c>
      <c r="BB7" s="53"/>
      <c r="BC7" s="52" t="str">
        <f>+IF(SUM(BC8:BC8)=0,"",SUM(BC8:BC8))</f>
        <v/>
      </c>
      <c r="BD7" s="54"/>
      <c r="BE7" s="52">
        <f>+SUM(BE8:BE8)</f>
        <v>5771.4299999999994</v>
      </c>
      <c r="BF7" s="54"/>
      <c r="BG7" s="52">
        <f>+SUM(BG8:BG8)</f>
        <v>0</v>
      </c>
      <c r="BI7" s="18"/>
      <c r="BJ7" s="18"/>
      <c r="BK7" s="18"/>
      <c r="BL7" s="18"/>
      <c r="BM7" s="18"/>
      <c r="BN7" s="18"/>
      <c r="BO7" s="18"/>
      <c r="BP7" s="18"/>
      <c r="BQ7" s="18"/>
      <c r="BR7" s="18"/>
      <c r="BS7" s="18"/>
      <c r="BT7" s="18"/>
      <c r="BU7" s="18"/>
      <c r="BV7" s="18"/>
      <c r="BW7" s="18"/>
      <c r="BX7" s="18"/>
      <c r="BY7" s="18"/>
      <c r="BZ7" s="18"/>
      <c r="CA7" s="18"/>
      <c r="CB7" s="18"/>
      <c r="CC7" s="18"/>
      <c r="CD7" s="18"/>
      <c r="CE7" s="18"/>
      <c r="CF7" s="18"/>
    </row>
    <row r="8" spans="2:86" ht="33.75" outlineLevel="1">
      <c r="B8" s="69"/>
      <c r="C8" s="70" t="s">
        <v>738</v>
      </c>
      <c r="D8" s="71">
        <v>549.66</v>
      </c>
      <c r="E8" s="86"/>
      <c r="F8" s="72">
        <v>10.5</v>
      </c>
      <c r="G8" s="73">
        <f>+D8*F8</f>
        <v>5771.4299999999994</v>
      </c>
      <c r="H8" s="74">
        <f>+D8</f>
        <v>549.66</v>
      </c>
      <c r="I8" s="75">
        <f>+IF(OR($F8="",H8=""),"",$F8*H8)</f>
        <v>5771.4299999999994</v>
      </c>
      <c r="J8" s="76"/>
      <c r="K8" s="75" t="str">
        <f>+IF(OR($F8="",J8=""),"",$F8*J8)</f>
        <v/>
      </c>
      <c r="L8" s="76"/>
      <c r="M8" s="75" t="str">
        <f>+IF(OR($F8="",L8=""),"",$F8*L8)</f>
        <v/>
      </c>
      <c r="N8" s="76"/>
      <c r="O8" s="75" t="str">
        <f>+IF(OR($F8="",N8=""),"",$F8*N8)</f>
        <v/>
      </c>
      <c r="P8" s="76"/>
      <c r="Q8" s="75" t="str">
        <f>+IF(OR($F8="",P8=""),"",$F8*P8)</f>
        <v/>
      </c>
      <c r="R8" s="76"/>
      <c r="S8" s="75" t="str">
        <f>+IF(OR($F8="",R8=""),"",$F8*R8)</f>
        <v/>
      </c>
      <c r="T8" s="76"/>
      <c r="U8" s="75" t="str">
        <f>+IF(OR($F8="",T8=""),"",$F8*T8)</f>
        <v/>
      </c>
      <c r="V8" s="76"/>
      <c r="W8" s="75" t="str">
        <f>+IF(OR($F8="",V8=""),"",$F8*V8)</f>
        <v/>
      </c>
      <c r="X8" s="92"/>
      <c r="Y8" s="75" t="str">
        <f>+IF(OR($F8="",X8=""),"",$F8*X8)</f>
        <v/>
      </c>
      <c r="Z8" s="92"/>
      <c r="AA8" s="75" t="str">
        <f>+IF(OR($F8="",Z8=""),"",$F8*Z8)</f>
        <v/>
      </c>
      <c r="AB8" s="92"/>
      <c r="AC8" s="75" t="str">
        <f>+IF(OR($F8="",AB8=""),"",$F8*AB8)</f>
        <v/>
      </c>
      <c r="AD8" s="92"/>
      <c r="AE8" s="75" t="str">
        <f>+IF(OR($F8="",AD8=""),"",$F8*AD8)</f>
        <v/>
      </c>
      <c r="AF8" s="92"/>
      <c r="AG8" s="75" t="str">
        <f>+IF(OR($F8="",AF8=""),"",$F8*AF8)</f>
        <v/>
      </c>
      <c r="AH8" s="92"/>
      <c r="AI8" s="75" t="str">
        <f>+IF(OR($F8="",AH8=""),"",$F8*AH8)</f>
        <v/>
      </c>
      <c r="AJ8" s="76"/>
      <c r="AK8" s="75" t="str">
        <f>+IF(OR($F8="",AJ8=""),"",$F8*AJ8)</f>
        <v/>
      </c>
      <c r="AL8" s="76"/>
      <c r="AM8" s="75" t="str">
        <f>+IF(OR($F8="",AL8=""),"",$F8*AL8)</f>
        <v/>
      </c>
      <c r="AN8" s="76"/>
      <c r="AO8" s="75" t="str">
        <f>+IF(OR($F8="",AN8=""),"",$F8*AN8)</f>
        <v/>
      </c>
      <c r="AP8" s="76"/>
      <c r="AQ8" s="75" t="str">
        <f>+IF(OR($F8="",AP8=""),"",$F8*AP8)</f>
        <v/>
      </c>
      <c r="AR8" s="76"/>
      <c r="AS8" s="75" t="str">
        <f>+IF(OR($F8="",AR8=""),"",$F8*AR8)</f>
        <v/>
      </c>
      <c r="AT8" s="76"/>
      <c r="AU8" s="75" t="str">
        <f>+IF(OR($F8="",AT8=""),"",$F8*AT8)</f>
        <v/>
      </c>
      <c r="AV8" s="76"/>
      <c r="AW8" s="75" t="str">
        <f>+IF(OR($F8="",AV8=""),"",$F8*AV8)</f>
        <v/>
      </c>
      <c r="AX8" s="76"/>
      <c r="AY8" s="75" t="str">
        <f>+IF(OR($F8="",AX8=""),"",$F8*AX8)</f>
        <v/>
      </c>
      <c r="AZ8" s="76"/>
      <c r="BA8" s="75" t="str">
        <f>+IF(OR($F8="",AZ8=""),"",$F8*AZ8)</f>
        <v/>
      </c>
      <c r="BB8" s="76"/>
      <c r="BC8" s="75" t="str">
        <f>+IF(OR($F8="",BB8=""),"",$F8*BB8)</f>
        <v/>
      </c>
      <c r="BD8" s="77">
        <f>+SUM(BI8:CF8)</f>
        <v>549.66</v>
      </c>
      <c r="BE8" s="75">
        <f>+IF(OR($F8="",BD8=""),"",$F8*BD8)</f>
        <v>5771.4299999999994</v>
      </c>
      <c r="BF8" s="77">
        <f>+D8-BD8</f>
        <v>0</v>
      </c>
      <c r="BG8" s="75">
        <f>+IF(OR($F8="",BF8=""),"",$F8*BF8)</f>
        <v>0</v>
      </c>
      <c r="BI8" s="1">
        <f>+H8</f>
        <v>549.66</v>
      </c>
      <c r="BJ8" s="1">
        <f>+J8</f>
        <v>0</v>
      </c>
      <c r="BK8" s="1">
        <f>+L8</f>
        <v>0</v>
      </c>
      <c r="BL8" s="1">
        <f>+N8</f>
        <v>0</v>
      </c>
      <c r="BM8" s="1">
        <f>+P8</f>
        <v>0</v>
      </c>
      <c r="BN8" s="1">
        <f>+R8</f>
        <v>0</v>
      </c>
      <c r="BO8" s="1">
        <f>+T8</f>
        <v>0</v>
      </c>
      <c r="BP8" s="1">
        <f>+V8</f>
        <v>0</v>
      </c>
      <c r="BQ8" s="1">
        <f>+X8</f>
        <v>0</v>
      </c>
      <c r="BR8" s="1">
        <f>+Z8</f>
        <v>0</v>
      </c>
      <c r="BS8" s="1">
        <f>+AB8</f>
        <v>0</v>
      </c>
      <c r="BT8" s="1">
        <f>+AD8</f>
        <v>0</v>
      </c>
      <c r="BU8" s="1">
        <f>+AF8</f>
        <v>0</v>
      </c>
      <c r="BV8" s="1">
        <f>+AH8</f>
        <v>0</v>
      </c>
      <c r="BW8" s="1">
        <f>+AJ8</f>
        <v>0</v>
      </c>
      <c r="BX8" s="1">
        <f>+AL8</f>
        <v>0</v>
      </c>
      <c r="BY8" s="1">
        <f>+AN8</f>
        <v>0</v>
      </c>
      <c r="BZ8" s="1">
        <f>+AP8</f>
        <v>0</v>
      </c>
      <c r="CA8" s="1">
        <f>+AR8</f>
        <v>0</v>
      </c>
      <c r="CB8" s="1">
        <f>+AT8</f>
        <v>0</v>
      </c>
      <c r="CC8" s="1">
        <f>+AV8</f>
        <v>0</v>
      </c>
      <c r="CD8" s="1">
        <f>+AX8</f>
        <v>0</v>
      </c>
      <c r="CE8" s="1">
        <f>+AZ8</f>
        <v>0</v>
      </c>
      <c r="CF8" s="1">
        <f>+BB8</f>
        <v>0</v>
      </c>
    </row>
    <row r="9" spans="2:86" s="6" customFormat="1" ht="18" customHeight="1">
      <c r="B9" s="62" t="s">
        <v>740</v>
      </c>
      <c r="C9" s="25" t="s">
        <v>741</v>
      </c>
      <c r="D9" s="49"/>
      <c r="E9" s="85"/>
      <c r="F9" s="50"/>
      <c r="G9" s="63">
        <f>+SUM(G10:G11)</f>
        <v>20169.66</v>
      </c>
      <c r="H9" s="51"/>
      <c r="I9" s="52" t="str">
        <f>+IF(SUM(I10:I11)=0,"",SUM(I10:I11))</f>
        <v/>
      </c>
      <c r="J9" s="53"/>
      <c r="K9" s="52" t="str">
        <f>+IF(SUM(K10:K11)=0,"",SUM(K10:K11))</f>
        <v/>
      </c>
      <c r="L9" s="53"/>
      <c r="M9" s="52" t="str">
        <f>+IF(SUM(M10:M11)=0,"",SUM(M10:M11))</f>
        <v/>
      </c>
      <c r="N9" s="53"/>
      <c r="O9" s="52" t="str">
        <f>+IF(SUM(O10:O11)=0,"",SUM(O10:O11))</f>
        <v/>
      </c>
      <c r="P9" s="53"/>
      <c r="Q9" s="52" t="str">
        <f>+IF(SUM(Q10:Q11)=0,"",SUM(Q10:Q11))</f>
        <v/>
      </c>
      <c r="R9" s="53"/>
      <c r="S9" s="52" t="str">
        <f>+IF(SUM(S10:S11)=0,"",SUM(S10:S11))</f>
        <v/>
      </c>
      <c r="T9" s="53"/>
      <c r="U9" s="52" t="str">
        <f>+IF(SUM(U10:U11)=0,"",SUM(U10:U11))</f>
        <v/>
      </c>
      <c r="V9" s="53"/>
      <c r="W9" s="52" t="str">
        <f>+IF(SUM(W10:W11)=0,"",SUM(W10:W11))</f>
        <v/>
      </c>
      <c r="X9" s="91"/>
      <c r="Y9" s="52" t="str">
        <f>+IF(SUM(Y10:Y11)=0,"",SUM(Y10:Y11))</f>
        <v/>
      </c>
      <c r="Z9" s="91"/>
      <c r="AA9" s="52" t="str">
        <f>+IF(SUM(AA10:AA11)=0,"",SUM(AA10:AA11))</f>
        <v/>
      </c>
      <c r="AB9" s="91"/>
      <c r="AC9" s="52">
        <f>+IF(SUM(AC10:AC11)=0,"",SUM(AC10:AC11))</f>
        <v>13345.659999999998</v>
      </c>
      <c r="AD9" s="91"/>
      <c r="AE9" s="52">
        <f>+IF(SUM(AE10:AE11)=0,"",SUM(AE10:AE11))</f>
        <v>5118</v>
      </c>
      <c r="AF9" s="50"/>
      <c r="AG9" s="52" t="str">
        <f>+IF(SUM(AG10:AG11)=0,"",SUM(AG10:AG11))</f>
        <v/>
      </c>
      <c r="AH9" s="91"/>
      <c r="AI9" s="52" t="str">
        <f>+IF(SUM(AI10:AI11)=0,"",SUM(AI10:AI11))</f>
        <v/>
      </c>
      <c r="AJ9" s="53"/>
      <c r="AK9" s="52" t="str">
        <f>+IF(SUM(AK10:AK11)=0,"",SUM(AK10:AK11))</f>
        <v/>
      </c>
      <c r="AL9" s="53"/>
      <c r="AM9" s="52" t="str">
        <f>+IF(SUM(AM10:AM11)=0,"",SUM(AM10:AM11))</f>
        <v/>
      </c>
      <c r="AN9" s="53"/>
      <c r="AO9" s="52" t="str">
        <f>+IF(SUM(AO10:AO11)=0,"",SUM(AO10:AO11))</f>
        <v/>
      </c>
      <c r="AP9" s="53"/>
      <c r="AQ9" s="52" t="str">
        <f>+IF(SUM(AQ10:AQ11)=0,"",SUM(AQ10:AQ11))</f>
        <v/>
      </c>
      <c r="AR9" s="53"/>
      <c r="AS9" s="52" t="str">
        <f>+IF(SUM(AS10:AS11)=0,"",SUM(AS10:AS11))</f>
        <v/>
      </c>
      <c r="AT9" s="53"/>
      <c r="AU9" s="52" t="str">
        <f>+IF(SUM(AU10:AU11)=0,"",SUM(AU10:AU11))</f>
        <v/>
      </c>
      <c r="AV9" s="53"/>
      <c r="AW9" s="52" t="str">
        <f>+IF(SUM(AW10:AW11)=0,"",SUM(AW10:AW11))</f>
        <v/>
      </c>
      <c r="AX9" s="53"/>
      <c r="AY9" s="52" t="str">
        <f>+IF(SUM(AY10:AY11)=0,"",SUM(AY10:AY11))</f>
        <v/>
      </c>
      <c r="AZ9" s="53"/>
      <c r="BA9" s="52" t="str">
        <f>+IF(SUM(BA10:BA11)=0,"",SUM(BA10:BA11))</f>
        <v/>
      </c>
      <c r="BB9" s="53"/>
      <c r="BC9" s="52" t="str">
        <f>+IF(SUM(BC10:BC11)=0,"",SUM(BC10:BC11))</f>
        <v/>
      </c>
      <c r="BD9" s="54"/>
      <c r="BE9" s="52">
        <f>+SUM(BE10:BE11)</f>
        <v>18463.66</v>
      </c>
      <c r="BF9" s="54"/>
      <c r="BG9" s="52">
        <f>+SUM(BG10:BG11)</f>
        <v>1706</v>
      </c>
      <c r="BI9" s="18"/>
      <c r="BJ9" s="18"/>
      <c r="BK9" s="18"/>
      <c r="BL9" s="18"/>
      <c r="BM9" s="18"/>
      <c r="BN9" s="18"/>
      <c r="BO9" s="18"/>
      <c r="BP9" s="18"/>
      <c r="BQ9" s="18"/>
      <c r="BR9" s="18"/>
      <c r="BS9" s="18"/>
      <c r="BT9" s="18"/>
      <c r="BU9" s="18"/>
      <c r="BV9" s="18"/>
      <c r="BW9" s="18"/>
      <c r="BX9" s="18"/>
      <c r="BY9" s="18"/>
      <c r="BZ9" s="18"/>
      <c r="CA9" s="18"/>
      <c r="CB9" s="18"/>
      <c r="CC9" s="18"/>
      <c r="CD9" s="18"/>
      <c r="CE9" s="18"/>
      <c r="CF9" s="18"/>
    </row>
    <row r="10" spans="2:86" ht="78.75" outlineLevel="1">
      <c r="B10" s="12"/>
      <c r="C10" s="78" t="s">
        <v>794</v>
      </c>
      <c r="D10" s="65">
        <v>-395</v>
      </c>
      <c r="E10" s="87"/>
      <c r="F10" s="66">
        <v>16.38</v>
      </c>
      <c r="G10" s="79">
        <f>+D10*F10</f>
        <v>-6470.0999999999995</v>
      </c>
      <c r="H10" s="29"/>
      <c r="I10" s="67" t="str">
        <f>+IF(OR($F10="",H10=""),"",$F10*H10)</f>
        <v/>
      </c>
      <c r="J10" s="80"/>
      <c r="K10" s="67" t="str">
        <f>+IF(OR($F10="",J10=""),"",$F10*J10)</f>
        <v/>
      </c>
      <c r="L10" s="80"/>
      <c r="M10" s="67" t="str">
        <f>+IF(OR($F10="",L10=""),"",$F10*L10)</f>
        <v/>
      </c>
      <c r="N10" s="80"/>
      <c r="O10" s="67" t="str">
        <f>+IF(OR($F10="",N10=""),"",$F10*N10)</f>
        <v/>
      </c>
      <c r="P10" s="80"/>
      <c r="Q10" s="67" t="str">
        <f>+IF(OR($F10="",P10=""),"",$F10*P10)</f>
        <v/>
      </c>
      <c r="R10" s="80"/>
      <c r="S10" s="67" t="str">
        <f>+IF(OR($F10="",R10=""),"",$F10*R10)</f>
        <v/>
      </c>
      <c r="T10" s="80"/>
      <c r="U10" s="67" t="str">
        <f>+IF(OR($F10="",T10=""),"",$F10*T10)</f>
        <v/>
      </c>
      <c r="V10" s="80"/>
      <c r="W10" s="67" t="str">
        <f>+IF(OR($F10="",V10=""),"",$F10*V10)</f>
        <v/>
      </c>
      <c r="X10" s="93"/>
      <c r="Y10" s="67" t="str">
        <f>+IF(OR($F10="",X10=""),"",$F10*X10)</f>
        <v/>
      </c>
      <c r="Z10" s="93"/>
      <c r="AA10" s="67" t="str">
        <f>+IF(OR($F10="",Z10=""),"",$F10*Z10)</f>
        <v/>
      </c>
      <c r="AB10" s="93">
        <v>-195</v>
      </c>
      <c r="AC10" s="67">
        <f>+IF(OR($F10="",AB10=""),"",$F10*AB10)</f>
        <v>-3194.1</v>
      </c>
      <c r="AD10" s="93">
        <v>-150</v>
      </c>
      <c r="AE10" s="67">
        <f>+IF(OR($F10="",AD10=""),"",$F10*AD10)</f>
        <v>-2457</v>
      </c>
      <c r="AF10" s="93"/>
      <c r="AG10" s="67" t="str">
        <f>+IF(OR($F10="",AF10=""),"",$F10*AF10)</f>
        <v/>
      </c>
      <c r="AH10" s="93"/>
      <c r="AI10" s="67" t="str">
        <f>+IF(OR($F10="",AH10=""),"",$F10*AH10)</f>
        <v/>
      </c>
      <c r="AJ10" s="80"/>
      <c r="AK10" s="67" t="str">
        <f>+IF(OR($F10="",AJ10=""),"",$F10*AJ10)</f>
        <v/>
      </c>
      <c r="AL10" s="80"/>
      <c r="AM10" s="67" t="str">
        <f>+IF(OR($F10="",AL10=""),"",$F10*AL10)</f>
        <v/>
      </c>
      <c r="AN10" s="80"/>
      <c r="AO10" s="67" t="str">
        <f>+IF(OR($F10="",AN10=""),"",$F10*AN10)</f>
        <v/>
      </c>
      <c r="AP10" s="80"/>
      <c r="AQ10" s="67" t="str">
        <f>+IF(OR($F10="",AP10=""),"",$F10*AP10)</f>
        <v/>
      </c>
      <c r="AR10" s="80"/>
      <c r="AS10" s="67" t="str">
        <f>+IF(OR($F10="",AR10=""),"",$F10*AR10)</f>
        <v/>
      </c>
      <c r="AT10" s="80"/>
      <c r="AU10" s="67" t="str">
        <f>+IF(OR($F10="",AT10=""),"",$F10*AT10)</f>
        <v/>
      </c>
      <c r="AV10" s="80"/>
      <c r="AW10" s="67" t="str">
        <f>+IF(OR($F10="",AV10=""),"",$F10*AV10)</f>
        <v/>
      </c>
      <c r="AX10" s="80"/>
      <c r="AY10" s="67" t="str">
        <f>+IF(OR($F10="",AX10=""),"",$F10*AX10)</f>
        <v/>
      </c>
      <c r="AZ10" s="80"/>
      <c r="BA10" s="67" t="str">
        <f>+IF(OR($F10="",AZ10=""),"",$F10*AZ10)</f>
        <v/>
      </c>
      <c r="BB10" s="80"/>
      <c r="BC10" s="67" t="str">
        <f>+IF(OR($F10="",BB10=""),"",$F10*BB10)</f>
        <v/>
      </c>
      <c r="BD10" s="81">
        <f>+SUM(BI10:CF10)</f>
        <v>-345</v>
      </c>
      <c r="BE10" s="67">
        <f>+IF(OR($F10="",BD10=""),"",$F10*BD10)</f>
        <v>-5651.0999999999995</v>
      </c>
      <c r="BF10" s="81">
        <f>+D10-BD10</f>
        <v>-50</v>
      </c>
      <c r="BG10" s="67">
        <f>+IF(OR($F10="",BF10=""),"",$F10*BF10)</f>
        <v>-819</v>
      </c>
      <c r="BH10" s="96"/>
      <c r="BI10" s="1">
        <f>+H10</f>
        <v>0</v>
      </c>
      <c r="BJ10" s="1">
        <f>+J10</f>
        <v>0</v>
      </c>
      <c r="BK10" s="1">
        <f>+L10</f>
        <v>0</v>
      </c>
      <c r="BL10" s="1">
        <f>+N10</f>
        <v>0</v>
      </c>
      <c r="BM10" s="1">
        <f>+P10</f>
        <v>0</v>
      </c>
      <c r="BN10" s="1">
        <f>+R10</f>
        <v>0</v>
      </c>
      <c r="BO10" s="1">
        <f>+T10</f>
        <v>0</v>
      </c>
      <c r="BP10" s="1">
        <f>+V10</f>
        <v>0</v>
      </c>
      <c r="BQ10" s="1">
        <f>+X10</f>
        <v>0</v>
      </c>
      <c r="BR10" s="1">
        <f>+Z10</f>
        <v>0</v>
      </c>
      <c r="BS10" s="1">
        <f>+AB10</f>
        <v>-195</v>
      </c>
      <c r="BT10" s="1">
        <f>+AD10</f>
        <v>-150</v>
      </c>
      <c r="BU10" s="1">
        <f>+AF10</f>
        <v>0</v>
      </c>
      <c r="BV10" s="1">
        <f>+AH10</f>
        <v>0</v>
      </c>
      <c r="BW10" s="1">
        <f>+AJ10</f>
        <v>0</v>
      </c>
      <c r="BX10" s="1">
        <f>+AL10</f>
        <v>0</v>
      </c>
      <c r="BY10" s="1">
        <f>+AN10</f>
        <v>0</v>
      </c>
      <c r="BZ10" s="1">
        <f>+AP10</f>
        <v>0</v>
      </c>
      <c r="CA10" s="1">
        <f>+AR10</f>
        <v>0</v>
      </c>
      <c r="CB10" s="1">
        <f>+AT10</f>
        <v>0</v>
      </c>
      <c r="CC10" s="1">
        <f>+AV10</f>
        <v>0</v>
      </c>
      <c r="CD10" s="1">
        <f>+AX10</f>
        <v>0</v>
      </c>
      <c r="CE10" s="1">
        <f>+AZ10</f>
        <v>0</v>
      </c>
      <c r="CF10" s="1">
        <f>+BB10</f>
        <v>0</v>
      </c>
    </row>
    <row r="11" spans="2:86" ht="67.5" outlineLevel="1">
      <c r="C11" s="27" t="s">
        <v>795</v>
      </c>
      <c r="D11" s="55">
        <v>527.52</v>
      </c>
      <c r="F11" s="56">
        <v>50.5</v>
      </c>
      <c r="G11" s="57">
        <f>+D11*F11</f>
        <v>26639.759999999998</v>
      </c>
      <c r="H11" s="28"/>
      <c r="I11" s="59" t="str">
        <f t="shared" ref="I11:BG11" si="0">+IF(OR($F11="",H11=""),"",$F11*H11)</f>
        <v/>
      </c>
      <c r="J11" s="64"/>
      <c r="K11" s="59" t="str">
        <f t="shared" si="0"/>
        <v/>
      </c>
      <c r="L11" s="64"/>
      <c r="M11" s="59" t="str">
        <f t="shared" ref="M11" si="1">+IF(OR($F11="",L11=""),"",$F11*L11)</f>
        <v/>
      </c>
      <c r="N11" s="64"/>
      <c r="O11" s="59" t="str">
        <f t="shared" ref="O11" si="2">+IF(OR($F11="",N11=""),"",$F11*N11)</f>
        <v/>
      </c>
      <c r="P11" s="64"/>
      <c r="Q11" s="59" t="str">
        <f t="shared" ref="Q11" si="3">+IF(OR($F11="",P11=""),"",$F11*P11)</f>
        <v/>
      </c>
      <c r="R11" s="64"/>
      <c r="S11" s="59" t="str">
        <f t="shared" ref="S11" si="4">+IF(OR($F11="",R11=""),"",$F11*R11)</f>
        <v/>
      </c>
      <c r="T11" s="64"/>
      <c r="U11" s="59" t="str">
        <f t="shared" ref="U11" si="5">+IF(OR($F11="",T11=""),"",$F11*T11)</f>
        <v/>
      </c>
      <c r="V11" s="64"/>
      <c r="W11" s="59" t="str">
        <f t="shared" ref="W11" si="6">+IF(OR($F11="",V11=""),"",$F11*V11)</f>
        <v/>
      </c>
      <c r="X11" s="94"/>
      <c r="Y11" s="59" t="str">
        <f t="shared" ref="Y11" si="7">+IF(OR($F11="",X11=""),"",$F11*X11)</f>
        <v/>
      </c>
      <c r="Z11" s="94"/>
      <c r="AA11" s="59" t="str">
        <f t="shared" ref="AA11" si="8">+IF(OR($F11="",Z11=""),"",$F11*Z11)</f>
        <v/>
      </c>
      <c r="AB11" s="94">
        <v>327.52</v>
      </c>
      <c r="AC11" s="59">
        <f t="shared" ref="AC11" si="9">+IF(OR($F11="",AB11=""),"",$F11*AB11)</f>
        <v>16539.759999999998</v>
      </c>
      <c r="AD11" s="94">
        <v>150</v>
      </c>
      <c r="AE11" s="59">
        <f t="shared" ref="AE11" si="10">+IF(OR($F11="",AD11=""),"",$F11*AD11)</f>
        <v>7575</v>
      </c>
      <c r="AF11" s="94"/>
      <c r="AG11" s="59" t="str">
        <f t="shared" ref="AG11:BC11" si="11">+IF(OR($F11="",AF11=""),"",$F11*AF11)</f>
        <v/>
      </c>
      <c r="AH11" s="94"/>
      <c r="AI11" s="59" t="str">
        <f t="shared" si="11"/>
        <v/>
      </c>
      <c r="AJ11" s="64"/>
      <c r="AK11" s="59" t="str">
        <f t="shared" si="11"/>
        <v/>
      </c>
      <c r="AL11" s="64"/>
      <c r="AM11" s="59" t="str">
        <f t="shared" si="11"/>
        <v/>
      </c>
      <c r="AN11" s="64"/>
      <c r="AO11" s="59" t="str">
        <f t="shared" si="11"/>
        <v/>
      </c>
      <c r="AP11" s="64"/>
      <c r="AQ11" s="59" t="str">
        <f t="shared" si="11"/>
        <v/>
      </c>
      <c r="AR11" s="64"/>
      <c r="AS11" s="59" t="str">
        <f t="shared" si="11"/>
        <v/>
      </c>
      <c r="AT11" s="64"/>
      <c r="AU11" s="59" t="str">
        <f t="shared" si="11"/>
        <v/>
      </c>
      <c r="AV11" s="64"/>
      <c r="AW11" s="59" t="str">
        <f t="shared" si="11"/>
        <v/>
      </c>
      <c r="AX11" s="64"/>
      <c r="AY11" s="59" t="str">
        <f t="shared" si="11"/>
        <v/>
      </c>
      <c r="AZ11" s="64"/>
      <c r="BA11" s="59" t="str">
        <f t="shared" si="11"/>
        <v/>
      </c>
      <c r="BB11" s="64"/>
      <c r="BC11" s="59" t="str">
        <f t="shared" si="11"/>
        <v/>
      </c>
      <c r="BD11" s="61">
        <f t="shared" ref="BD11" si="12">+SUM(BI11:CF11)</f>
        <v>477.52</v>
      </c>
      <c r="BE11" s="59">
        <f t="shared" si="0"/>
        <v>24114.76</v>
      </c>
      <c r="BF11" s="61">
        <f>+D11-BD11</f>
        <v>50</v>
      </c>
      <c r="BG11" s="59">
        <f t="shared" si="0"/>
        <v>2525</v>
      </c>
      <c r="BH11" s="96"/>
      <c r="BI11" s="1">
        <f>+H11</f>
        <v>0</v>
      </c>
      <c r="BJ11" s="1">
        <f>+J11</f>
        <v>0</v>
      </c>
      <c r="BK11" s="1">
        <f>+L11</f>
        <v>0</v>
      </c>
      <c r="BL11" s="1">
        <f>+N11</f>
        <v>0</v>
      </c>
      <c r="BM11" s="1">
        <f>+P11</f>
        <v>0</v>
      </c>
      <c r="BN11" s="1">
        <f>+R11</f>
        <v>0</v>
      </c>
      <c r="BO11" s="1">
        <f>+T11</f>
        <v>0</v>
      </c>
      <c r="BP11" s="1">
        <f>+V11</f>
        <v>0</v>
      </c>
      <c r="BQ11" s="1">
        <f>+X11</f>
        <v>0</v>
      </c>
      <c r="BR11" s="1">
        <f>+Z11</f>
        <v>0</v>
      </c>
      <c r="BS11" s="1">
        <f>+AB11</f>
        <v>327.52</v>
      </c>
      <c r="BT11" s="1">
        <f>+AD11</f>
        <v>150</v>
      </c>
      <c r="BU11" s="1">
        <f>+AF11</f>
        <v>0</v>
      </c>
      <c r="BV11" s="1">
        <f>+AH11</f>
        <v>0</v>
      </c>
      <c r="BW11" s="1">
        <f>+AJ11</f>
        <v>0</v>
      </c>
      <c r="BX11" s="1">
        <f>+AL11</f>
        <v>0</v>
      </c>
      <c r="BY11" s="1">
        <f>+AN11</f>
        <v>0</v>
      </c>
      <c r="BZ11" s="1">
        <f>+AP11</f>
        <v>0</v>
      </c>
      <c r="CA11" s="1">
        <f>+AR11</f>
        <v>0</v>
      </c>
      <c r="CB11" s="1">
        <f>+AT11</f>
        <v>0</v>
      </c>
      <c r="CC11" s="1">
        <f>+AV11</f>
        <v>0</v>
      </c>
      <c r="CD11" s="1">
        <f>+AX11</f>
        <v>0</v>
      </c>
      <c r="CE11" s="1">
        <f>+AZ11</f>
        <v>0</v>
      </c>
      <c r="CF11" s="1">
        <f>+BB11</f>
        <v>0</v>
      </c>
    </row>
    <row r="12" spans="2:86" s="6" customFormat="1" ht="18" customHeight="1">
      <c r="B12" s="62" t="s">
        <v>742</v>
      </c>
      <c r="C12" s="25" t="s">
        <v>743</v>
      </c>
      <c r="D12" s="49"/>
      <c r="E12" s="85"/>
      <c r="F12" s="50"/>
      <c r="G12" s="63">
        <f>+SUM(G13:G21)</f>
        <v>25925.16350000001</v>
      </c>
      <c r="H12" s="51"/>
      <c r="I12" s="52" t="str">
        <f>+IF(SUM(I13:I21)=0,"",SUM(I13:I21))</f>
        <v/>
      </c>
      <c r="J12" s="53"/>
      <c r="K12" s="52" t="str">
        <f>+IF(SUM(K13:K21)=0,"",SUM(K13:K21))</f>
        <v/>
      </c>
      <c r="L12" s="53"/>
      <c r="M12" s="52" t="str">
        <f>+IF(SUM(M13:M21)=0,"",SUM(M13:M21))</f>
        <v/>
      </c>
      <c r="N12" s="53"/>
      <c r="O12" s="52" t="str">
        <f>+IF(SUM(O13:O21)=0,"",SUM(O13:O21))</f>
        <v/>
      </c>
      <c r="P12" s="53"/>
      <c r="Q12" s="52" t="str">
        <f>+IF(SUM(Q13:Q21)=0,"",SUM(Q13:Q21))</f>
        <v/>
      </c>
      <c r="R12" s="53"/>
      <c r="S12" s="52" t="str">
        <f>+IF(SUM(S13:S21)=0,"",SUM(S13:S21))</f>
        <v/>
      </c>
      <c r="T12" s="53"/>
      <c r="U12" s="52" t="str">
        <f>+IF(SUM(U13:U21)=0,"",SUM(U13:U21))</f>
        <v/>
      </c>
      <c r="V12" s="53"/>
      <c r="W12" s="52" t="str">
        <f>+IF(SUM(W13:W21)=0,"",SUM(W13:W21))</f>
        <v/>
      </c>
      <c r="X12" s="91"/>
      <c r="Y12" s="52" t="str">
        <f>+IF(SUM(Y13:Y21)=0,"",SUM(Y13:Y21))</f>
        <v/>
      </c>
      <c r="Z12" s="91"/>
      <c r="AA12" s="52" t="str">
        <f>+IF(SUM(AA13:AA21)=0,"",SUM(AA13:AA21))</f>
        <v/>
      </c>
      <c r="AB12" s="91"/>
      <c r="AC12" s="52">
        <f>+IF(SUM(AC13:AC21)=0,"",SUM(AC13:AC21))</f>
        <v>4606.6290000000017</v>
      </c>
      <c r="AD12" s="91"/>
      <c r="AE12" s="52">
        <f>+IF(SUM(AE13:AE21)=0,"",SUM(AE13:AE21))</f>
        <v>16096.956000000002</v>
      </c>
      <c r="AF12" s="50"/>
      <c r="AG12" s="52">
        <f>+IF(SUM(AG13:AG21)=0,"",SUM(AG13:AG21))</f>
        <v>4170.8645000000024</v>
      </c>
      <c r="AH12" s="91"/>
      <c r="AI12" s="52" t="str">
        <f>+IF(SUM(AI13:AI21)=0,"",SUM(AI13:AI21))</f>
        <v/>
      </c>
      <c r="AJ12" s="53"/>
      <c r="AK12" s="52" t="str">
        <f>+IF(SUM(AK13:AK21)=0,"",SUM(AK13:AK21))</f>
        <v/>
      </c>
      <c r="AL12" s="53"/>
      <c r="AM12" s="52" t="str">
        <f>+IF(SUM(AM13:AM21)=0,"",SUM(AM13:AM21))</f>
        <v/>
      </c>
      <c r="AN12" s="53"/>
      <c r="AO12" s="52" t="str">
        <f>+IF(SUM(AO13:AO21)=0,"",SUM(AO13:AO21))</f>
        <v/>
      </c>
      <c r="AP12" s="53"/>
      <c r="AQ12" s="52" t="str">
        <f>+IF(SUM(AQ13:AQ21)=0,"",SUM(AQ13:AQ21))</f>
        <v/>
      </c>
      <c r="AR12" s="53"/>
      <c r="AS12" s="52" t="str">
        <f>+IF(SUM(AS13:AS21)=0,"",SUM(AS13:AS21))</f>
        <v/>
      </c>
      <c r="AT12" s="53"/>
      <c r="AU12" s="52" t="str">
        <f>+IF(SUM(AU13:AU21)=0,"",SUM(AU13:AU21))</f>
        <v/>
      </c>
      <c r="AV12" s="53"/>
      <c r="AW12" s="52" t="str">
        <f>+IF(SUM(AW13:AW21)=0,"",SUM(AW13:AW21))</f>
        <v/>
      </c>
      <c r="AX12" s="53"/>
      <c r="AY12" s="52" t="str">
        <f>+IF(SUM(AY13:AY21)=0,"",SUM(AY13:AY21))</f>
        <v/>
      </c>
      <c r="AZ12" s="53"/>
      <c r="BA12" s="52" t="str">
        <f>+IF(SUM(BA13:BA21)=0,"",SUM(BA13:BA21))</f>
        <v/>
      </c>
      <c r="BB12" s="53"/>
      <c r="BC12" s="52" t="str">
        <f>+IF(SUM(BC13:BC21)=0,"",SUM(BC13:BC21))</f>
        <v/>
      </c>
      <c r="BD12" s="54"/>
      <c r="BE12" s="52">
        <f>+SUM(BE13:BE21)</f>
        <v>24874.44950000001</v>
      </c>
      <c r="BF12" s="54"/>
      <c r="BG12" s="52">
        <f>+SUM(BG13:BG21)</f>
        <v>1050.7140000000002</v>
      </c>
      <c r="BH12" s="96"/>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row>
    <row r="13" spans="2:86" ht="78.75" outlineLevel="1">
      <c r="B13" s="19"/>
      <c r="C13" s="26" t="s">
        <v>796</v>
      </c>
      <c r="D13" s="55">
        <v>-150</v>
      </c>
      <c r="F13" s="56">
        <v>37.549999999999997</v>
      </c>
      <c r="G13" s="57">
        <f t="shared" ref="G13:G21" si="13">+D13*F13</f>
        <v>-5632.5</v>
      </c>
      <c r="H13" s="28"/>
      <c r="I13" s="59" t="str">
        <f>+IF(OR($F13="",H13=""),"",$F13*H13)</f>
        <v/>
      </c>
      <c r="J13" s="60"/>
      <c r="K13" s="59" t="str">
        <f>+IF(OR($F13="",J13=""),"",$F13*J13)</f>
        <v/>
      </c>
      <c r="L13" s="60"/>
      <c r="M13" s="59" t="str">
        <f>+IF(OR($F13="",L13=""),"",$F13*L13)</f>
        <v/>
      </c>
      <c r="N13" s="60"/>
      <c r="O13" s="59" t="str">
        <f>+IF(OR($F13="",N13=""),"",$F13*N13)</f>
        <v/>
      </c>
      <c r="P13" s="60"/>
      <c r="Q13" s="59" t="str">
        <f>+IF(OR($F13="",P13=""),"",$F13*P13)</f>
        <v/>
      </c>
      <c r="R13" s="60"/>
      <c r="S13" s="59" t="str">
        <f>+IF(OR($F13="",R13=""),"",$F13*R13)</f>
        <v/>
      </c>
      <c r="T13" s="60"/>
      <c r="U13" s="59" t="str">
        <f>+IF(OR($F13="",T13=""),"",$F13*T13)</f>
        <v/>
      </c>
      <c r="V13" s="60"/>
      <c r="W13" s="59" t="str">
        <f>+IF(OR($F13="",V13=""),"",$F13*V13)</f>
        <v/>
      </c>
      <c r="X13" s="95"/>
      <c r="Y13" s="59" t="str">
        <f>+IF(OR($F13="",X13=""),"",$F13*X13)</f>
        <v/>
      </c>
      <c r="Z13" s="95"/>
      <c r="AA13" s="59" t="str">
        <f>+IF(OR($F13="",Z13=""),"",$F13*Z13)</f>
        <v/>
      </c>
      <c r="AB13" s="95">
        <v>-50</v>
      </c>
      <c r="AC13" s="59">
        <f>+IF(OR($F13="",AB13=""),"",$F13*AB13)</f>
        <v>-1877.4999999999998</v>
      </c>
      <c r="AD13" s="95">
        <v>-50</v>
      </c>
      <c r="AE13" s="59">
        <f>+IF(OR($F13="",AD13=""),"",$F13*AD13)</f>
        <v>-1877.4999999999998</v>
      </c>
      <c r="AF13" s="95">
        <v>-50</v>
      </c>
      <c r="AG13" s="59">
        <f>+IF(OR($F13="",AF13=""),"",$F13*AF13)</f>
        <v>-1877.4999999999998</v>
      </c>
      <c r="AH13" s="95"/>
      <c r="AI13" s="59" t="str">
        <f>+IF(OR($F13="",AH13=""),"",$F13*AH13)</f>
        <v/>
      </c>
      <c r="AJ13" s="60"/>
      <c r="AK13" s="59" t="str">
        <f>+IF(OR($F13="",AJ13=""),"",$F13*AJ13)</f>
        <v/>
      </c>
      <c r="AL13" s="60"/>
      <c r="AM13" s="59" t="str">
        <f>+IF(OR($F13="",AL13=""),"",$F13*AL13)</f>
        <v/>
      </c>
      <c r="AN13" s="60"/>
      <c r="AO13" s="59" t="str">
        <f>+IF(OR($F13="",AN13=""),"",$F13*AN13)</f>
        <v/>
      </c>
      <c r="AP13" s="60"/>
      <c r="AQ13" s="59" t="str">
        <f>+IF(OR($F13="",AP13=""),"",$F13*AP13)</f>
        <v/>
      </c>
      <c r="AR13" s="60"/>
      <c r="AS13" s="59" t="str">
        <f>+IF(OR($F13="",AR13=""),"",$F13*AR13)</f>
        <v/>
      </c>
      <c r="AT13" s="60"/>
      <c r="AU13" s="59" t="str">
        <f>+IF(OR($F13="",AT13=""),"",$F13*AT13)</f>
        <v/>
      </c>
      <c r="AV13" s="60"/>
      <c r="AW13" s="59" t="str">
        <f>+IF(OR($F13="",AV13=""),"",$F13*AV13)</f>
        <v/>
      </c>
      <c r="AX13" s="60"/>
      <c r="AY13" s="59" t="str">
        <f>+IF(OR($F13="",AX13=""),"",$F13*AX13)</f>
        <v/>
      </c>
      <c r="AZ13" s="60"/>
      <c r="BA13" s="59" t="str">
        <f>+IF(OR($F13="",AZ13=""),"",$F13*AZ13)</f>
        <v/>
      </c>
      <c r="BB13" s="60"/>
      <c r="BC13" s="59" t="str">
        <f>+IF(OR($F13="",BB13=""),"",$F13*BB13)</f>
        <v/>
      </c>
      <c r="BD13" s="61">
        <f>+SUM(BI13:CF13)</f>
        <v>-150</v>
      </c>
      <c r="BE13" s="59">
        <f>+IF(OR($F13="",BD13=""),"",$F13*BD13)</f>
        <v>-5632.5</v>
      </c>
      <c r="BF13" s="61">
        <f t="shared" ref="BF13:BF21" si="14">+D13-BD13</f>
        <v>0</v>
      </c>
      <c r="BG13" s="59">
        <f>+IF(OR($F13="",BF13=""),"",$F13*BF13)</f>
        <v>0</v>
      </c>
      <c r="BH13" s="96"/>
      <c r="BI13" s="1">
        <f>+H13</f>
        <v>0</v>
      </c>
      <c r="BJ13" s="1">
        <f>+J13</f>
        <v>0</v>
      </c>
      <c r="BK13" s="1">
        <f>+L13</f>
        <v>0</v>
      </c>
      <c r="BL13" s="1">
        <f>+N13</f>
        <v>0</v>
      </c>
      <c r="BM13" s="1">
        <f>+P13</f>
        <v>0</v>
      </c>
      <c r="BN13" s="1">
        <f>+R13</f>
        <v>0</v>
      </c>
      <c r="BO13" s="1">
        <f>+T13</f>
        <v>0</v>
      </c>
      <c r="BP13" s="1">
        <f>+V13</f>
        <v>0</v>
      </c>
      <c r="BQ13" s="1">
        <f>+X13</f>
        <v>0</v>
      </c>
      <c r="BR13" s="1">
        <f>+Z13</f>
        <v>0</v>
      </c>
      <c r="BS13" s="1">
        <f>+AB13</f>
        <v>-50</v>
      </c>
      <c r="BT13" s="1">
        <f>+AD13</f>
        <v>-50</v>
      </c>
      <c r="BU13" s="1">
        <f>+AF13</f>
        <v>-50</v>
      </c>
      <c r="BV13" s="1">
        <f>+AH13</f>
        <v>0</v>
      </c>
      <c r="BW13" s="1">
        <f>+AJ13</f>
        <v>0</v>
      </c>
      <c r="BX13" s="1">
        <f>+AL13</f>
        <v>0</v>
      </c>
      <c r="BY13" s="1">
        <f>+AN13</f>
        <v>0</v>
      </c>
      <c r="BZ13" s="1">
        <f>+AP13</f>
        <v>0</v>
      </c>
      <c r="CA13" s="1">
        <f>+AR13</f>
        <v>0</v>
      </c>
      <c r="CB13" s="1">
        <f>+AT13</f>
        <v>0</v>
      </c>
      <c r="CC13" s="1">
        <f>+AV13</f>
        <v>0</v>
      </c>
      <c r="CD13" s="1">
        <f>+AX13</f>
        <v>0</v>
      </c>
      <c r="CE13" s="1">
        <f>+AZ13</f>
        <v>0</v>
      </c>
      <c r="CF13" s="1">
        <f>+BB13</f>
        <v>0</v>
      </c>
    </row>
    <row r="14" spans="2:86" ht="78.75" outlineLevel="1">
      <c r="C14" s="27" t="s">
        <v>797</v>
      </c>
      <c r="D14" s="55">
        <v>-19.3</v>
      </c>
      <c r="F14" s="56">
        <v>65.22</v>
      </c>
      <c r="G14" s="57">
        <f t="shared" si="13"/>
        <v>-1258.7460000000001</v>
      </c>
      <c r="H14" s="28"/>
      <c r="I14" s="59" t="str">
        <f t="shared" ref="I14:I20" si="15">+IF(OR($F14="",H14=""),"",$F14*H14)</f>
        <v/>
      </c>
      <c r="J14" s="60"/>
      <c r="K14" s="59" t="str">
        <f t="shared" ref="K14:M21" si="16">+IF(OR($F14="",J14=""),"",$F14*J14)</f>
        <v/>
      </c>
      <c r="L14" s="60"/>
      <c r="M14" s="59" t="str">
        <f t="shared" si="16"/>
        <v/>
      </c>
      <c r="N14" s="60"/>
      <c r="O14" s="59" t="str">
        <f t="shared" ref="O14" si="17">+IF(OR($F14="",N14=""),"",$F14*N14)</f>
        <v/>
      </c>
      <c r="P14" s="60"/>
      <c r="Q14" s="59" t="str">
        <f t="shared" ref="Q14" si="18">+IF(OR($F14="",P14=""),"",$F14*P14)</f>
        <v/>
      </c>
      <c r="R14" s="60"/>
      <c r="S14" s="59" t="str">
        <f t="shared" ref="S14" si="19">+IF(OR($F14="",R14=""),"",$F14*R14)</f>
        <v/>
      </c>
      <c r="T14" s="60"/>
      <c r="U14" s="59" t="str">
        <f t="shared" ref="U14" si="20">+IF(OR($F14="",T14=""),"",$F14*T14)</f>
        <v/>
      </c>
      <c r="V14" s="60"/>
      <c r="W14" s="59" t="str">
        <f t="shared" ref="W14" si="21">+IF(OR($F14="",V14=""),"",$F14*V14)</f>
        <v/>
      </c>
      <c r="X14" s="95"/>
      <c r="Y14" s="59" t="str">
        <f t="shared" ref="Y14" si="22">+IF(OR($F14="",X14=""),"",$F14*X14)</f>
        <v/>
      </c>
      <c r="Z14" s="95"/>
      <c r="AA14" s="59" t="str">
        <f t="shared" ref="AA14" si="23">+IF(OR($F14="",Z14=""),"",$F14*Z14)</f>
        <v/>
      </c>
      <c r="AB14" s="95"/>
      <c r="AC14" s="59" t="str">
        <f t="shared" ref="AC14" si="24">+IF(OR($F14="",AB14=""),"",$F14*AB14)</f>
        <v/>
      </c>
      <c r="AD14" s="95"/>
      <c r="AE14" s="59" t="str">
        <f t="shared" ref="AE14" si="25">+IF(OR($F14="",AD14=""),"",$F14*AD14)</f>
        <v/>
      </c>
      <c r="AF14" s="95">
        <v>-19.3</v>
      </c>
      <c r="AG14" s="59">
        <f t="shared" ref="AG14:BC14" si="26">+IF(OR($F14="",AF14=""),"",$F14*AF14)</f>
        <v>-1258.7460000000001</v>
      </c>
      <c r="AH14" s="95"/>
      <c r="AI14" s="59" t="str">
        <f t="shared" si="26"/>
        <v/>
      </c>
      <c r="AJ14" s="60"/>
      <c r="AK14" s="59" t="str">
        <f t="shared" si="26"/>
        <v/>
      </c>
      <c r="AL14" s="60"/>
      <c r="AM14" s="59" t="str">
        <f t="shared" si="26"/>
        <v/>
      </c>
      <c r="AN14" s="60"/>
      <c r="AO14" s="59" t="str">
        <f t="shared" si="26"/>
        <v/>
      </c>
      <c r="AP14" s="60"/>
      <c r="AQ14" s="59" t="str">
        <f t="shared" si="26"/>
        <v/>
      </c>
      <c r="AR14" s="60"/>
      <c r="AS14" s="59" t="str">
        <f t="shared" si="26"/>
        <v/>
      </c>
      <c r="AT14" s="60"/>
      <c r="AU14" s="59" t="str">
        <f t="shared" si="26"/>
        <v/>
      </c>
      <c r="AV14" s="60"/>
      <c r="AW14" s="59" t="str">
        <f t="shared" si="26"/>
        <v/>
      </c>
      <c r="AX14" s="60"/>
      <c r="AY14" s="59" t="str">
        <f t="shared" si="26"/>
        <v/>
      </c>
      <c r="AZ14" s="60"/>
      <c r="BA14" s="59" t="str">
        <f t="shared" si="26"/>
        <v/>
      </c>
      <c r="BB14" s="60"/>
      <c r="BC14" s="59" t="str">
        <f t="shared" si="26"/>
        <v/>
      </c>
      <c r="BD14" s="61">
        <f t="shared" ref="BD14:BD20" si="27">+SUM(BI14:CF14)</f>
        <v>-19.3</v>
      </c>
      <c r="BE14" s="59">
        <f t="shared" ref="BE14:BE20" si="28">+IF(OR($F14="",BD14=""),"",$F14*BD14)</f>
        <v>-1258.7460000000001</v>
      </c>
      <c r="BF14" s="61">
        <f t="shared" si="14"/>
        <v>0</v>
      </c>
      <c r="BG14" s="59">
        <f t="shared" ref="BG14:BG20" si="29">+IF(OR($F14="",BF14=""),"",$F14*BF14)</f>
        <v>0</v>
      </c>
      <c r="BH14" s="96"/>
      <c r="BI14" s="1">
        <f t="shared" ref="BI14:BI20" si="30">+H14</f>
        <v>0</v>
      </c>
      <c r="BJ14" s="1">
        <f t="shared" ref="BJ14:BJ20" si="31">+J14</f>
        <v>0</v>
      </c>
      <c r="BK14" s="1">
        <f t="shared" ref="BK14:BK20" si="32">+L14</f>
        <v>0</v>
      </c>
      <c r="BL14" s="1">
        <f t="shared" ref="BL14:BL20" si="33">+N14</f>
        <v>0</v>
      </c>
      <c r="BM14" s="1">
        <f t="shared" ref="BM14:BM20" si="34">+P14</f>
        <v>0</v>
      </c>
      <c r="BN14" s="1">
        <f t="shared" ref="BN14:BN20" si="35">+R14</f>
        <v>0</v>
      </c>
      <c r="BO14" s="1">
        <f t="shared" ref="BO14:BO20" si="36">+T14</f>
        <v>0</v>
      </c>
      <c r="BP14" s="1">
        <f t="shared" ref="BP14:BP20" si="37">+V14</f>
        <v>0</v>
      </c>
      <c r="BQ14" s="1">
        <f t="shared" ref="BQ14:BQ20" si="38">+X14</f>
        <v>0</v>
      </c>
      <c r="BR14" s="1">
        <f t="shared" ref="BR14:BR20" si="39">+Z14</f>
        <v>0</v>
      </c>
      <c r="BS14" s="1">
        <f t="shared" ref="BS14:BS20" si="40">+AB14</f>
        <v>0</v>
      </c>
      <c r="BT14" s="1">
        <f t="shared" ref="BT14:BT20" si="41">+AD14</f>
        <v>0</v>
      </c>
      <c r="BU14" s="1">
        <f t="shared" ref="BU14:BU20" si="42">+AF14</f>
        <v>-19.3</v>
      </c>
      <c r="BV14" s="1">
        <f t="shared" ref="BV14:BV20" si="43">+AH14</f>
        <v>0</v>
      </c>
      <c r="BW14" s="1">
        <f t="shared" ref="BW14:BW20" si="44">+AJ14</f>
        <v>0</v>
      </c>
      <c r="BX14" s="1">
        <f t="shared" ref="BX14:BX20" si="45">+AL14</f>
        <v>0</v>
      </c>
      <c r="BY14" s="1">
        <f t="shared" ref="BY14:BY20" si="46">+AN14</f>
        <v>0</v>
      </c>
      <c r="BZ14" s="1">
        <f t="shared" ref="BZ14:BZ20" si="47">+AP14</f>
        <v>0</v>
      </c>
      <c r="CA14" s="1">
        <f t="shared" ref="CA14:CA20" si="48">+AR14</f>
        <v>0</v>
      </c>
      <c r="CB14" s="1">
        <f t="shared" ref="CB14:CB20" si="49">+AT14</f>
        <v>0</v>
      </c>
      <c r="CC14" s="1">
        <f t="shared" ref="CC14:CC20" si="50">+AV14</f>
        <v>0</v>
      </c>
      <c r="CD14" s="1">
        <f t="shared" ref="CD14:CD20" si="51">+AX14</f>
        <v>0</v>
      </c>
      <c r="CE14" s="1">
        <f t="shared" ref="CE14:CE20" si="52">+AZ14</f>
        <v>0</v>
      </c>
      <c r="CF14" s="1">
        <f t="shared" ref="CF14:CF20" si="53">+BB14</f>
        <v>0</v>
      </c>
    </row>
    <row r="15" spans="2:86" ht="78.75" outlineLevel="1">
      <c r="C15" s="27" t="s">
        <v>753</v>
      </c>
      <c r="D15" s="55">
        <v>-60.5</v>
      </c>
      <c r="F15" s="56">
        <v>56.49</v>
      </c>
      <c r="G15" s="57">
        <f t="shared" si="13"/>
        <v>-3417.645</v>
      </c>
      <c r="H15" s="28"/>
      <c r="I15" s="59" t="str">
        <f t="shared" si="15"/>
        <v/>
      </c>
      <c r="J15" s="60"/>
      <c r="K15" s="59" t="str">
        <f t="shared" si="16"/>
        <v/>
      </c>
      <c r="L15" s="60"/>
      <c r="M15" s="59" t="str">
        <f t="shared" si="16"/>
        <v/>
      </c>
      <c r="N15" s="60"/>
      <c r="O15" s="59" t="str">
        <f t="shared" ref="O15" si="54">+IF(OR($F15="",N15=""),"",$F15*N15)</f>
        <v/>
      </c>
      <c r="P15" s="60"/>
      <c r="Q15" s="59" t="str">
        <f t="shared" ref="Q15" si="55">+IF(OR($F15="",P15=""),"",$F15*P15)</f>
        <v/>
      </c>
      <c r="R15" s="60"/>
      <c r="S15" s="59" t="str">
        <f t="shared" ref="S15" si="56">+IF(OR($F15="",R15=""),"",$F15*R15)</f>
        <v/>
      </c>
      <c r="T15" s="60"/>
      <c r="U15" s="59" t="str">
        <f t="shared" ref="U15" si="57">+IF(OR($F15="",T15=""),"",$F15*T15)</f>
        <v/>
      </c>
      <c r="V15" s="60"/>
      <c r="W15" s="59" t="str">
        <f t="shared" ref="W15" si="58">+IF(OR($F15="",V15=""),"",$F15*V15)</f>
        <v/>
      </c>
      <c r="X15" s="95"/>
      <c r="Y15" s="59" t="str">
        <f t="shared" ref="Y15" si="59">+IF(OR($F15="",X15=""),"",$F15*X15)</f>
        <v/>
      </c>
      <c r="Z15" s="95"/>
      <c r="AA15" s="59" t="str">
        <f t="shared" ref="AA15" si="60">+IF(OR($F15="",Z15=""),"",$F15*Z15)</f>
        <v/>
      </c>
      <c r="AB15" s="95">
        <v>-30.5</v>
      </c>
      <c r="AC15" s="59">
        <f t="shared" ref="AC15" si="61">+IF(OR($F15="",AB15=""),"",$F15*AB15)</f>
        <v>-1722.9450000000002</v>
      </c>
      <c r="AD15" s="95"/>
      <c r="AE15" s="59" t="str">
        <f t="shared" ref="AE15" si="62">+IF(OR($F15="",AD15=""),"",$F15*AD15)</f>
        <v/>
      </c>
      <c r="AF15" s="95">
        <v>-30</v>
      </c>
      <c r="AG15" s="59">
        <f t="shared" ref="AG15:BC15" si="63">+IF(OR($F15="",AF15=""),"",$F15*AF15)</f>
        <v>-1694.7</v>
      </c>
      <c r="AH15" s="95"/>
      <c r="AI15" s="59" t="str">
        <f t="shared" si="63"/>
        <v/>
      </c>
      <c r="AJ15" s="60"/>
      <c r="AK15" s="59" t="str">
        <f t="shared" si="63"/>
        <v/>
      </c>
      <c r="AL15" s="60"/>
      <c r="AM15" s="59" t="str">
        <f t="shared" si="63"/>
        <v/>
      </c>
      <c r="AN15" s="60"/>
      <c r="AO15" s="59" t="str">
        <f t="shared" si="63"/>
        <v/>
      </c>
      <c r="AP15" s="60"/>
      <c r="AQ15" s="59" t="str">
        <f t="shared" si="63"/>
        <v/>
      </c>
      <c r="AR15" s="60"/>
      <c r="AS15" s="59" t="str">
        <f t="shared" si="63"/>
        <v/>
      </c>
      <c r="AT15" s="60"/>
      <c r="AU15" s="59" t="str">
        <f t="shared" si="63"/>
        <v/>
      </c>
      <c r="AV15" s="60"/>
      <c r="AW15" s="59" t="str">
        <f t="shared" si="63"/>
        <v/>
      </c>
      <c r="AX15" s="60"/>
      <c r="AY15" s="59" t="str">
        <f t="shared" si="63"/>
        <v/>
      </c>
      <c r="AZ15" s="60"/>
      <c r="BA15" s="59" t="str">
        <f t="shared" si="63"/>
        <v/>
      </c>
      <c r="BB15" s="60"/>
      <c r="BC15" s="59" t="str">
        <f t="shared" si="63"/>
        <v/>
      </c>
      <c r="BD15" s="61">
        <f t="shared" si="27"/>
        <v>-60.5</v>
      </c>
      <c r="BE15" s="59">
        <f t="shared" si="28"/>
        <v>-3417.645</v>
      </c>
      <c r="BF15" s="61">
        <f t="shared" si="14"/>
        <v>0</v>
      </c>
      <c r="BG15" s="59">
        <f t="shared" si="29"/>
        <v>0</v>
      </c>
      <c r="BH15" s="96"/>
      <c r="BI15" s="1">
        <f t="shared" si="30"/>
        <v>0</v>
      </c>
      <c r="BJ15" s="1">
        <f t="shared" si="31"/>
        <v>0</v>
      </c>
      <c r="BK15" s="1">
        <f t="shared" si="32"/>
        <v>0</v>
      </c>
      <c r="BL15" s="1">
        <f t="shared" si="33"/>
        <v>0</v>
      </c>
      <c r="BM15" s="1">
        <f t="shared" si="34"/>
        <v>0</v>
      </c>
      <c r="BN15" s="1">
        <f t="shared" si="35"/>
        <v>0</v>
      </c>
      <c r="BO15" s="1">
        <f t="shared" si="36"/>
        <v>0</v>
      </c>
      <c r="BP15" s="1">
        <f t="shared" si="37"/>
        <v>0</v>
      </c>
      <c r="BQ15" s="1">
        <f t="shared" si="38"/>
        <v>0</v>
      </c>
      <c r="BR15" s="1">
        <f t="shared" si="39"/>
        <v>0</v>
      </c>
      <c r="BS15" s="1">
        <f t="shared" si="40"/>
        <v>-30.5</v>
      </c>
      <c r="BT15" s="1">
        <f t="shared" si="41"/>
        <v>0</v>
      </c>
      <c r="BU15" s="1">
        <f t="shared" si="42"/>
        <v>-30</v>
      </c>
      <c r="BV15" s="1">
        <f t="shared" si="43"/>
        <v>0</v>
      </c>
      <c r="BW15" s="1">
        <f t="shared" si="44"/>
        <v>0</v>
      </c>
      <c r="BX15" s="1">
        <f t="shared" si="45"/>
        <v>0</v>
      </c>
      <c r="BY15" s="1">
        <f t="shared" si="46"/>
        <v>0</v>
      </c>
      <c r="BZ15" s="1">
        <f t="shared" si="47"/>
        <v>0</v>
      </c>
      <c r="CA15" s="1">
        <f t="shared" si="48"/>
        <v>0</v>
      </c>
      <c r="CB15" s="1">
        <f t="shared" si="49"/>
        <v>0</v>
      </c>
      <c r="CC15" s="1">
        <f t="shared" si="50"/>
        <v>0</v>
      </c>
      <c r="CD15" s="1">
        <f t="shared" si="51"/>
        <v>0</v>
      </c>
      <c r="CE15" s="1">
        <f t="shared" si="52"/>
        <v>0</v>
      </c>
      <c r="CF15" s="1">
        <f t="shared" si="53"/>
        <v>0</v>
      </c>
    </row>
    <row r="16" spans="2:86" ht="72.75" customHeight="1" outlineLevel="1">
      <c r="C16" s="27" t="s">
        <v>798</v>
      </c>
      <c r="D16" s="55">
        <v>-48.2</v>
      </c>
      <c r="F16" s="56">
        <v>45.2</v>
      </c>
      <c r="G16" s="57">
        <f t="shared" si="13"/>
        <v>-2178.6400000000003</v>
      </c>
      <c r="H16" s="28"/>
      <c r="I16" s="59" t="str">
        <f t="shared" si="15"/>
        <v/>
      </c>
      <c r="J16" s="60"/>
      <c r="K16" s="59" t="str">
        <f t="shared" si="16"/>
        <v/>
      </c>
      <c r="L16" s="60"/>
      <c r="M16" s="59" t="str">
        <f t="shared" si="16"/>
        <v/>
      </c>
      <c r="N16" s="60"/>
      <c r="O16" s="59" t="str">
        <f t="shared" ref="O16" si="64">+IF(OR($F16="",N16=""),"",$F16*N16)</f>
        <v/>
      </c>
      <c r="P16" s="60"/>
      <c r="Q16" s="59" t="str">
        <f t="shared" ref="Q16" si="65">+IF(OR($F16="",P16=""),"",$F16*P16)</f>
        <v/>
      </c>
      <c r="R16" s="60"/>
      <c r="S16" s="59" t="str">
        <f t="shared" ref="S16" si="66">+IF(OR($F16="",R16=""),"",$F16*R16)</f>
        <v/>
      </c>
      <c r="T16" s="60"/>
      <c r="U16" s="59" t="str">
        <f t="shared" ref="U16" si="67">+IF(OR($F16="",T16=""),"",$F16*T16)</f>
        <v/>
      </c>
      <c r="V16" s="60"/>
      <c r="W16" s="59" t="str">
        <f t="shared" ref="W16" si="68">+IF(OR($F16="",V16=""),"",$F16*V16)</f>
        <v/>
      </c>
      <c r="X16" s="95"/>
      <c r="Y16" s="59" t="str">
        <f t="shared" ref="Y16" si="69">+IF(OR($F16="",X16=""),"",$F16*X16)</f>
        <v/>
      </c>
      <c r="Z16" s="95"/>
      <c r="AA16" s="59" t="str">
        <f t="shared" ref="AA16" si="70">+IF(OR($F16="",Z16=""),"",$F16*Z16)</f>
        <v/>
      </c>
      <c r="AB16" s="95"/>
      <c r="AC16" s="59" t="str">
        <f t="shared" ref="AC16" si="71">+IF(OR($F16="",AB16=""),"",$F16*AB16)</f>
        <v/>
      </c>
      <c r="AD16" s="95"/>
      <c r="AE16" s="59" t="str">
        <f t="shared" ref="AE16" si="72">+IF(OR($F16="",AD16=""),"",$F16*AD16)</f>
        <v/>
      </c>
      <c r="AF16" s="95">
        <v>-48.2</v>
      </c>
      <c r="AG16" s="59">
        <f t="shared" ref="AG16:BC16" si="73">+IF(OR($F16="",AF16=""),"",$F16*AF16)</f>
        <v>-2178.6400000000003</v>
      </c>
      <c r="AH16" s="95"/>
      <c r="AI16" s="59" t="str">
        <f t="shared" si="73"/>
        <v/>
      </c>
      <c r="AJ16" s="60"/>
      <c r="AK16" s="59" t="str">
        <f t="shared" si="73"/>
        <v/>
      </c>
      <c r="AL16" s="60"/>
      <c r="AM16" s="59" t="str">
        <f t="shared" si="73"/>
        <v/>
      </c>
      <c r="AN16" s="60"/>
      <c r="AO16" s="59" t="str">
        <f t="shared" si="73"/>
        <v/>
      </c>
      <c r="AP16" s="60"/>
      <c r="AQ16" s="59" t="str">
        <f t="shared" si="73"/>
        <v/>
      </c>
      <c r="AR16" s="60"/>
      <c r="AS16" s="59" t="str">
        <f t="shared" si="73"/>
        <v/>
      </c>
      <c r="AT16" s="60"/>
      <c r="AU16" s="59" t="str">
        <f t="shared" si="73"/>
        <v/>
      </c>
      <c r="AV16" s="60"/>
      <c r="AW16" s="59" t="str">
        <f t="shared" si="73"/>
        <v/>
      </c>
      <c r="AX16" s="60"/>
      <c r="AY16" s="59" t="str">
        <f t="shared" si="73"/>
        <v/>
      </c>
      <c r="AZ16" s="60"/>
      <c r="BA16" s="59" t="str">
        <f t="shared" si="73"/>
        <v/>
      </c>
      <c r="BB16" s="60"/>
      <c r="BC16" s="59" t="str">
        <f t="shared" si="73"/>
        <v/>
      </c>
      <c r="BD16" s="61">
        <f t="shared" si="27"/>
        <v>-48.2</v>
      </c>
      <c r="BE16" s="59">
        <f t="shared" si="28"/>
        <v>-2178.6400000000003</v>
      </c>
      <c r="BF16" s="61">
        <f t="shared" si="14"/>
        <v>0</v>
      </c>
      <c r="BG16" s="59">
        <f t="shared" si="29"/>
        <v>0</v>
      </c>
      <c r="BH16" s="96"/>
      <c r="BI16" s="1">
        <f t="shared" si="30"/>
        <v>0</v>
      </c>
      <c r="BJ16" s="1">
        <f t="shared" si="31"/>
        <v>0</v>
      </c>
      <c r="BK16" s="1">
        <f t="shared" si="32"/>
        <v>0</v>
      </c>
      <c r="BL16" s="1">
        <f t="shared" si="33"/>
        <v>0</v>
      </c>
      <c r="BM16" s="1">
        <f t="shared" si="34"/>
        <v>0</v>
      </c>
      <c r="BN16" s="1">
        <f t="shared" si="35"/>
        <v>0</v>
      </c>
      <c r="BO16" s="1">
        <f t="shared" si="36"/>
        <v>0</v>
      </c>
      <c r="BP16" s="1">
        <f t="shared" si="37"/>
        <v>0</v>
      </c>
      <c r="BQ16" s="1">
        <f t="shared" si="38"/>
        <v>0</v>
      </c>
      <c r="BR16" s="1">
        <f t="shared" si="39"/>
        <v>0</v>
      </c>
      <c r="BS16" s="1">
        <f t="shared" si="40"/>
        <v>0</v>
      </c>
      <c r="BT16" s="1">
        <f t="shared" si="41"/>
        <v>0</v>
      </c>
      <c r="BU16" s="1">
        <f t="shared" si="42"/>
        <v>-48.2</v>
      </c>
      <c r="BV16" s="1">
        <f t="shared" si="43"/>
        <v>0</v>
      </c>
      <c r="BW16" s="1">
        <f t="shared" si="44"/>
        <v>0</v>
      </c>
      <c r="BX16" s="1">
        <f t="shared" si="45"/>
        <v>0</v>
      </c>
      <c r="BY16" s="1">
        <f t="shared" si="46"/>
        <v>0</v>
      </c>
      <c r="BZ16" s="1">
        <f t="shared" si="47"/>
        <v>0</v>
      </c>
      <c r="CA16" s="1">
        <f t="shared" si="48"/>
        <v>0</v>
      </c>
      <c r="CB16" s="1">
        <f t="shared" si="49"/>
        <v>0</v>
      </c>
      <c r="CC16" s="1">
        <f t="shared" si="50"/>
        <v>0</v>
      </c>
      <c r="CD16" s="1">
        <f t="shared" si="51"/>
        <v>0</v>
      </c>
      <c r="CE16" s="1">
        <f t="shared" si="52"/>
        <v>0</v>
      </c>
      <c r="CF16" s="1">
        <f t="shared" si="53"/>
        <v>0</v>
      </c>
    </row>
    <row r="17" spans="2:85" ht="146.25" outlineLevel="1">
      <c r="C17" s="27" t="s">
        <v>754</v>
      </c>
      <c r="D17" s="55">
        <v>235</v>
      </c>
      <c r="F17" s="56">
        <v>61.395400000000009</v>
      </c>
      <c r="G17" s="57">
        <f t="shared" si="13"/>
        <v>14427.919000000002</v>
      </c>
      <c r="H17" s="28"/>
      <c r="I17" s="59" t="str">
        <f t="shared" si="15"/>
        <v/>
      </c>
      <c r="J17" s="60"/>
      <c r="K17" s="59" t="str">
        <f t="shared" si="16"/>
        <v/>
      </c>
      <c r="L17" s="60"/>
      <c r="M17" s="59" t="str">
        <f t="shared" si="16"/>
        <v/>
      </c>
      <c r="N17" s="60"/>
      <c r="O17" s="59" t="str">
        <f t="shared" ref="O17" si="74">+IF(OR($F17="",N17=""),"",$F17*N17)</f>
        <v/>
      </c>
      <c r="P17" s="60"/>
      <c r="Q17" s="59" t="str">
        <f t="shared" ref="Q17" si="75">+IF(OR($F17="",P17=""),"",$F17*P17)</f>
        <v/>
      </c>
      <c r="R17" s="60"/>
      <c r="S17" s="59" t="str">
        <f t="shared" ref="S17" si="76">+IF(OR($F17="",R17=""),"",$F17*R17)</f>
        <v/>
      </c>
      <c r="T17" s="60"/>
      <c r="U17" s="59" t="str">
        <f t="shared" ref="U17" si="77">+IF(OR($F17="",T17=""),"",$F17*T17)</f>
        <v/>
      </c>
      <c r="V17" s="60"/>
      <c r="W17" s="59" t="str">
        <f t="shared" ref="W17" si="78">+IF(OR($F17="",V17=""),"",$F17*V17)</f>
        <v/>
      </c>
      <c r="X17" s="95"/>
      <c r="Y17" s="59" t="str">
        <f t="shared" ref="Y17" si="79">+IF(OR($F17="",X17=""),"",$F17*X17)</f>
        <v/>
      </c>
      <c r="Z17" s="95"/>
      <c r="AA17" s="59" t="str">
        <f t="shared" ref="AA17" si="80">+IF(OR($F17="",Z17=""),"",$F17*Z17)</f>
        <v/>
      </c>
      <c r="AB17" s="95">
        <v>100</v>
      </c>
      <c r="AC17" s="59">
        <f t="shared" ref="AC17" si="81">+IF(OR($F17="",AB17=""),"",$F17*AB17)</f>
        <v>6139.5400000000009</v>
      </c>
      <c r="AD17" s="98">
        <v>85</v>
      </c>
      <c r="AE17" s="59">
        <f t="shared" ref="AE17" si="82">+IF(OR($F17="",AD17=""),"",$F17*AD17)</f>
        <v>5218.6090000000004</v>
      </c>
      <c r="AF17" s="95">
        <v>50</v>
      </c>
      <c r="AG17" s="59">
        <f t="shared" ref="AG17:BC17" si="83">+IF(OR($F17="",AF17=""),"",$F17*AF17)</f>
        <v>3069.7700000000004</v>
      </c>
      <c r="AH17" s="95"/>
      <c r="AI17" s="59" t="str">
        <f t="shared" si="83"/>
        <v/>
      </c>
      <c r="AJ17" s="60"/>
      <c r="AK17" s="59" t="str">
        <f t="shared" si="83"/>
        <v/>
      </c>
      <c r="AL17" s="60"/>
      <c r="AM17" s="59" t="str">
        <f t="shared" si="83"/>
        <v/>
      </c>
      <c r="AN17" s="60"/>
      <c r="AO17" s="59" t="str">
        <f t="shared" si="83"/>
        <v/>
      </c>
      <c r="AP17" s="60"/>
      <c r="AQ17" s="59" t="str">
        <f t="shared" si="83"/>
        <v/>
      </c>
      <c r="AR17" s="60"/>
      <c r="AS17" s="59" t="str">
        <f t="shared" si="83"/>
        <v/>
      </c>
      <c r="AT17" s="60"/>
      <c r="AU17" s="59" t="str">
        <f t="shared" si="83"/>
        <v/>
      </c>
      <c r="AV17" s="60"/>
      <c r="AW17" s="59" t="str">
        <f t="shared" si="83"/>
        <v/>
      </c>
      <c r="AX17" s="60"/>
      <c r="AY17" s="59" t="str">
        <f t="shared" si="83"/>
        <v/>
      </c>
      <c r="AZ17" s="60"/>
      <c r="BA17" s="59" t="str">
        <f t="shared" si="83"/>
        <v/>
      </c>
      <c r="BB17" s="60"/>
      <c r="BC17" s="59" t="str">
        <f t="shared" si="83"/>
        <v/>
      </c>
      <c r="BD17" s="61">
        <f t="shared" si="27"/>
        <v>235</v>
      </c>
      <c r="BE17" s="59">
        <f t="shared" si="28"/>
        <v>14427.919000000002</v>
      </c>
      <c r="BF17" s="61">
        <f t="shared" si="14"/>
        <v>0</v>
      </c>
      <c r="BG17" s="59">
        <f t="shared" si="29"/>
        <v>0</v>
      </c>
      <c r="BH17" s="96" t="s">
        <v>839</v>
      </c>
      <c r="BI17" s="1">
        <f t="shared" si="30"/>
        <v>0</v>
      </c>
      <c r="BJ17" s="1">
        <f t="shared" si="31"/>
        <v>0</v>
      </c>
      <c r="BK17" s="1">
        <f t="shared" si="32"/>
        <v>0</v>
      </c>
      <c r="BL17" s="1">
        <f t="shared" si="33"/>
        <v>0</v>
      </c>
      <c r="BM17" s="1">
        <f t="shared" si="34"/>
        <v>0</v>
      </c>
      <c r="BN17" s="1">
        <f t="shared" si="35"/>
        <v>0</v>
      </c>
      <c r="BO17" s="1">
        <f t="shared" si="36"/>
        <v>0</v>
      </c>
      <c r="BP17" s="1">
        <f t="shared" si="37"/>
        <v>0</v>
      </c>
      <c r="BQ17" s="1">
        <f t="shared" si="38"/>
        <v>0</v>
      </c>
      <c r="BR17" s="1">
        <f t="shared" si="39"/>
        <v>0</v>
      </c>
      <c r="BS17" s="1">
        <f t="shared" si="40"/>
        <v>100</v>
      </c>
      <c r="BT17" s="1">
        <f t="shared" si="41"/>
        <v>85</v>
      </c>
      <c r="BU17" s="1">
        <f t="shared" si="42"/>
        <v>50</v>
      </c>
      <c r="BV17" s="1">
        <f t="shared" si="43"/>
        <v>0</v>
      </c>
      <c r="BW17" s="1">
        <f t="shared" si="44"/>
        <v>0</v>
      </c>
      <c r="BX17" s="1">
        <f t="shared" si="45"/>
        <v>0</v>
      </c>
      <c r="BY17" s="1">
        <f t="shared" si="46"/>
        <v>0</v>
      </c>
      <c r="BZ17" s="1">
        <f t="shared" si="47"/>
        <v>0</v>
      </c>
      <c r="CA17" s="1">
        <f t="shared" si="48"/>
        <v>0</v>
      </c>
      <c r="CB17" s="1">
        <f t="shared" si="49"/>
        <v>0</v>
      </c>
      <c r="CC17" s="1">
        <f t="shared" si="50"/>
        <v>0</v>
      </c>
      <c r="CD17" s="1">
        <f t="shared" si="51"/>
        <v>0</v>
      </c>
      <c r="CE17" s="1">
        <f t="shared" si="52"/>
        <v>0</v>
      </c>
      <c r="CF17" s="1">
        <f t="shared" si="53"/>
        <v>0</v>
      </c>
    </row>
    <row r="18" spans="2:85" ht="33.75" outlineLevel="1">
      <c r="C18" s="27" t="s">
        <v>755</v>
      </c>
      <c r="D18" s="55">
        <v>235</v>
      </c>
      <c r="F18" s="56">
        <v>66.707300000000018</v>
      </c>
      <c r="G18" s="57">
        <f t="shared" si="13"/>
        <v>15676.215500000004</v>
      </c>
      <c r="H18" s="28"/>
      <c r="I18" s="59" t="str">
        <f t="shared" si="15"/>
        <v/>
      </c>
      <c r="J18" s="60"/>
      <c r="K18" s="59" t="str">
        <f t="shared" si="16"/>
        <v/>
      </c>
      <c r="L18" s="60"/>
      <c r="M18" s="59" t="str">
        <f t="shared" si="16"/>
        <v/>
      </c>
      <c r="N18" s="60"/>
      <c r="O18" s="59" t="str">
        <f t="shared" ref="O18" si="84">+IF(OR($F18="",N18=""),"",$F18*N18)</f>
        <v/>
      </c>
      <c r="P18" s="60"/>
      <c r="Q18" s="59" t="str">
        <f t="shared" ref="Q18" si="85">+IF(OR($F18="",P18=""),"",$F18*P18)</f>
        <v/>
      </c>
      <c r="R18" s="60"/>
      <c r="S18" s="59" t="str">
        <f t="shared" ref="S18" si="86">+IF(OR($F18="",R18=""),"",$F18*R18)</f>
        <v/>
      </c>
      <c r="T18" s="60"/>
      <c r="U18" s="59" t="str">
        <f t="shared" ref="U18" si="87">+IF(OR($F18="",T18=""),"",$F18*T18)</f>
        <v/>
      </c>
      <c r="V18" s="60"/>
      <c r="W18" s="59" t="str">
        <f t="shared" ref="W18" si="88">+IF(OR($F18="",V18=""),"",$F18*V18)</f>
        <v/>
      </c>
      <c r="X18" s="95"/>
      <c r="Y18" s="59" t="str">
        <f t="shared" ref="Y18" si="89">+IF(OR($F18="",X18=""),"",$F18*X18)</f>
        <v/>
      </c>
      <c r="Z18" s="95"/>
      <c r="AA18" s="59" t="str">
        <f t="shared" ref="AA18" si="90">+IF(OR($F18="",Z18=""),"",$F18*Z18)</f>
        <v/>
      </c>
      <c r="AB18" s="95"/>
      <c r="AC18" s="59" t="str">
        <f t="shared" ref="AC18" si="91">+IF(OR($F18="",AB18=""),"",$F18*AB18)</f>
        <v/>
      </c>
      <c r="AD18" s="95">
        <v>150</v>
      </c>
      <c r="AE18" s="59">
        <f t="shared" ref="AE18" si="92">+IF(OR($F18="",AD18=""),"",$F18*AD18)</f>
        <v>10006.095000000003</v>
      </c>
      <c r="AF18" s="95">
        <v>85</v>
      </c>
      <c r="AG18" s="59">
        <f t="shared" ref="AG18:BC18" si="93">+IF(OR($F18="",AF18=""),"",$F18*AF18)</f>
        <v>5670.1205000000018</v>
      </c>
      <c r="AH18" s="95"/>
      <c r="AI18" s="59" t="str">
        <f t="shared" si="93"/>
        <v/>
      </c>
      <c r="AJ18" s="60"/>
      <c r="AK18" s="59" t="str">
        <f t="shared" si="93"/>
        <v/>
      </c>
      <c r="AL18" s="60"/>
      <c r="AM18" s="59" t="str">
        <f t="shared" si="93"/>
        <v/>
      </c>
      <c r="AN18" s="60"/>
      <c r="AO18" s="59" t="str">
        <f t="shared" si="93"/>
        <v/>
      </c>
      <c r="AP18" s="60"/>
      <c r="AQ18" s="59" t="str">
        <f t="shared" si="93"/>
        <v/>
      </c>
      <c r="AR18" s="60"/>
      <c r="AS18" s="59" t="str">
        <f t="shared" si="93"/>
        <v/>
      </c>
      <c r="AT18" s="60"/>
      <c r="AU18" s="59" t="str">
        <f t="shared" si="93"/>
        <v/>
      </c>
      <c r="AV18" s="60"/>
      <c r="AW18" s="59" t="str">
        <f t="shared" si="93"/>
        <v/>
      </c>
      <c r="AX18" s="60"/>
      <c r="AY18" s="59" t="str">
        <f t="shared" si="93"/>
        <v/>
      </c>
      <c r="AZ18" s="60"/>
      <c r="BA18" s="59" t="str">
        <f t="shared" si="93"/>
        <v/>
      </c>
      <c r="BB18" s="60"/>
      <c r="BC18" s="59" t="str">
        <f t="shared" si="93"/>
        <v/>
      </c>
      <c r="BD18" s="61">
        <f t="shared" si="27"/>
        <v>235</v>
      </c>
      <c r="BE18" s="59">
        <f t="shared" si="28"/>
        <v>15676.215500000004</v>
      </c>
      <c r="BF18" s="61">
        <f t="shared" si="14"/>
        <v>0</v>
      </c>
      <c r="BG18" s="59">
        <f t="shared" si="29"/>
        <v>0</v>
      </c>
      <c r="BH18" s="96"/>
      <c r="BI18" s="1">
        <f t="shared" si="30"/>
        <v>0</v>
      </c>
      <c r="BJ18" s="1">
        <f t="shared" si="31"/>
        <v>0</v>
      </c>
      <c r="BK18" s="1">
        <f t="shared" si="32"/>
        <v>0</v>
      </c>
      <c r="BL18" s="1">
        <f t="shared" si="33"/>
        <v>0</v>
      </c>
      <c r="BM18" s="1">
        <f t="shared" si="34"/>
        <v>0</v>
      </c>
      <c r="BN18" s="1">
        <f t="shared" si="35"/>
        <v>0</v>
      </c>
      <c r="BO18" s="1">
        <f t="shared" si="36"/>
        <v>0</v>
      </c>
      <c r="BP18" s="1">
        <f t="shared" si="37"/>
        <v>0</v>
      </c>
      <c r="BQ18" s="1">
        <f t="shared" si="38"/>
        <v>0</v>
      </c>
      <c r="BR18" s="1">
        <f t="shared" si="39"/>
        <v>0</v>
      </c>
      <c r="BS18" s="1">
        <f t="shared" si="40"/>
        <v>0</v>
      </c>
      <c r="BT18" s="1">
        <f t="shared" si="41"/>
        <v>150</v>
      </c>
      <c r="BU18" s="1">
        <f t="shared" si="42"/>
        <v>85</v>
      </c>
      <c r="BV18" s="1">
        <f t="shared" si="43"/>
        <v>0</v>
      </c>
      <c r="BW18" s="1">
        <f t="shared" si="44"/>
        <v>0</v>
      </c>
      <c r="BX18" s="1">
        <f t="shared" si="45"/>
        <v>0</v>
      </c>
      <c r="BY18" s="1">
        <f t="shared" si="46"/>
        <v>0</v>
      </c>
      <c r="BZ18" s="1">
        <f t="shared" si="47"/>
        <v>0</v>
      </c>
      <c r="CA18" s="1">
        <f t="shared" si="48"/>
        <v>0</v>
      </c>
      <c r="CB18" s="1">
        <f t="shared" si="49"/>
        <v>0</v>
      </c>
      <c r="CC18" s="1">
        <f t="shared" si="50"/>
        <v>0</v>
      </c>
      <c r="CD18" s="1">
        <f t="shared" si="51"/>
        <v>0</v>
      </c>
      <c r="CE18" s="1">
        <f t="shared" si="52"/>
        <v>0</v>
      </c>
      <c r="CF18" s="1">
        <f t="shared" si="53"/>
        <v>0</v>
      </c>
    </row>
    <row r="19" spans="2:85" ht="33.75" outlineLevel="1">
      <c r="C19" s="27" t="s">
        <v>756</v>
      </c>
      <c r="D19" s="55">
        <v>68.5</v>
      </c>
      <c r="F19" s="56">
        <v>67.788000000000011</v>
      </c>
      <c r="G19" s="57">
        <f t="shared" si="13"/>
        <v>4643.478000000001</v>
      </c>
      <c r="H19" s="28"/>
      <c r="I19" s="59" t="str">
        <f t="shared" si="15"/>
        <v/>
      </c>
      <c r="J19" s="60"/>
      <c r="K19" s="59" t="str">
        <f t="shared" si="16"/>
        <v/>
      </c>
      <c r="L19" s="60"/>
      <c r="M19" s="59" t="str">
        <f t="shared" si="16"/>
        <v/>
      </c>
      <c r="N19" s="60"/>
      <c r="O19" s="59" t="str">
        <f t="shared" ref="O19" si="94">+IF(OR($F19="",N19=""),"",$F19*N19)</f>
        <v/>
      </c>
      <c r="P19" s="60"/>
      <c r="Q19" s="59" t="str">
        <f t="shared" ref="Q19" si="95">+IF(OR($F19="",P19=""),"",$F19*P19)</f>
        <v/>
      </c>
      <c r="R19" s="60"/>
      <c r="S19" s="59" t="str">
        <f t="shared" ref="S19" si="96">+IF(OR($F19="",R19=""),"",$F19*R19)</f>
        <v/>
      </c>
      <c r="T19" s="60"/>
      <c r="U19" s="59" t="str">
        <f t="shared" ref="U19" si="97">+IF(OR($F19="",T19=""),"",$F19*T19)</f>
        <v/>
      </c>
      <c r="V19" s="60"/>
      <c r="W19" s="59" t="str">
        <f t="shared" ref="W19" si="98">+IF(OR($F19="",V19=""),"",$F19*V19)</f>
        <v/>
      </c>
      <c r="X19" s="95"/>
      <c r="Y19" s="59" t="str">
        <f t="shared" ref="Y19" si="99">+IF(OR($F19="",X19=""),"",$F19*X19)</f>
        <v/>
      </c>
      <c r="Z19" s="95"/>
      <c r="AA19" s="59" t="str">
        <f t="shared" ref="AA19" si="100">+IF(OR($F19="",Z19=""),"",$F19*Z19)</f>
        <v/>
      </c>
      <c r="AB19" s="95">
        <v>30.5</v>
      </c>
      <c r="AC19" s="59">
        <f t="shared" ref="AC19" si="101">+IF(OR($F19="",AB19=""),"",$F19*AB19)</f>
        <v>2067.5340000000006</v>
      </c>
      <c r="AD19" s="95">
        <v>18</v>
      </c>
      <c r="AE19" s="59">
        <f t="shared" ref="AE19" si="102">+IF(OR($F19="",AD19=""),"",$F19*AD19)</f>
        <v>1220.1840000000002</v>
      </c>
      <c r="AF19" s="95">
        <v>20</v>
      </c>
      <c r="AG19" s="59">
        <f t="shared" ref="AG19:BC19" si="103">+IF(OR($F19="",AF19=""),"",$F19*AF19)</f>
        <v>1355.7600000000002</v>
      </c>
      <c r="AH19" s="95"/>
      <c r="AI19" s="59" t="str">
        <f t="shared" si="103"/>
        <v/>
      </c>
      <c r="AJ19" s="60"/>
      <c r="AK19" s="59" t="str">
        <f t="shared" si="103"/>
        <v/>
      </c>
      <c r="AL19" s="60"/>
      <c r="AM19" s="59" t="str">
        <f t="shared" si="103"/>
        <v/>
      </c>
      <c r="AN19" s="60"/>
      <c r="AO19" s="59" t="str">
        <f t="shared" si="103"/>
        <v/>
      </c>
      <c r="AP19" s="60"/>
      <c r="AQ19" s="59" t="str">
        <f t="shared" si="103"/>
        <v/>
      </c>
      <c r="AR19" s="60"/>
      <c r="AS19" s="59" t="str">
        <f t="shared" si="103"/>
        <v/>
      </c>
      <c r="AT19" s="60"/>
      <c r="AU19" s="59" t="str">
        <f t="shared" si="103"/>
        <v/>
      </c>
      <c r="AV19" s="60"/>
      <c r="AW19" s="59" t="str">
        <f t="shared" si="103"/>
        <v/>
      </c>
      <c r="AX19" s="60"/>
      <c r="AY19" s="59" t="str">
        <f t="shared" si="103"/>
        <v/>
      </c>
      <c r="AZ19" s="60"/>
      <c r="BA19" s="59" t="str">
        <f t="shared" si="103"/>
        <v/>
      </c>
      <c r="BB19" s="60"/>
      <c r="BC19" s="59" t="str">
        <f t="shared" si="103"/>
        <v/>
      </c>
      <c r="BD19" s="61">
        <f t="shared" si="27"/>
        <v>68.5</v>
      </c>
      <c r="BE19" s="59">
        <f t="shared" si="28"/>
        <v>4643.478000000001</v>
      </c>
      <c r="BF19" s="61">
        <f t="shared" si="14"/>
        <v>0</v>
      </c>
      <c r="BG19" s="59">
        <f t="shared" si="29"/>
        <v>0</v>
      </c>
      <c r="BH19" s="96"/>
      <c r="BI19" s="1">
        <f t="shared" si="30"/>
        <v>0</v>
      </c>
      <c r="BJ19" s="1">
        <f t="shared" si="31"/>
        <v>0</v>
      </c>
      <c r="BK19" s="1">
        <f t="shared" si="32"/>
        <v>0</v>
      </c>
      <c r="BL19" s="1">
        <f t="shared" si="33"/>
        <v>0</v>
      </c>
      <c r="BM19" s="1">
        <f t="shared" si="34"/>
        <v>0</v>
      </c>
      <c r="BN19" s="1">
        <f t="shared" si="35"/>
        <v>0</v>
      </c>
      <c r="BO19" s="1">
        <f t="shared" si="36"/>
        <v>0</v>
      </c>
      <c r="BP19" s="1">
        <f t="shared" si="37"/>
        <v>0</v>
      </c>
      <c r="BQ19" s="1">
        <f t="shared" si="38"/>
        <v>0</v>
      </c>
      <c r="BR19" s="1">
        <f t="shared" si="39"/>
        <v>0</v>
      </c>
      <c r="BS19" s="1">
        <f t="shared" si="40"/>
        <v>30.5</v>
      </c>
      <c r="BT19" s="1">
        <f t="shared" si="41"/>
        <v>18</v>
      </c>
      <c r="BU19" s="1">
        <f t="shared" si="42"/>
        <v>20</v>
      </c>
      <c r="BV19" s="1">
        <f t="shared" si="43"/>
        <v>0</v>
      </c>
      <c r="BW19" s="1">
        <f t="shared" si="44"/>
        <v>0</v>
      </c>
      <c r="BX19" s="1">
        <f t="shared" si="45"/>
        <v>0</v>
      </c>
      <c r="BY19" s="1">
        <f t="shared" si="46"/>
        <v>0</v>
      </c>
      <c r="BZ19" s="1">
        <f t="shared" si="47"/>
        <v>0</v>
      </c>
      <c r="CA19" s="1">
        <f t="shared" si="48"/>
        <v>0</v>
      </c>
      <c r="CB19" s="1">
        <f t="shared" si="49"/>
        <v>0</v>
      </c>
      <c r="CC19" s="1">
        <f t="shared" si="50"/>
        <v>0</v>
      </c>
      <c r="CD19" s="1">
        <f t="shared" si="51"/>
        <v>0</v>
      </c>
      <c r="CE19" s="1">
        <f t="shared" si="52"/>
        <v>0</v>
      </c>
      <c r="CF19" s="1">
        <f t="shared" si="53"/>
        <v>0</v>
      </c>
    </row>
    <row r="20" spans="2:85" ht="33.75" outlineLevel="1">
      <c r="C20" s="27" t="s">
        <v>757</v>
      </c>
      <c r="D20" s="55">
        <v>48.2</v>
      </c>
      <c r="F20" s="56">
        <v>54.24</v>
      </c>
      <c r="G20" s="57">
        <f t="shared" si="13"/>
        <v>2614.3680000000004</v>
      </c>
      <c r="H20" s="28"/>
      <c r="I20" s="59" t="str">
        <f t="shared" si="15"/>
        <v/>
      </c>
      <c r="J20" s="60"/>
      <c r="K20" s="59" t="str">
        <f t="shared" si="16"/>
        <v/>
      </c>
      <c r="L20" s="60"/>
      <c r="M20" s="59" t="str">
        <f t="shared" si="16"/>
        <v/>
      </c>
      <c r="N20" s="60"/>
      <c r="O20" s="59" t="str">
        <f t="shared" ref="O20:O21" si="104">+IF(OR($F20="",N20=""),"",$F20*N20)</f>
        <v/>
      </c>
      <c r="P20" s="60"/>
      <c r="Q20" s="59" t="str">
        <f t="shared" ref="Q20:Q21" si="105">+IF(OR($F20="",P20=""),"",$F20*P20)</f>
        <v/>
      </c>
      <c r="R20" s="60"/>
      <c r="S20" s="59" t="str">
        <f t="shared" ref="S20:S21" si="106">+IF(OR($F20="",R20=""),"",$F20*R20)</f>
        <v/>
      </c>
      <c r="T20" s="60"/>
      <c r="U20" s="59" t="str">
        <f t="shared" ref="U20:U21" si="107">+IF(OR($F20="",T20=""),"",$F20*T20)</f>
        <v/>
      </c>
      <c r="V20" s="60"/>
      <c r="W20" s="59" t="str">
        <f t="shared" ref="W20:W21" si="108">+IF(OR($F20="",V20=""),"",$F20*V20)</f>
        <v/>
      </c>
      <c r="X20" s="95"/>
      <c r="Y20" s="59" t="str">
        <f t="shared" ref="Y20:Y21" si="109">+IF(OR($F20="",X20=""),"",$F20*X20)</f>
        <v/>
      </c>
      <c r="Z20" s="95"/>
      <c r="AA20" s="59" t="str">
        <f t="shared" ref="AA20:AA21" si="110">+IF(OR($F20="",Z20=""),"",$F20*Z20)</f>
        <v/>
      </c>
      <c r="AB20" s="95"/>
      <c r="AC20" s="59" t="str">
        <f t="shared" ref="AC20:AC21" si="111">+IF(OR($F20="",AB20=""),"",$F20*AB20)</f>
        <v/>
      </c>
      <c r="AD20" s="95">
        <v>28.2</v>
      </c>
      <c r="AE20" s="59">
        <f t="shared" ref="AE20:AE21" si="112">+IF(OR($F20="",AD20=""),"",$F20*AD20)</f>
        <v>1529.568</v>
      </c>
      <c r="AF20" s="95">
        <v>20</v>
      </c>
      <c r="AG20" s="59">
        <f t="shared" ref="AG20:BC21" si="113">+IF(OR($F20="",AF20=""),"",$F20*AF20)</f>
        <v>1084.8</v>
      </c>
      <c r="AH20" s="95"/>
      <c r="AI20" s="59" t="str">
        <f t="shared" si="113"/>
        <v/>
      </c>
      <c r="AJ20" s="60"/>
      <c r="AK20" s="59" t="str">
        <f t="shared" si="113"/>
        <v/>
      </c>
      <c r="AL20" s="60"/>
      <c r="AM20" s="59" t="str">
        <f t="shared" si="113"/>
        <v/>
      </c>
      <c r="AN20" s="60"/>
      <c r="AO20" s="59" t="str">
        <f t="shared" si="113"/>
        <v/>
      </c>
      <c r="AP20" s="60"/>
      <c r="AQ20" s="59" t="str">
        <f t="shared" si="113"/>
        <v/>
      </c>
      <c r="AR20" s="60"/>
      <c r="AS20" s="59" t="str">
        <f t="shared" si="113"/>
        <v/>
      </c>
      <c r="AT20" s="60"/>
      <c r="AU20" s="59" t="str">
        <f t="shared" si="113"/>
        <v/>
      </c>
      <c r="AV20" s="60"/>
      <c r="AW20" s="59" t="str">
        <f t="shared" si="113"/>
        <v/>
      </c>
      <c r="AX20" s="60"/>
      <c r="AY20" s="59" t="str">
        <f t="shared" si="113"/>
        <v/>
      </c>
      <c r="AZ20" s="60"/>
      <c r="BA20" s="59" t="str">
        <f t="shared" si="113"/>
        <v/>
      </c>
      <c r="BB20" s="60"/>
      <c r="BC20" s="59" t="str">
        <f t="shared" si="113"/>
        <v/>
      </c>
      <c r="BD20" s="61">
        <f t="shared" si="27"/>
        <v>48.2</v>
      </c>
      <c r="BE20" s="59">
        <f t="shared" si="28"/>
        <v>2614.3680000000004</v>
      </c>
      <c r="BF20" s="61">
        <f t="shared" si="14"/>
        <v>0</v>
      </c>
      <c r="BG20" s="59">
        <f t="shared" si="29"/>
        <v>0</v>
      </c>
      <c r="BH20" s="96"/>
      <c r="BI20" s="1">
        <f t="shared" si="30"/>
        <v>0</v>
      </c>
      <c r="BJ20" s="1">
        <f t="shared" si="31"/>
        <v>0</v>
      </c>
      <c r="BK20" s="1">
        <f t="shared" si="32"/>
        <v>0</v>
      </c>
      <c r="BL20" s="1">
        <f t="shared" si="33"/>
        <v>0</v>
      </c>
      <c r="BM20" s="1">
        <f t="shared" si="34"/>
        <v>0</v>
      </c>
      <c r="BN20" s="1">
        <f t="shared" si="35"/>
        <v>0</v>
      </c>
      <c r="BO20" s="1">
        <f t="shared" si="36"/>
        <v>0</v>
      </c>
      <c r="BP20" s="1">
        <f t="shared" si="37"/>
        <v>0</v>
      </c>
      <c r="BQ20" s="1">
        <f t="shared" si="38"/>
        <v>0</v>
      </c>
      <c r="BR20" s="1">
        <f t="shared" si="39"/>
        <v>0</v>
      </c>
      <c r="BS20" s="1">
        <f t="shared" si="40"/>
        <v>0</v>
      </c>
      <c r="BT20" s="1">
        <f t="shared" si="41"/>
        <v>28.2</v>
      </c>
      <c r="BU20" s="1">
        <f t="shared" si="42"/>
        <v>20</v>
      </c>
      <c r="BV20" s="1">
        <f t="shared" si="43"/>
        <v>0</v>
      </c>
      <c r="BW20" s="1">
        <f t="shared" si="44"/>
        <v>0</v>
      </c>
      <c r="BX20" s="1">
        <f t="shared" si="45"/>
        <v>0</v>
      </c>
      <c r="BY20" s="1">
        <f t="shared" si="46"/>
        <v>0</v>
      </c>
      <c r="BZ20" s="1">
        <f t="shared" si="47"/>
        <v>0</v>
      </c>
      <c r="CA20" s="1">
        <f t="shared" si="48"/>
        <v>0</v>
      </c>
      <c r="CB20" s="1">
        <f t="shared" si="49"/>
        <v>0</v>
      </c>
      <c r="CC20" s="1">
        <f t="shared" si="50"/>
        <v>0</v>
      </c>
      <c r="CD20" s="1">
        <f t="shared" si="51"/>
        <v>0</v>
      </c>
      <c r="CE20" s="1">
        <f t="shared" si="52"/>
        <v>0</v>
      </c>
      <c r="CF20" s="1">
        <f t="shared" si="53"/>
        <v>0</v>
      </c>
    </row>
    <row r="21" spans="2:85" ht="33.75" outlineLevel="1">
      <c r="C21" s="27" t="s">
        <v>758</v>
      </c>
      <c r="D21" s="55">
        <v>15.5</v>
      </c>
      <c r="F21" s="56">
        <v>67.788000000000011</v>
      </c>
      <c r="G21" s="57">
        <f t="shared" si="13"/>
        <v>1050.7140000000002</v>
      </c>
      <c r="H21" s="28"/>
      <c r="I21" s="59" t="str">
        <f t="shared" ref="I21:BG21" si="114">+IF(OR($F21="",H21=""),"",$F21*H21)</f>
        <v/>
      </c>
      <c r="J21" s="64"/>
      <c r="K21" s="59" t="str">
        <f t="shared" si="114"/>
        <v/>
      </c>
      <c r="L21" s="64"/>
      <c r="M21" s="59" t="str">
        <f t="shared" si="16"/>
        <v/>
      </c>
      <c r="N21" s="64"/>
      <c r="O21" s="59" t="str">
        <f t="shared" si="104"/>
        <v/>
      </c>
      <c r="P21" s="64"/>
      <c r="Q21" s="59" t="str">
        <f t="shared" si="105"/>
        <v/>
      </c>
      <c r="R21" s="64"/>
      <c r="S21" s="59" t="str">
        <f t="shared" si="106"/>
        <v/>
      </c>
      <c r="T21" s="64"/>
      <c r="U21" s="59" t="str">
        <f t="shared" si="107"/>
        <v/>
      </c>
      <c r="V21" s="64"/>
      <c r="W21" s="59" t="str">
        <f t="shared" si="108"/>
        <v/>
      </c>
      <c r="X21" s="94"/>
      <c r="Y21" s="59" t="str">
        <f t="shared" si="109"/>
        <v/>
      </c>
      <c r="Z21" s="94"/>
      <c r="AA21" s="59" t="str">
        <f t="shared" si="110"/>
        <v/>
      </c>
      <c r="AB21" s="94"/>
      <c r="AC21" s="59" t="str">
        <f t="shared" si="111"/>
        <v/>
      </c>
      <c r="AD21" s="94"/>
      <c r="AE21" s="59" t="str">
        <f t="shared" si="112"/>
        <v/>
      </c>
      <c r="AF21" s="94"/>
      <c r="AG21" s="59" t="str">
        <f t="shared" si="113"/>
        <v/>
      </c>
      <c r="AH21" s="222"/>
      <c r="AI21" s="59" t="str">
        <f t="shared" si="113"/>
        <v/>
      </c>
      <c r="AJ21" s="64"/>
      <c r="AK21" s="59" t="str">
        <f t="shared" si="113"/>
        <v/>
      </c>
      <c r="AL21" s="64"/>
      <c r="AM21" s="59" t="str">
        <f t="shared" si="113"/>
        <v/>
      </c>
      <c r="AN21" s="64"/>
      <c r="AO21" s="59" t="str">
        <f t="shared" si="113"/>
        <v/>
      </c>
      <c r="AP21" s="64"/>
      <c r="AQ21" s="59" t="str">
        <f t="shared" si="113"/>
        <v/>
      </c>
      <c r="AR21" s="64"/>
      <c r="AS21" s="59" t="str">
        <f t="shared" si="113"/>
        <v/>
      </c>
      <c r="AT21" s="64"/>
      <c r="AU21" s="59" t="str">
        <f t="shared" si="113"/>
        <v/>
      </c>
      <c r="AV21" s="64"/>
      <c r="AW21" s="59" t="str">
        <f t="shared" si="113"/>
        <v/>
      </c>
      <c r="AX21" s="64"/>
      <c r="AY21" s="59" t="str">
        <f t="shared" si="113"/>
        <v/>
      </c>
      <c r="AZ21" s="64"/>
      <c r="BA21" s="59" t="str">
        <f t="shared" si="113"/>
        <v/>
      </c>
      <c r="BB21" s="64"/>
      <c r="BC21" s="59" t="str">
        <f t="shared" si="113"/>
        <v/>
      </c>
      <c r="BD21" s="61">
        <f t="shared" ref="BD21" si="115">+SUM(BI21:CF21)</f>
        <v>0</v>
      </c>
      <c r="BE21" s="59">
        <f t="shared" si="114"/>
        <v>0</v>
      </c>
      <c r="BF21" s="61">
        <f t="shared" si="14"/>
        <v>15.5</v>
      </c>
      <c r="BG21" s="59">
        <f t="shared" si="114"/>
        <v>1050.7140000000002</v>
      </c>
      <c r="BH21" s="96"/>
      <c r="BI21" s="1">
        <f>+H21</f>
        <v>0</v>
      </c>
      <c r="BJ21" s="1">
        <f>+J21</f>
        <v>0</v>
      </c>
      <c r="BK21" s="1">
        <f>+L21</f>
        <v>0</v>
      </c>
      <c r="BL21" s="1">
        <f>+N21</f>
        <v>0</v>
      </c>
      <c r="BM21" s="1">
        <f>+P21</f>
        <v>0</v>
      </c>
      <c r="BN21" s="1">
        <f>+R21</f>
        <v>0</v>
      </c>
      <c r="BO21" s="1">
        <f>+T21</f>
        <v>0</v>
      </c>
      <c r="BP21" s="1">
        <f>+V21</f>
        <v>0</v>
      </c>
      <c r="BQ21" s="1">
        <f>+X21</f>
        <v>0</v>
      </c>
      <c r="BR21" s="1">
        <f>+Z21</f>
        <v>0</v>
      </c>
      <c r="BS21" s="1">
        <f>+AB21</f>
        <v>0</v>
      </c>
      <c r="BT21" s="1">
        <f>+AD21</f>
        <v>0</v>
      </c>
      <c r="BU21" s="1">
        <f>+AF21</f>
        <v>0</v>
      </c>
      <c r="BV21" s="1">
        <f>+AH21</f>
        <v>0</v>
      </c>
      <c r="BW21" s="1">
        <f>+AJ21</f>
        <v>0</v>
      </c>
      <c r="BX21" s="1">
        <f>+AL21</f>
        <v>0</v>
      </c>
      <c r="BY21" s="1">
        <f>+AN21</f>
        <v>0</v>
      </c>
      <c r="BZ21" s="1">
        <f>+AP21</f>
        <v>0</v>
      </c>
      <c r="CA21" s="1">
        <f>+AR21</f>
        <v>0</v>
      </c>
      <c r="CB21" s="1">
        <f>+AT21</f>
        <v>0</v>
      </c>
      <c r="CC21" s="1">
        <f>+AV21</f>
        <v>0</v>
      </c>
      <c r="CD21" s="1">
        <f>+AX21</f>
        <v>0</v>
      </c>
      <c r="CE21" s="1">
        <f>+AZ21</f>
        <v>0</v>
      </c>
      <c r="CF21" s="1">
        <f>+BB21</f>
        <v>0</v>
      </c>
      <c r="CG21" s="214" t="s">
        <v>1039</v>
      </c>
    </row>
    <row r="22" spans="2:85" s="6" customFormat="1" ht="18" customHeight="1">
      <c r="B22" s="62" t="s">
        <v>744</v>
      </c>
      <c r="C22" s="25" t="s">
        <v>745</v>
      </c>
      <c r="D22" s="49"/>
      <c r="E22" s="85"/>
      <c r="F22" s="50"/>
      <c r="G22" s="63">
        <f>+SUM(G23:G24)</f>
        <v>27160</v>
      </c>
      <c r="H22" s="51"/>
      <c r="I22" s="52" t="str">
        <f>+IF(SUM(I23:I24)=0,"",SUM(I23:I24))</f>
        <v/>
      </c>
      <c r="J22" s="53"/>
      <c r="K22" s="52">
        <f>+IF(SUM(K23:K24)=0,"",SUM(K23:K24))</f>
        <v>8148</v>
      </c>
      <c r="L22" s="53"/>
      <c r="M22" s="52">
        <f>+IF(SUM(M23:M24)=0,"",SUM(M23:M24))</f>
        <v>19012</v>
      </c>
      <c r="N22" s="53"/>
      <c r="O22" s="52" t="str">
        <f>+IF(SUM(O23:O24)=0,"",SUM(O23:O24))</f>
        <v/>
      </c>
      <c r="P22" s="53"/>
      <c r="Q22" s="52" t="str">
        <f>+IF(SUM(Q23:Q24)=0,"",SUM(Q23:Q24))</f>
        <v/>
      </c>
      <c r="R22" s="53"/>
      <c r="S22" s="52" t="str">
        <f>+IF(SUM(S23:S24)=0,"",SUM(S23:S24))</f>
        <v/>
      </c>
      <c r="T22" s="53"/>
      <c r="U22" s="52" t="str">
        <f>+IF(SUM(U23:U24)=0,"",SUM(U23:U24))</f>
        <v/>
      </c>
      <c r="V22" s="53"/>
      <c r="W22" s="52" t="str">
        <f>+IF(SUM(W23:W24)=0,"",SUM(W23:W24))</f>
        <v/>
      </c>
      <c r="X22" s="91"/>
      <c r="Y22" s="52" t="str">
        <f>+IF(SUM(Y23:Y24)=0,"",SUM(Y23:Y24))</f>
        <v/>
      </c>
      <c r="Z22" s="91"/>
      <c r="AA22" s="52" t="str">
        <f>+IF(SUM(AA23:AA24)=0,"",SUM(AA23:AA24))</f>
        <v/>
      </c>
      <c r="AB22" s="91"/>
      <c r="AC22" s="52" t="str">
        <f>+IF(SUM(AC23:AC24)=0,"",SUM(AC23:AC24))</f>
        <v/>
      </c>
      <c r="AD22" s="91"/>
      <c r="AE22" s="52" t="str">
        <f>+IF(SUM(AE23:AE24)=0,"",SUM(AE23:AE24))</f>
        <v/>
      </c>
      <c r="AF22" s="91"/>
      <c r="AG22" s="52" t="str">
        <f>+IF(SUM(AG23:AG24)=0,"",SUM(AG23:AG24))</f>
        <v/>
      </c>
      <c r="AH22" s="91"/>
      <c r="AI22" s="52" t="str">
        <f>+IF(SUM(AI23:AI24)=0,"",SUM(AI23:AI24))</f>
        <v/>
      </c>
      <c r="AJ22" s="53"/>
      <c r="AK22" s="52" t="str">
        <f>+IF(SUM(AK23:AK24)=0,"",SUM(AK23:AK24))</f>
        <v/>
      </c>
      <c r="AL22" s="53"/>
      <c r="AM22" s="52" t="str">
        <f>+IF(SUM(AM23:AM24)=0,"",SUM(AM23:AM24))</f>
        <v/>
      </c>
      <c r="AN22" s="53"/>
      <c r="AO22" s="52" t="str">
        <f>+IF(SUM(AO23:AO24)=0,"",SUM(AO23:AO24))</f>
        <v/>
      </c>
      <c r="AP22" s="53"/>
      <c r="AQ22" s="52" t="str">
        <f>+IF(SUM(AQ23:AQ24)=0,"",SUM(AQ23:AQ24))</f>
        <v/>
      </c>
      <c r="AR22" s="53"/>
      <c r="AS22" s="52" t="str">
        <f>+IF(SUM(AS23:AS24)=0,"",SUM(AS23:AS24))</f>
        <v/>
      </c>
      <c r="AT22" s="53"/>
      <c r="AU22" s="52" t="str">
        <f>+IF(SUM(AU23:AU24)=0,"",SUM(AU23:AU24))</f>
        <v/>
      </c>
      <c r="AV22" s="53"/>
      <c r="AW22" s="52" t="str">
        <f>+IF(SUM(AW23:AW24)=0,"",SUM(AW23:AW24))</f>
        <v/>
      </c>
      <c r="AX22" s="53"/>
      <c r="AY22" s="52" t="str">
        <f>+IF(SUM(AY23:AY24)=0,"",SUM(AY23:AY24))</f>
        <v/>
      </c>
      <c r="AZ22" s="53"/>
      <c r="BA22" s="52" t="str">
        <f>+IF(SUM(BA23:BA24)=0,"",SUM(BA23:BA24))</f>
        <v/>
      </c>
      <c r="BB22" s="53"/>
      <c r="BC22" s="52" t="str">
        <f>+IF(SUM(BC23:BC24)=0,"",SUM(BC23:BC24))</f>
        <v/>
      </c>
      <c r="BD22" s="54"/>
      <c r="BE22" s="52">
        <f>+SUM(BE23:BE24)</f>
        <v>27160</v>
      </c>
      <c r="BF22" s="54"/>
      <c r="BG22" s="52">
        <f>+SUM(BG23:BG24)</f>
        <v>0</v>
      </c>
      <c r="BH22" s="96"/>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row>
    <row r="23" spans="2:85" ht="45" outlineLevel="1">
      <c r="B23" s="19"/>
      <c r="C23" s="26" t="s">
        <v>759</v>
      </c>
      <c r="D23" s="55">
        <v>1</v>
      </c>
      <c r="F23" s="56">
        <v>23625</v>
      </c>
      <c r="G23" s="57">
        <f>+D23*F23</f>
        <v>23625</v>
      </c>
      <c r="H23" s="28"/>
      <c r="I23" s="59" t="str">
        <f>+IF(OR($F23="",H23=""),"",$F23*H23)</f>
        <v/>
      </c>
      <c r="J23" s="60">
        <v>0.3</v>
      </c>
      <c r="K23" s="59">
        <f>+IF(OR($F23="",J23=""),"",$F23*J23)</f>
        <v>7087.5</v>
      </c>
      <c r="L23" s="60">
        <v>0.7</v>
      </c>
      <c r="M23" s="59">
        <f>+IF(OR($F23="",L23=""),"",$F23*L23)</f>
        <v>16537.5</v>
      </c>
      <c r="N23" s="60"/>
      <c r="O23" s="59" t="str">
        <f>+IF(OR($F23="",N23=""),"",$F23*N23)</f>
        <v/>
      </c>
      <c r="P23" s="60"/>
      <c r="Q23" s="59" t="str">
        <f>+IF(OR($F23="",P23=""),"",$F23*P23)</f>
        <v/>
      </c>
      <c r="R23" s="60"/>
      <c r="S23" s="59" t="str">
        <f>+IF(OR($F23="",R23=""),"",$F23*R23)</f>
        <v/>
      </c>
      <c r="T23" s="60"/>
      <c r="U23" s="59" t="str">
        <f>+IF(OR($F23="",T23=""),"",$F23*T23)</f>
        <v/>
      </c>
      <c r="V23" s="60"/>
      <c r="W23" s="59" t="str">
        <f>+IF(OR($F23="",V23=""),"",$F23*V23)</f>
        <v/>
      </c>
      <c r="X23" s="95"/>
      <c r="Y23" s="59" t="str">
        <f>+IF(OR($F23="",X23=""),"",$F23*X23)</f>
        <v/>
      </c>
      <c r="Z23" s="95"/>
      <c r="AA23" s="59" t="str">
        <f>+IF(OR($F23="",Z23=""),"",$F23*Z23)</f>
        <v/>
      </c>
      <c r="AB23" s="95"/>
      <c r="AC23" s="59" t="str">
        <f>+IF(OR($F23="",AB23=""),"",$F23*AB23)</f>
        <v/>
      </c>
      <c r="AD23" s="95"/>
      <c r="AE23" s="59" t="str">
        <f>+IF(OR($F23="",AD23=""),"",$F23*AD23)</f>
        <v/>
      </c>
      <c r="AF23" s="95"/>
      <c r="AG23" s="59" t="str">
        <f>+IF(OR($F23="",AF23=""),"",$F23*AF23)</f>
        <v/>
      </c>
      <c r="AH23" s="95"/>
      <c r="AI23" s="59" t="str">
        <f>+IF(OR($F23="",AH23=""),"",$F23*AH23)</f>
        <v/>
      </c>
      <c r="AJ23" s="60"/>
      <c r="AK23" s="59" t="str">
        <f>+IF(OR($F23="",AJ23=""),"",$F23*AJ23)</f>
        <v/>
      </c>
      <c r="AL23" s="60"/>
      <c r="AM23" s="59" t="str">
        <f>+IF(OR($F23="",AL23=""),"",$F23*AL23)</f>
        <v/>
      </c>
      <c r="AN23" s="60"/>
      <c r="AO23" s="59" t="str">
        <f>+IF(OR($F23="",AN23=""),"",$F23*AN23)</f>
        <v/>
      </c>
      <c r="AP23" s="60"/>
      <c r="AQ23" s="59" t="str">
        <f>+IF(OR($F23="",AP23=""),"",$F23*AP23)</f>
        <v/>
      </c>
      <c r="AR23" s="60"/>
      <c r="AS23" s="59" t="str">
        <f>+IF(OR($F23="",AR23=""),"",$F23*AR23)</f>
        <v/>
      </c>
      <c r="AT23" s="60"/>
      <c r="AU23" s="59" t="str">
        <f>+IF(OR($F23="",AT23=""),"",$F23*AT23)</f>
        <v/>
      </c>
      <c r="AV23" s="60"/>
      <c r="AW23" s="59" t="str">
        <f>+IF(OR($F23="",AV23=""),"",$F23*AV23)</f>
        <v/>
      </c>
      <c r="AX23" s="60"/>
      <c r="AY23" s="59" t="str">
        <f>+IF(OR($F23="",AX23=""),"",$F23*AX23)</f>
        <v/>
      </c>
      <c r="AZ23" s="60"/>
      <c r="BA23" s="59" t="str">
        <f>+IF(OR($F23="",AZ23=""),"",$F23*AZ23)</f>
        <v/>
      </c>
      <c r="BB23" s="60"/>
      <c r="BC23" s="59" t="str">
        <f>+IF(OR($F23="",BB23=""),"",$F23*BB23)</f>
        <v/>
      </c>
      <c r="BD23" s="61">
        <f>+SUM(BI23:CF23)</f>
        <v>1</v>
      </c>
      <c r="BE23" s="59">
        <f>+IF(OR($F23="",BD23=""),"",$F23*BD23)</f>
        <v>23625</v>
      </c>
      <c r="BF23" s="61">
        <f>+D23-BD23</f>
        <v>0</v>
      </c>
      <c r="BG23" s="59">
        <f>+IF(OR($F23="",BF23=""),"",$F23*BF23)</f>
        <v>0</v>
      </c>
      <c r="BH23" s="96"/>
      <c r="BI23" s="1">
        <f>+H23</f>
        <v>0</v>
      </c>
      <c r="BJ23" s="1">
        <f>+J23</f>
        <v>0.3</v>
      </c>
      <c r="BK23" s="1">
        <f>+L23</f>
        <v>0.7</v>
      </c>
      <c r="BL23" s="1">
        <f>+N23</f>
        <v>0</v>
      </c>
      <c r="BM23" s="1">
        <f>+P23</f>
        <v>0</v>
      </c>
      <c r="BN23" s="1">
        <f>+R23</f>
        <v>0</v>
      </c>
      <c r="BO23" s="1">
        <f>+T23</f>
        <v>0</v>
      </c>
      <c r="BP23" s="1">
        <f>+V23</f>
        <v>0</v>
      </c>
      <c r="BQ23" s="1">
        <f>+X23</f>
        <v>0</v>
      </c>
      <c r="BR23" s="1">
        <f>+Z23</f>
        <v>0</v>
      </c>
      <c r="BS23" s="1">
        <f>+AB23</f>
        <v>0</v>
      </c>
      <c r="BT23" s="1">
        <f>+AD23</f>
        <v>0</v>
      </c>
      <c r="BU23" s="1">
        <f>+AF23</f>
        <v>0</v>
      </c>
      <c r="BV23" s="1">
        <f>+AH23</f>
        <v>0</v>
      </c>
      <c r="BW23" s="1">
        <f>+AJ23</f>
        <v>0</v>
      </c>
      <c r="BX23" s="1">
        <f>+AL23</f>
        <v>0</v>
      </c>
      <c r="BY23" s="1">
        <f>+AN23</f>
        <v>0</v>
      </c>
      <c r="BZ23" s="1">
        <f>+AP23</f>
        <v>0</v>
      </c>
      <c r="CA23" s="1">
        <f>+AR23</f>
        <v>0</v>
      </c>
      <c r="CB23" s="1">
        <f>+AT23</f>
        <v>0</v>
      </c>
      <c r="CC23" s="1">
        <f>+AV23</f>
        <v>0</v>
      </c>
      <c r="CD23" s="1">
        <f>+AX23</f>
        <v>0</v>
      </c>
      <c r="CE23" s="1">
        <f>+AZ23</f>
        <v>0</v>
      </c>
      <c r="CF23" s="1">
        <f>+BB23</f>
        <v>0</v>
      </c>
    </row>
    <row r="24" spans="2:85" ht="33.75" outlineLevel="1">
      <c r="C24" s="27" t="s">
        <v>799</v>
      </c>
      <c r="D24" s="55">
        <v>1</v>
      </c>
      <c r="F24" s="56">
        <v>3535</v>
      </c>
      <c r="G24" s="57">
        <f>+D24*F24</f>
        <v>3535</v>
      </c>
      <c r="H24" s="28"/>
      <c r="I24" s="59" t="str">
        <f t="shared" ref="I24:BG24" si="116">+IF(OR($F24="",H24=""),"",$F24*H24)</f>
        <v/>
      </c>
      <c r="J24" s="64">
        <v>0.3</v>
      </c>
      <c r="K24" s="59">
        <f t="shared" si="116"/>
        <v>1060.5</v>
      </c>
      <c r="L24" s="64">
        <v>0.7</v>
      </c>
      <c r="M24" s="59">
        <f t="shared" ref="M24" si="117">+IF(OR($F24="",L24=""),"",$F24*L24)</f>
        <v>2474.5</v>
      </c>
      <c r="N24" s="64"/>
      <c r="O24" s="59" t="str">
        <f t="shared" ref="O24" si="118">+IF(OR($F24="",N24=""),"",$F24*N24)</f>
        <v/>
      </c>
      <c r="P24" s="64"/>
      <c r="Q24" s="59" t="str">
        <f t="shared" ref="Q24" si="119">+IF(OR($F24="",P24=""),"",$F24*P24)</f>
        <v/>
      </c>
      <c r="R24" s="64"/>
      <c r="S24" s="59" t="str">
        <f t="shared" ref="S24" si="120">+IF(OR($F24="",R24=""),"",$F24*R24)</f>
        <v/>
      </c>
      <c r="T24" s="64"/>
      <c r="U24" s="59" t="str">
        <f t="shared" ref="U24" si="121">+IF(OR($F24="",T24=""),"",$F24*T24)</f>
        <v/>
      </c>
      <c r="V24" s="64"/>
      <c r="W24" s="59" t="str">
        <f t="shared" ref="W24" si="122">+IF(OR($F24="",V24=""),"",$F24*V24)</f>
        <v/>
      </c>
      <c r="X24" s="94"/>
      <c r="Y24" s="59" t="str">
        <f t="shared" ref="Y24" si="123">+IF(OR($F24="",X24=""),"",$F24*X24)</f>
        <v/>
      </c>
      <c r="Z24" s="94"/>
      <c r="AA24" s="59" t="str">
        <f t="shared" ref="AA24" si="124">+IF(OR($F24="",Z24=""),"",$F24*Z24)</f>
        <v/>
      </c>
      <c r="AB24" s="94"/>
      <c r="AC24" s="59" t="str">
        <f t="shared" ref="AC24" si="125">+IF(OR($F24="",AB24=""),"",$F24*AB24)</f>
        <v/>
      </c>
      <c r="AD24" s="94"/>
      <c r="AE24" s="59" t="str">
        <f t="shared" ref="AE24" si="126">+IF(OR($F24="",AD24=""),"",$F24*AD24)</f>
        <v/>
      </c>
      <c r="AF24" s="94"/>
      <c r="AG24" s="59" t="str">
        <f t="shared" ref="AG24:BC24" si="127">+IF(OR($F24="",AF24=""),"",$F24*AF24)</f>
        <v/>
      </c>
      <c r="AH24" s="94"/>
      <c r="AI24" s="59" t="str">
        <f t="shared" si="127"/>
        <v/>
      </c>
      <c r="AJ24" s="64"/>
      <c r="AK24" s="59" t="str">
        <f t="shared" si="127"/>
        <v/>
      </c>
      <c r="AL24" s="64"/>
      <c r="AM24" s="59" t="str">
        <f t="shared" si="127"/>
        <v/>
      </c>
      <c r="AN24" s="64"/>
      <c r="AO24" s="59" t="str">
        <f t="shared" si="127"/>
        <v/>
      </c>
      <c r="AP24" s="64"/>
      <c r="AQ24" s="59" t="str">
        <f t="shared" si="127"/>
        <v/>
      </c>
      <c r="AR24" s="64"/>
      <c r="AS24" s="59" t="str">
        <f t="shared" si="127"/>
        <v/>
      </c>
      <c r="AT24" s="64"/>
      <c r="AU24" s="59" t="str">
        <f t="shared" si="127"/>
        <v/>
      </c>
      <c r="AV24" s="64"/>
      <c r="AW24" s="59" t="str">
        <f t="shared" si="127"/>
        <v/>
      </c>
      <c r="AX24" s="64"/>
      <c r="AY24" s="59" t="str">
        <f t="shared" si="127"/>
        <v/>
      </c>
      <c r="AZ24" s="64"/>
      <c r="BA24" s="59" t="str">
        <f t="shared" si="127"/>
        <v/>
      </c>
      <c r="BB24" s="64"/>
      <c r="BC24" s="59" t="str">
        <f t="shared" si="127"/>
        <v/>
      </c>
      <c r="BD24" s="61">
        <f t="shared" ref="BD24" si="128">+SUM(BI24:CF24)</f>
        <v>1</v>
      </c>
      <c r="BE24" s="59">
        <f t="shared" si="116"/>
        <v>3535</v>
      </c>
      <c r="BF24" s="61">
        <f>+D24-BD24</f>
        <v>0</v>
      </c>
      <c r="BG24" s="59">
        <f t="shared" si="116"/>
        <v>0</v>
      </c>
      <c r="BH24" s="96"/>
      <c r="BI24" s="1">
        <f>+H24</f>
        <v>0</v>
      </c>
      <c r="BJ24" s="1">
        <f>+J24</f>
        <v>0.3</v>
      </c>
      <c r="BK24" s="1">
        <f>+L24</f>
        <v>0.7</v>
      </c>
      <c r="BL24" s="1">
        <f>+N24</f>
        <v>0</v>
      </c>
      <c r="BM24" s="1">
        <f>+P24</f>
        <v>0</v>
      </c>
      <c r="BN24" s="1">
        <f>+R24</f>
        <v>0</v>
      </c>
      <c r="BO24" s="1">
        <f>+T24</f>
        <v>0</v>
      </c>
      <c r="BP24" s="1">
        <f>+V24</f>
        <v>0</v>
      </c>
      <c r="BQ24" s="1">
        <f>+X24</f>
        <v>0</v>
      </c>
      <c r="BR24" s="1">
        <f>+Z24</f>
        <v>0</v>
      </c>
      <c r="BS24" s="1">
        <f>+AB24</f>
        <v>0</v>
      </c>
      <c r="BT24" s="1">
        <f>+AD24</f>
        <v>0</v>
      </c>
      <c r="BU24" s="1">
        <f>+AF24</f>
        <v>0</v>
      </c>
      <c r="BV24" s="1">
        <f>+AH24</f>
        <v>0</v>
      </c>
      <c r="BW24" s="1">
        <f>+AJ24</f>
        <v>0</v>
      </c>
      <c r="BX24" s="1">
        <f>+AL24</f>
        <v>0</v>
      </c>
      <c r="BY24" s="1">
        <f>+AN24</f>
        <v>0</v>
      </c>
      <c r="BZ24" s="1">
        <f>+AP24</f>
        <v>0</v>
      </c>
      <c r="CA24" s="1">
        <f>+AR24</f>
        <v>0</v>
      </c>
      <c r="CB24" s="1">
        <f>+AT24</f>
        <v>0</v>
      </c>
      <c r="CC24" s="1">
        <f>+AV24</f>
        <v>0</v>
      </c>
      <c r="CD24" s="1">
        <f>+AX24</f>
        <v>0</v>
      </c>
      <c r="CE24" s="1">
        <f>+AZ24</f>
        <v>0</v>
      </c>
      <c r="CF24" s="1">
        <f>+BB24</f>
        <v>0</v>
      </c>
    </row>
    <row r="25" spans="2:85" s="6" customFormat="1" ht="18" customHeight="1">
      <c r="B25" s="62" t="s">
        <v>746</v>
      </c>
      <c r="C25" s="25" t="s">
        <v>763</v>
      </c>
      <c r="D25" s="49"/>
      <c r="E25" s="85"/>
      <c r="F25" s="50"/>
      <c r="G25" s="63">
        <f>+SUM(G26:G31)</f>
        <v>11288.562</v>
      </c>
      <c r="H25" s="51"/>
      <c r="I25" s="52" t="str">
        <f>+IF(SUM(I26:I31)=0,"",SUM(I26:I31))</f>
        <v/>
      </c>
      <c r="J25" s="53"/>
      <c r="K25" s="52" t="str">
        <f>+IF(SUM(K26:K31)=0,"",SUM(K26:K31))</f>
        <v/>
      </c>
      <c r="L25" s="53"/>
      <c r="M25" s="52" t="str">
        <f>+IF(SUM(M26:M31)=0,"",SUM(M26:M31))</f>
        <v/>
      </c>
      <c r="N25" s="53"/>
      <c r="O25" s="52">
        <f>+IF(SUM(O26:O31)=0,"",SUM(O26:O31))</f>
        <v>3630.9041999999999</v>
      </c>
      <c r="P25" s="53"/>
      <c r="Q25" s="52">
        <f>+IF(SUM(Q26:Q31)=0,"",SUM(Q26:Q31))</f>
        <v>1937.6400000000003</v>
      </c>
      <c r="R25" s="53"/>
      <c r="S25" s="52">
        <f>+IF(SUM(S26:S31)=0,"",SUM(S26:S31))</f>
        <v>2014.9848000000002</v>
      </c>
      <c r="T25" s="53"/>
      <c r="U25" s="52">
        <f>+IF(SUM(U26:U31)=0,"",SUM(U26:U31))</f>
        <v>1712.7370800000001</v>
      </c>
      <c r="V25" s="53"/>
      <c r="W25" s="52" t="str">
        <f>+IF(SUM(W26:W31)=0,"",SUM(W26:W31))</f>
        <v/>
      </c>
      <c r="X25" s="91"/>
      <c r="Y25" s="52">
        <f>+IF(SUM(Y26:Y31)=0,"",SUM(Y26:Y31))</f>
        <v>1992.0708</v>
      </c>
      <c r="Z25" s="91"/>
      <c r="AA25" s="52" t="str">
        <f>+IF(SUM(AA26:AA31)=0,"",SUM(AA26:AA31))</f>
        <v/>
      </c>
      <c r="AB25" s="91"/>
      <c r="AC25" s="52">
        <f>+IF(SUM(AC26:AC31)=0,"",SUM(AC26:AC31))</f>
        <v>0.22512000000004662</v>
      </c>
      <c r="AD25" s="91"/>
      <c r="AE25" s="52" t="str">
        <f>+IF(SUM(AE26:AE31)=0,"",SUM(AE26:AE31))</f>
        <v/>
      </c>
      <c r="AF25" s="91"/>
      <c r="AG25" s="52" t="str">
        <f>+IF(SUM(AG26:AG31)=0,"",SUM(AG26:AG31))</f>
        <v/>
      </c>
      <c r="AH25" s="91"/>
      <c r="AI25" s="52" t="str">
        <f>+IF(SUM(AI26:AI31)=0,"",SUM(AI26:AI31))</f>
        <v/>
      </c>
      <c r="AJ25" s="53"/>
      <c r="AK25" s="52" t="str">
        <f>+IF(SUM(AK26:AK31)=0,"",SUM(AK26:AK31))</f>
        <v/>
      </c>
      <c r="AL25" s="53"/>
      <c r="AM25" s="52" t="str">
        <f>+IF(SUM(AM26:AM31)=0,"",SUM(AM26:AM31))</f>
        <v/>
      </c>
      <c r="AN25" s="53"/>
      <c r="AO25" s="52" t="str">
        <f>+IF(SUM(AO26:AO31)=0,"",SUM(AO26:AO31))</f>
        <v/>
      </c>
      <c r="AP25" s="53"/>
      <c r="AQ25" s="52" t="str">
        <f>+IF(SUM(AQ26:AQ31)=0,"",SUM(AQ26:AQ31))</f>
        <v/>
      </c>
      <c r="AR25" s="53"/>
      <c r="AS25" s="52" t="str">
        <f>+IF(SUM(AS26:AS31)=0,"",SUM(AS26:AS31))</f>
        <v/>
      </c>
      <c r="AT25" s="53"/>
      <c r="AU25" s="52" t="str">
        <f>+IF(SUM(AU26:AU31)=0,"",SUM(AU26:AU31))</f>
        <v/>
      </c>
      <c r="AV25" s="53"/>
      <c r="AW25" s="52" t="str">
        <f>+IF(SUM(AW26:AW31)=0,"",SUM(AW26:AW31))</f>
        <v/>
      </c>
      <c r="AX25" s="53"/>
      <c r="AY25" s="52" t="str">
        <f>+IF(SUM(AY26:AY31)=0,"",SUM(AY26:AY31))</f>
        <v/>
      </c>
      <c r="AZ25" s="53"/>
      <c r="BA25" s="52" t="str">
        <f>+IF(SUM(BA26:BA31)=0,"",SUM(BA26:BA31))</f>
        <v/>
      </c>
      <c r="BB25" s="53"/>
      <c r="BC25" s="52" t="str">
        <f>+IF(SUM(BC26:BC31)=0,"",SUM(BC26:BC31))</f>
        <v/>
      </c>
      <c r="BD25" s="54"/>
      <c r="BE25" s="52">
        <f>+SUM(BE26:BE31)</f>
        <v>11288.562</v>
      </c>
      <c r="BF25" s="54"/>
      <c r="BG25" s="52">
        <f>+SUM(BG26:BG31)</f>
        <v>0</v>
      </c>
      <c r="BH25" s="96"/>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row>
    <row r="26" spans="2:85" ht="45" outlineLevel="1">
      <c r="C26" s="27" t="s">
        <v>800</v>
      </c>
      <c r="G26" s="57"/>
      <c r="H26" s="28"/>
      <c r="J26" s="64"/>
      <c r="L26" s="64"/>
      <c r="N26" s="64"/>
      <c r="P26" s="64"/>
      <c r="R26" s="64"/>
      <c r="T26" s="64"/>
      <c r="V26" s="64"/>
      <c r="X26" s="94"/>
      <c r="Z26" s="94"/>
      <c r="AB26" s="94"/>
      <c r="AD26" s="94"/>
      <c r="AF26" s="94"/>
      <c r="AH26" s="94"/>
      <c r="AJ26" s="64"/>
      <c r="AL26" s="64"/>
      <c r="AN26" s="64"/>
      <c r="AP26" s="64"/>
      <c r="AR26" s="64"/>
      <c r="AT26" s="64"/>
      <c r="AV26" s="64"/>
      <c r="AX26" s="64"/>
      <c r="AZ26" s="64"/>
      <c r="BB26" s="64"/>
      <c r="BD26" s="61"/>
      <c r="BF26" s="61"/>
      <c r="BH26" s="96"/>
    </row>
    <row r="27" spans="2:85" ht="18" customHeight="1" outlineLevel="1">
      <c r="C27" s="27" t="s">
        <v>766</v>
      </c>
      <c r="D27" s="55">
        <v>30.19</v>
      </c>
      <c r="F27" s="56">
        <v>40.200000000000003</v>
      </c>
      <c r="G27" s="57">
        <f>+D27*F27</f>
        <v>1213.6380000000001</v>
      </c>
      <c r="H27" s="28"/>
      <c r="I27" s="59" t="str">
        <f t="shared" ref="I27:I30" si="129">+IF(OR($F27="",H27=""),"",$F27*H27)</f>
        <v/>
      </c>
      <c r="J27" s="64"/>
      <c r="K27" s="59" t="str">
        <f t="shared" ref="K27:K30" si="130">+IF(OR($F27="",J27=""),"",$F27*J27)</f>
        <v/>
      </c>
      <c r="L27" s="64"/>
      <c r="M27" s="59" t="str">
        <f t="shared" ref="M27:M31" si="131">+IF(OR($F27="",L27=""),"",$F27*L27)</f>
        <v/>
      </c>
      <c r="N27" s="64">
        <v>15.135</v>
      </c>
      <c r="O27" s="59">
        <f t="shared" ref="O27:O31" si="132">+IF(OR($F27="",N27=""),"",$F27*N27)</f>
        <v>608.42700000000002</v>
      </c>
      <c r="P27" s="64">
        <v>12</v>
      </c>
      <c r="Q27" s="59">
        <f t="shared" ref="Q27:Q31" si="133">+IF(OR($F27="",P27=""),"",$F27*P27)</f>
        <v>482.40000000000003</v>
      </c>
      <c r="R27" s="64"/>
      <c r="S27" s="59" t="str">
        <f t="shared" ref="S27:S31" si="134">+IF(OR($F27="",R27=""),"",$F27*R27)</f>
        <v/>
      </c>
      <c r="T27" s="64"/>
      <c r="U27" s="59" t="str">
        <f t="shared" ref="U27:U31" si="135">+IF(OR($F27="",T27=""),"",$F27*T27)</f>
        <v/>
      </c>
      <c r="V27" s="64"/>
      <c r="W27" s="59" t="str">
        <f t="shared" ref="W27:W31" si="136">+IF(OR($F27="",V27=""),"",$F27*V27)</f>
        <v/>
      </c>
      <c r="X27" s="94">
        <v>3.0550000000000002</v>
      </c>
      <c r="Y27" s="59">
        <f t="shared" ref="Y27:Y31" si="137">+IF(OR($F27="",X27=""),"",$F27*X27)</f>
        <v>122.81100000000002</v>
      </c>
      <c r="Z27" s="94"/>
      <c r="AA27" s="59" t="str">
        <f t="shared" ref="AA27:AA31" si="138">+IF(OR($F27="",Z27=""),"",$F27*Z27)</f>
        <v/>
      </c>
      <c r="AB27" s="94"/>
      <c r="AC27" s="59" t="str">
        <f t="shared" ref="AC27:AC31" si="139">+IF(OR($F27="",AB27=""),"",$F27*AB27)</f>
        <v/>
      </c>
      <c r="AD27" s="94"/>
      <c r="AE27" s="59" t="str">
        <f t="shared" ref="AE27:AE31" si="140">+IF(OR($F27="",AD27=""),"",$F27*AD27)</f>
        <v/>
      </c>
      <c r="AF27" s="94"/>
      <c r="AG27" s="59" t="str">
        <f t="shared" ref="AG27:BC31" si="141">+IF(OR($F27="",AF27=""),"",$F27*AF27)</f>
        <v/>
      </c>
      <c r="AH27" s="94"/>
      <c r="AI27" s="59" t="str">
        <f t="shared" si="141"/>
        <v/>
      </c>
      <c r="AJ27" s="64"/>
      <c r="AK27" s="59" t="str">
        <f t="shared" si="141"/>
        <v/>
      </c>
      <c r="AL27" s="64"/>
      <c r="AM27" s="59" t="str">
        <f t="shared" si="141"/>
        <v/>
      </c>
      <c r="AN27" s="64"/>
      <c r="AO27" s="59" t="str">
        <f t="shared" si="141"/>
        <v/>
      </c>
      <c r="AP27" s="64"/>
      <c r="AQ27" s="59" t="str">
        <f t="shared" si="141"/>
        <v/>
      </c>
      <c r="AR27" s="64"/>
      <c r="AS27" s="59" t="str">
        <f t="shared" si="141"/>
        <v/>
      </c>
      <c r="AT27" s="64"/>
      <c r="AU27" s="59" t="str">
        <f t="shared" si="141"/>
        <v/>
      </c>
      <c r="AV27" s="64"/>
      <c r="AW27" s="59" t="str">
        <f t="shared" si="141"/>
        <v/>
      </c>
      <c r="AX27" s="64"/>
      <c r="AY27" s="59" t="str">
        <f t="shared" si="141"/>
        <v/>
      </c>
      <c r="AZ27" s="64"/>
      <c r="BA27" s="59" t="str">
        <f t="shared" si="141"/>
        <v/>
      </c>
      <c r="BB27" s="64"/>
      <c r="BC27" s="59" t="str">
        <f t="shared" si="141"/>
        <v/>
      </c>
      <c r="BD27" s="61">
        <f t="shared" ref="BD27:BD30" si="142">+SUM(BI27:CF27)</f>
        <v>30.189999999999998</v>
      </c>
      <c r="BE27" s="59">
        <f t="shared" ref="BE27:BE30" si="143">+IF(OR($F27="",BD27=""),"",$F27*BD27)</f>
        <v>1213.6379999999999</v>
      </c>
      <c r="BF27" s="61">
        <f>+D27-BD27</f>
        <v>0</v>
      </c>
      <c r="BG27" s="59">
        <f t="shared" ref="BG27:BG30" si="144">+IF(OR($F27="",BF27=""),"",$F27*BF27)</f>
        <v>0</v>
      </c>
      <c r="BH27" s="96"/>
      <c r="BI27" s="1">
        <f t="shared" ref="BI27:BI30" si="145">+H27</f>
        <v>0</v>
      </c>
      <c r="BJ27" s="1">
        <f t="shared" ref="BJ27:BJ30" si="146">+J27</f>
        <v>0</v>
      </c>
      <c r="BK27" s="1">
        <f t="shared" ref="BK27:BK30" si="147">+L27</f>
        <v>0</v>
      </c>
      <c r="BL27" s="1">
        <f t="shared" ref="BL27:BL30" si="148">+N27</f>
        <v>15.135</v>
      </c>
      <c r="BM27" s="1">
        <f t="shared" ref="BM27:BM30" si="149">+P27</f>
        <v>12</v>
      </c>
      <c r="BN27" s="1">
        <f t="shared" ref="BN27:BN30" si="150">+R27</f>
        <v>0</v>
      </c>
      <c r="BO27" s="1">
        <f t="shared" ref="BO27:BO30" si="151">+T27</f>
        <v>0</v>
      </c>
      <c r="BP27" s="1">
        <f t="shared" ref="BP27:BP30" si="152">+V27</f>
        <v>0</v>
      </c>
      <c r="BQ27" s="1">
        <f t="shared" ref="BQ27:BQ30" si="153">+X27</f>
        <v>3.0550000000000002</v>
      </c>
      <c r="BR27" s="1">
        <f t="shared" ref="BR27:BR30" si="154">+Z27</f>
        <v>0</v>
      </c>
      <c r="BS27" s="1">
        <f t="shared" ref="BS27:BS30" si="155">+AB27</f>
        <v>0</v>
      </c>
      <c r="BT27" s="1">
        <f t="shared" ref="BT27:BT30" si="156">+AD27</f>
        <v>0</v>
      </c>
      <c r="BU27" s="1">
        <f t="shared" ref="BU27:BU30" si="157">+AF27</f>
        <v>0</v>
      </c>
      <c r="BV27" s="1">
        <f t="shared" ref="BV27:BV30" si="158">+AH27</f>
        <v>0</v>
      </c>
      <c r="BW27" s="1">
        <f t="shared" ref="BW27:BW30" si="159">+AJ27</f>
        <v>0</v>
      </c>
      <c r="BX27" s="1">
        <f t="shared" ref="BX27:BX30" si="160">+AL27</f>
        <v>0</v>
      </c>
      <c r="BY27" s="1">
        <f t="shared" ref="BY27:BY30" si="161">+AN27</f>
        <v>0</v>
      </c>
      <c r="BZ27" s="1">
        <f t="shared" ref="BZ27:BZ30" si="162">+AP27</f>
        <v>0</v>
      </c>
      <c r="CA27" s="1">
        <f t="shared" ref="CA27:CA30" si="163">+AR27</f>
        <v>0</v>
      </c>
      <c r="CB27" s="1">
        <f t="shared" ref="CB27:CB30" si="164">+AT27</f>
        <v>0</v>
      </c>
      <c r="CC27" s="1">
        <f t="shared" ref="CC27:CC30" si="165">+AV27</f>
        <v>0</v>
      </c>
      <c r="CD27" s="1">
        <f t="shared" ref="CD27:CD30" si="166">+AX27</f>
        <v>0</v>
      </c>
      <c r="CE27" s="1">
        <f t="shared" ref="CE27:CE30" si="167">+AZ27</f>
        <v>0</v>
      </c>
      <c r="CF27" s="1">
        <f t="shared" ref="CF27:CF30" si="168">+BB27</f>
        <v>0</v>
      </c>
    </row>
    <row r="28" spans="2:85" ht="18" customHeight="1" outlineLevel="1">
      <c r="C28" s="27" t="s">
        <v>767</v>
      </c>
      <c r="D28" s="55">
        <v>47.21</v>
      </c>
      <c r="F28" s="56">
        <v>40.200000000000003</v>
      </c>
      <c r="G28" s="57">
        <f>+D28*F28</f>
        <v>1897.8420000000001</v>
      </c>
      <c r="H28" s="28"/>
      <c r="I28" s="59" t="str">
        <f t="shared" si="129"/>
        <v/>
      </c>
      <c r="J28" s="64"/>
      <c r="K28" s="59" t="str">
        <f t="shared" si="130"/>
        <v/>
      </c>
      <c r="L28" s="64"/>
      <c r="M28" s="59" t="str">
        <f t="shared" si="131"/>
        <v/>
      </c>
      <c r="N28" s="64">
        <f>0.3*D28</f>
        <v>14.163</v>
      </c>
      <c r="O28" s="59">
        <f t="shared" si="132"/>
        <v>569.35260000000005</v>
      </c>
      <c r="P28" s="64">
        <v>6</v>
      </c>
      <c r="Q28" s="59">
        <f t="shared" si="133"/>
        <v>241.20000000000002</v>
      </c>
      <c r="R28" s="64">
        <f>0.2*D28</f>
        <v>9.4420000000000002</v>
      </c>
      <c r="S28" s="59">
        <f t="shared" si="134"/>
        <v>379.56840000000005</v>
      </c>
      <c r="T28" s="64">
        <f>0.17*D28</f>
        <v>8.0257000000000005</v>
      </c>
      <c r="U28" s="59">
        <f t="shared" si="135"/>
        <v>322.63314000000003</v>
      </c>
      <c r="V28" s="64"/>
      <c r="W28" s="59" t="str">
        <f t="shared" si="136"/>
        <v/>
      </c>
      <c r="X28" s="94">
        <v>9.5790000000000006</v>
      </c>
      <c r="Y28" s="59">
        <f t="shared" si="137"/>
        <v>385.07580000000007</v>
      </c>
      <c r="Z28" s="94"/>
      <c r="AA28" s="59" t="str">
        <f t="shared" si="138"/>
        <v/>
      </c>
      <c r="AB28" s="94">
        <v>2.9999999999574811E-4</v>
      </c>
      <c r="AC28" s="59">
        <f t="shared" si="139"/>
        <v>1.2059999999829076E-2</v>
      </c>
      <c r="AD28" s="94"/>
      <c r="AE28" s="59" t="str">
        <f t="shared" si="140"/>
        <v/>
      </c>
      <c r="AF28" s="94"/>
      <c r="AG28" s="59" t="str">
        <f t="shared" si="141"/>
        <v/>
      </c>
      <c r="AH28" s="94"/>
      <c r="AI28" s="59" t="str">
        <f t="shared" si="141"/>
        <v/>
      </c>
      <c r="AJ28" s="64"/>
      <c r="AK28" s="59" t="str">
        <f t="shared" si="141"/>
        <v/>
      </c>
      <c r="AL28" s="64"/>
      <c r="AM28" s="59" t="str">
        <f t="shared" si="141"/>
        <v/>
      </c>
      <c r="AN28" s="64"/>
      <c r="AO28" s="59" t="str">
        <f t="shared" si="141"/>
        <v/>
      </c>
      <c r="AP28" s="64"/>
      <c r="AQ28" s="59" t="str">
        <f t="shared" si="141"/>
        <v/>
      </c>
      <c r="AR28" s="64"/>
      <c r="AS28" s="59" t="str">
        <f t="shared" si="141"/>
        <v/>
      </c>
      <c r="AT28" s="64"/>
      <c r="AU28" s="59" t="str">
        <f t="shared" si="141"/>
        <v/>
      </c>
      <c r="AV28" s="64"/>
      <c r="AW28" s="59" t="str">
        <f t="shared" si="141"/>
        <v/>
      </c>
      <c r="AX28" s="64"/>
      <c r="AY28" s="59" t="str">
        <f t="shared" si="141"/>
        <v/>
      </c>
      <c r="AZ28" s="64"/>
      <c r="BA28" s="59" t="str">
        <f t="shared" si="141"/>
        <v/>
      </c>
      <c r="BB28" s="64"/>
      <c r="BC28" s="59" t="str">
        <f t="shared" si="141"/>
        <v/>
      </c>
      <c r="BD28" s="61">
        <f t="shared" si="142"/>
        <v>47.21</v>
      </c>
      <c r="BE28" s="59">
        <f t="shared" si="143"/>
        <v>1897.8420000000001</v>
      </c>
      <c r="BF28" s="61">
        <f>+D28-BD28</f>
        <v>0</v>
      </c>
      <c r="BG28" s="59">
        <f t="shared" si="144"/>
        <v>0</v>
      </c>
      <c r="BH28" s="96"/>
      <c r="BI28" s="1">
        <f t="shared" si="145"/>
        <v>0</v>
      </c>
      <c r="BJ28" s="1">
        <f t="shared" si="146"/>
        <v>0</v>
      </c>
      <c r="BK28" s="1">
        <f t="shared" si="147"/>
        <v>0</v>
      </c>
      <c r="BL28" s="1">
        <f t="shared" si="148"/>
        <v>14.163</v>
      </c>
      <c r="BM28" s="1">
        <f t="shared" si="149"/>
        <v>6</v>
      </c>
      <c r="BN28" s="1">
        <f t="shared" si="150"/>
        <v>9.4420000000000002</v>
      </c>
      <c r="BO28" s="1">
        <f t="shared" si="151"/>
        <v>8.0257000000000005</v>
      </c>
      <c r="BP28" s="1">
        <f t="shared" si="152"/>
        <v>0</v>
      </c>
      <c r="BQ28" s="1">
        <f t="shared" si="153"/>
        <v>9.5790000000000006</v>
      </c>
      <c r="BR28" s="1">
        <f t="shared" si="154"/>
        <v>0</v>
      </c>
      <c r="BS28" s="1">
        <f t="shared" si="155"/>
        <v>2.9999999999574811E-4</v>
      </c>
      <c r="BT28" s="1">
        <f t="shared" si="156"/>
        <v>0</v>
      </c>
      <c r="BU28" s="1">
        <f t="shared" si="157"/>
        <v>0</v>
      </c>
      <c r="BV28" s="1">
        <f t="shared" si="158"/>
        <v>0</v>
      </c>
      <c r="BW28" s="1">
        <f t="shared" si="159"/>
        <v>0</v>
      </c>
      <c r="BX28" s="1">
        <f t="shared" si="160"/>
        <v>0</v>
      </c>
      <c r="BY28" s="1">
        <f t="shared" si="161"/>
        <v>0</v>
      </c>
      <c r="BZ28" s="1">
        <f t="shared" si="162"/>
        <v>0</v>
      </c>
      <c r="CA28" s="1">
        <f t="shared" si="163"/>
        <v>0</v>
      </c>
      <c r="CB28" s="1">
        <f t="shared" si="164"/>
        <v>0</v>
      </c>
      <c r="CC28" s="1">
        <f t="shared" si="165"/>
        <v>0</v>
      </c>
      <c r="CD28" s="1">
        <f t="shared" si="166"/>
        <v>0</v>
      </c>
      <c r="CE28" s="1">
        <f t="shared" si="167"/>
        <v>0</v>
      </c>
      <c r="CF28" s="1">
        <f t="shared" si="168"/>
        <v>0</v>
      </c>
    </row>
    <row r="29" spans="2:85" ht="18" customHeight="1" outlineLevel="1">
      <c r="C29" s="27" t="s">
        <v>768</v>
      </c>
      <c r="D29" s="55">
        <v>70.55</v>
      </c>
      <c r="F29" s="56">
        <v>40.200000000000003</v>
      </c>
      <c r="G29" s="57">
        <f>+D29*F29</f>
        <v>2836.11</v>
      </c>
      <c r="H29" s="28"/>
      <c r="I29" s="59" t="str">
        <f t="shared" si="129"/>
        <v/>
      </c>
      <c r="J29" s="64"/>
      <c r="K29" s="59" t="str">
        <f t="shared" si="130"/>
        <v/>
      </c>
      <c r="L29" s="64"/>
      <c r="M29" s="59" t="str">
        <f t="shared" si="131"/>
        <v/>
      </c>
      <c r="N29" s="64">
        <f>0.3*D29</f>
        <v>21.164999999999999</v>
      </c>
      <c r="O29" s="59">
        <f t="shared" si="132"/>
        <v>850.83299999999997</v>
      </c>
      <c r="P29" s="64">
        <v>5.2</v>
      </c>
      <c r="Q29" s="59">
        <f t="shared" si="133"/>
        <v>209.04000000000002</v>
      </c>
      <c r="R29" s="64">
        <f>0.2*D29</f>
        <v>14.11</v>
      </c>
      <c r="S29" s="59">
        <f t="shared" si="134"/>
        <v>567.22199999999998</v>
      </c>
      <c r="T29" s="64">
        <f t="shared" ref="T29:T31" si="169">0.17*D29</f>
        <v>11.993500000000001</v>
      </c>
      <c r="U29" s="59">
        <f t="shared" si="135"/>
        <v>482.13870000000009</v>
      </c>
      <c r="V29" s="64"/>
      <c r="W29" s="59" t="str">
        <f t="shared" si="136"/>
        <v/>
      </c>
      <c r="X29" s="94">
        <v>18.079999999999998</v>
      </c>
      <c r="Y29" s="59">
        <f t="shared" si="137"/>
        <v>726.81600000000003</v>
      </c>
      <c r="Z29" s="94"/>
      <c r="AA29" s="59" t="str">
        <f t="shared" si="138"/>
        <v/>
      </c>
      <c r="AB29" s="94">
        <v>1.5000000000071623E-3</v>
      </c>
      <c r="AC29" s="59">
        <f t="shared" si="139"/>
        <v>6.0300000000287929E-2</v>
      </c>
      <c r="AD29" s="94"/>
      <c r="AE29" s="59" t="str">
        <f t="shared" si="140"/>
        <v/>
      </c>
      <c r="AF29" s="94"/>
      <c r="AG29" s="59" t="str">
        <f t="shared" si="141"/>
        <v/>
      </c>
      <c r="AH29" s="94"/>
      <c r="AI29" s="59" t="str">
        <f t="shared" si="141"/>
        <v/>
      </c>
      <c r="AJ29" s="64"/>
      <c r="AK29" s="59" t="str">
        <f t="shared" si="141"/>
        <v/>
      </c>
      <c r="AL29" s="64"/>
      <c r="AM29" s="59" t="str">
        <f t="shared" si="141"/>
        <v/>
      </c>
      <c r="AN29" s="64"/>
      <c r="AO29" s="59" t="str">
        <f t="shared" si="141"/>
        <v/>
      </c>
      <c r="AP29" s="64"/>
      <c r="AQ29" s="59" t="str">
        <f t="shared" si="141"/>
        <v/>
      </c>
      <c r="AR29" s="64"/>
      <c r="AS29" s="59" t="str">
        <f t="shared" si="141"/>
        <v/>
      </c>
      <c r="AT29" s="64"/>
      <c r="AU29" s="59" t="str">
        <f t="shared" si="141"/>
        <v/>
      </c>
      <c r="AV29" s="64"/>
      <c r="AW29" s="59" t="str">
        <f t="shared" si="141"/>
        <v/>
      </c>
      <c r="AX29" s="64"/>
      <c r="AY29" s="59" t="str">
        <f t="shared" si="141"/>
        <v/>
      </c>
      <c r="AZ29" s="64"/>
      <c r="BA29" s="59" t="str">
        <f t="shared" si="141"/>
        <v/>
      </c>
      <c r="BB29" s="64"/>
      <c r="BC29" s="59" t="str">
        <f t="shared" si="141"/>
        <v/>
      </c>
      <c r="BD29" s="61">
        <f t="shared" si="142"/>
        <v>70.55</v>
      </c>
      <c r="BE29" s="59">
        <f t="shared" si="143"/>
        <v>2836.11</v>
      </c>
      <c r="BF29" s="61">
        <f>+D29-BD29</f>
        <v>0</v>
      </c>
      <c r="BG29" s="59">
        <f t="shared" si="144"/>
        <v>0</v>
      </c>
      <c r="BH29" s="96"/>
      <c r="BI29" s="1">
        <f t="shared" si="145"/>
        <v>0</v>
      </c>
      <c r="BJ29" s="1">
        <f t="shared" si="146"/>
        <v>0</v>
      </c>
      <c r="BK29" s="1">
        <f t="shared" si="147"/>
        <v>0</v>
      </c>
      <c r="BL29" s="1">
        <f t="shared" si="148"/>
        <v>21.164999999999999</v>
      </c>
      <c r="BM29" s="1">
        <f t="shared" si="149"/>
        <v>5.2</v>
      </c>
      <c r="BN29" s="1">
        <f t="shared" si="150"/>
        <v>14.11</v>
      </c>
      <c r="BO29" s="1">
        <f t="shared" si="151"/>
        <v>11.993500000000001</v>
      </c>
      <c r="BP29" s="1">
        <f t="shared" si="152"/>
        <v>0</v>
      </c>
      <c r="BQ29" s="1">
        <f t="shared" si="153"/>
        <v>18.079999999999998</v>
      </c>
      <c r="BR29" s="1">
        <f t="shared" si="154"/>
        <v>0</v>
      </c>
      <c r="BS29" s="1">
        <f t="shared" si="155"/>
        <v>1.5000000000071623E-3</v>
      </c>
      <c r="BT29" s="1">
        <f t="shared" si="156"/>
        <v>0</v>
      </c>
      <c r="BU29" s="1">
        <f t="shared" si="157"/>
        <v>0</v>
      </c>
      <c r="BV29" s="1">
        <f t="shared" si="158"/>
        <v>0</v>
      </c>
      <c r="BW29" s="1">
        <f t="shared" si="159"/>
        <v>0</v>
      </c>
      <c r="BX29" s="1">
        <f t="shared" si="160"/>
        <v>0</v>
      </c>
      <c r="BY29" s="1">
        <f t="shared" si="161"/>
        <v>0</v>
      </c>
      <c r="BZ29" s="1">
        <f t="shared" si="162"/>
        <v>0</v>
      </c>
      <c r="CA29" s="1">
        <f t="shared" si="163"/>
        <v>0</v>
      </c>
      <c r="CB29" s="1">
        <f t="shared" si="164"/>
        <v>0</v>
      </c>
      <c r="CC29" s="1">
        <f t="shared" si="165"/>
        <v>0</v>
      </c>
      <c r="CD29" s="1">
        <f t="shared" si="166"/>
        <v>0</v>
      </c>
      <c r="CE29" s="1">
        <f t="shared" si="167"/>
        <v>0</v>
      </c>
      <c r="CF29" s="1">
        <f t="shared" si="168"/>
        <v>0</v>
      </c>
    </row>
    <row r="30" spans="2:85" ht="18" customHeight="1" outlineLevel="1">
      <c r="C30" s="27" t="s">
        <v>769</v>
      </c>
      <c r="D30" s="55">
        <v>64.92</v>
      </c>
      <c r="F30" s="56">
        <v>40.200000000000003</v>
      </c>
      <c r="G30" s="57">
        <f>+D30*F30</f>
        <v>2609.7840000000001</v>
      </c>
      <c r="H30" s="28"/>
      <c r="I30" s="59" t="str">
        <f t="shared" si="129"/>
        <v/>
      </c>
      <c r="J30" s="64"/>
      <c r="K30" s="59" t="str">
        <f t="shared" si="130"/>
        <v/>
      </c>
      <c r="L30" s="64"/>
      <c r="M30" s="59" t="str">
        <f t="shared" si="131"/>
        <v/>
      </c>
      <c r="N30" s="64">
        <f>0.3*D30</f>
        <v>19.475999999999999</v>
      </c>
      <c r="O30" s="59">
        <f t="shared" si="132"/>
        <v>782.93520000000001</v>
      </c>
      <c r="P30" s="64">
        <v>12</v>
      </c>
      <c r="Q30" s="59">
        <f t="shared" si="133"/>
        <v>482.40000000000003</v>
      </c>
      <c r="R30" s="64">
        <f>0.2*D30</f>
        <v>12.984000000000002</v>
      </c>
      <c r="S30" s="59">
        <f t="shared" si="134"/>
        <v>521.95680000000016</v>
      </c>
      <c r="T30" s="64">
        <f t="shared" si="169"/>
        <v>11.0364</v>
      </c>
      <c r="U30" s="59">
        <f t="shared" si="135"/>
        <v>443.66328000000004</v>
      </c>
      <c r="V30" s="64"/>
      <c r="W30" s="59" t="str">
        <f t="shared" si="136"/>
        <v/>
      </c>
      <c r="X30" s="94">
        <v>9.42</v>
      </c>
      <c r="Y30" s="59">
        <f t="shared" si="137"/>
        <v>378.68400000000003</v>
      </c>
      <c r="Z30" s="94"/>
      <c r="AA30" s="59" t="str">
        <f t="shared" si="138"/>
        <v/>
      </c>
      <c r="AB30" s="94">
        <v>3.6000000000058208E-3</v>
      </c>
      <c r="AC30" s="59">
        <f t="shared" si="139"/>
        <v>0.14472000000023399</v>
      </c>
      <c r="AD30" s="94"/>
      <c r="AE30" s="59" t="str">
        <f t="shared" si="140"/>
        <v/>
      </c>
      <c r="AF30" s="94"/>
      <c r="AG30" s="59" t="str">
        <f t="shared" si="141"/>
        <v/>
      </c>
      <c r="AH30" s="94"/>
      <c r="AI30" s="59" t="str">
        <f t="shared" si="141"/>
        <v/>
      </c>
      <c r="AJ30" s="64"/>
      <c r="AK30" s="59" t="str">
        <f t="shared" si="141"/>
        <v/>
      </c>
      <c r="AL30" s="64"/>
      <c r="AM30" s="59" t="str">
        <f t="shared" si="141"/>
        <v/>
      </c>
      <c r="AN30" s="64"/>
      <c r="AO30" s="59" t="str">
        <f t="shared" si="141"/>
        <v/>
      </c>
      <c r="AP30" s="64"/>
      <c r="AQ30" s="59" t="str">
        <f t="shared" si="141"/>
        <v/>
      </c>
      <c r="AR30" s="64"/>
      <c r="AS30" s="59" t="str">
        <f t="shared" si="141"/>
        <v/>
      </c>
      <c r="AT30" s="64"/>
      <c r="AU30" s="59" t="str">
        <f t="shared" si="141"/>
        <v/>
      </c>
      <c r="AV30" s="64"/>
      <c r="AW30" s="59" t="str">
        <f t="shared" si="141"/>
        <v/>
      </c>
      <c r="AX30" s="64"/>
      <c r="AY30" s="59" t="str">
        <f t="shared" si="141"/>
        <v/>
      </c>
      <c r="AZ30" s="64"/>
      <c r="BA30" s="59" t="str">
        <f t="shared" si="141"/>
        <v/>
      </c>
      <c r="BB30" s="64"/>
      <c r="BC30" s="59" t="str">
        <f t="shared" si="141"/>
        <v/>
      </c>
      <c r="BD30" s="61">
        <f t="shared" si="142"/>
        <v>64.92</v>
      </c>
      <c r="BE30" s="59">
        <f t="shared" si="143"/>
        <v>2609.7840000000001</v>
      </c>
      <c r="BF30" s="61">
        <f>+D30-BD30</f>
        <v>0</v>
      </c>
      <c r="BG30" s="59">
        <f t="shared" si="144"/>
        <v>0</v>
      </c>
      <c r="BH30" s="96"/>
      <c r="BI30" s="1">
        <f t="shared" si="145"/>
        <v>0</v>
      </c>
      <c r="BJ30" s="1">
        <f t="shared" si="146"/>
        <v>0</v>
      </c>
      <c r="BK30" s="1">
        <f t="shared" si="147"/>
        <v>0</v>
      </c>
      <c r="BL30" s="1">
        <f t="shared" si="148"/>
        <v>19.475999999999999</v>
      </c>
      <c r="BM30" s="1">
        <f t="shared" si="149"/>
        <v>12</v>
      </c>
      <c r="BN30" s="1">
        <f t="shared" si="150"/>
        <v>12.984000000000002</v>
      </c>
      <c r="BO30" s="1">
        <f t="shared" si="151"/>
        <v>11.0364</v>
      </c>
      <c r="BP30" s="1">
        <f t="shared" si="152"/>
        <v>0</v>
      </c>
      <c r="BQ30" s="1">
        <f t="shared" si="153"/>
        <v>9.42</v>
      </c>
      <c r="BR30" s="1">
        <f t="shared" si="154"/>
        <v>0</v>
      </c>
      <c r="BS30" s="1">
        <f t="shared" si="155"/>
        <v>3.6000000000058208E-3</v>
      </c>
      <c r="BT30" s="1">
        <f t="shared" si="156"/>
        <v>0</v>
      </c>
      <c r="BU30" s="1">
        <f t="shared" si="157"/>
        <v>0</v>
      </c>
      <c r="BV30" s="1">
        <f t="shared" si="158"/>
        <v>0</v>
      </c>
      <c r="BW30" s="1">
        <f t="shared" si="159"/>
        <v>0</v>
      </c>
      <c r="BX30" s="1">
        <f t="shared" si="160"/>
        <v>0</v>
      </c>
      <c r="BY30" s="1">
        <f t="shared" si="161"/>
        <v>0</v>
      </c>
      <c r="BZ30" s="1">
        <f t="shared" si="162"/>
        <v>0</v>
      </c>
      <c r="CA30" s="1">
        <f t="shared" si="163"/>
        <v>0</v>
      </c>
      <c r="CB30" s="1">
        <f t="shared" si="164"/>
        <v>0</v>
      </c>
      <c r="CC30" s="1">
        <f t="shared" si="165"/>
        <v>0</v>
      </c>
      <c r="CD30" s="1">
        <f t="shared" si="166"/>
        <v>0</v>
      </c>
      <c r="CE30" s="1">
        <f t="shared" si="167"/>
        <v>0</v>
      </c>
      <c r="CF30" s="1">
        <f t="shared" si="168"/>
        <v>0</v>
      </c>
    </row>
    <row r="31" spans="2:85" ht="18" customHeight="1" outlineLevel="1">
      <c r="C31" s="27" t="s">
        <v>770</v>
      </c>
      <c r="D31" s="55">
        <v>67.94</v>
      </c>
      <c r="F31" s="56">
        <v>40.200000000000003</v>
      </c>
      <c r="G31" s="57">
        <f>+D31*F31</f>
        <v>2731.1880000000001</v>
      </c>
      <c r="H31" s="28"/>
      <c r="I31" s="59" t="str">
        <f t="shared" ref="I31:BG31" si="170">+IF(OR($F31="",H31=""),"",$F31*H31)</f>
        <v/>
      </c>
      <c r="J31" s="64"/>
      <c r="K31" s="59" t="str">
        <f t="shared" si="170"/>
        <v/>
      </c>
      <c r="L31" s="64"/>
      <c r="M31" s="59" t="str">
        <f t="shared" si="131"/>
        <v/>
      </c>
      <c r="N31" s="64">
        <f>0.3*D31</f>
        <v>20.381999999999998</v>
      </c>
      <c r="O31" s="59">
        <f t="shared" si="132"/>
        <v>819.35640000000001</v>
      </c>
      <c r="P31" s="64">
        <v>13</v>
      </c>
      <c r="Q31" s="59">
        <f t="shared" si="133"/>
        <v>522.6</v>
      </c>
      <c r="R31" s="64">
        <f>0.2*D31</f>
        <v>13.588000000000001</v>
      </c>
      <c r="S31" s="59">
        <f t="shared" si="134"/>
        <v>546.23760000000004</v>
      </c>
      <c r="T31" s="64">
        <f t="shared" si="169"/>
        <v>11.549800000000001</v>
      </c>
      <c r="U31" s="59">
        <f t="shared" si="135"/>
        <v>464.30196000000007</v>
      </c>
      <c r="V31" s="64"/>
      <c r="W31" s="59" t="str">
        <f t="shared" si="136"/>
        <v/>
      </c>
      <c r="X31" s="94">
        <v>9.42</v>
      </c>
      <c r="Y31" s="59">
        <f t="shared" si="137"/>
        <v>378.68400000000003</v>
      </c>
      <c r="Z31" s="94"/>
      <c r="AA31" s="59" t="str">
        <f t="shared" si="138"/>
        <v/>
      </c>
      <c r="AB31" s="94">
        <v>1.9999999999242846E-4</v>
      </c>
      <c r="AC31" s="59">
        <f t="shared" si="139"/>
        <v>8.039999999695624E-3</v>
      </c>
      <c r="AD31" s="94"/>
      <c r="AE31" s="59" t="str">
        <f t="shared" si="140"/>
        <v/>
      </c>
      <c r="AF31" s="94"/>
      <c r="AG31" s="59" t="str">
        <f t="shared" si="141"/>
        <v/>
      </c>
      <c r="AH31" s="94"/>
      <c r="AI31" s="59" t="str">
        <f t="shared" si="141"/>
        <v/>
      </c>
      <c r="AJ31" s="64"/>
      <c r="AK31" s="59" t="str">
        <f t="shared" si="141"/>
        <v/>
      </c>
      <c r="AL31" s="64"/>
      <c r="AM31" s="59" t="str">
        <f t="shared" si="141"/>
        <v/>
      </c>
      <c r="AN31" s="64"/>
      <c r="AO31" s="59" t="str">
        <f t="shared" si="141"/>
        <v/>
      </c>
      <c r="AP31" s="64"/>
      <c r="AQ31" s="59" t="str">
        <f t="shared" si="141"/>
        <v/>
      </c>
      <c r="AR31" s="64"/>
      <c r="AS31" s="59" t="str">
        <f t="shared" si="141"/>
        <v/>
      </c>
      <c r="AT31" s="64"/>
      <c r="AU31" s="59" t="str">
        <f t="shared" si="141"/>
        <v/>
      </c>
      <c r="AV31" s="64"/>
      <c r="AW31" s="59" t="str">
        <f t="shared" si="141"/>
        <v/>
      </c>
      <c r="AX31" s="64"/>
      <c r="AY31" s="59" t="str">
        <f t="shared" si="141"/>
        <v/>
      </c>
      <c r="AZ31" s="64"/>
      <c r="BA31" s="59" t="str">
        <f t="shared" si="141"/>
        <v/>
      </c>
      <c r="BB31" s="64"/>
      <c r="BC31" s="59" t="str">
        <f t="shared" si="141"/>
        <v/>
      </c>
      <c r="BD31" s="61">
        <f t="shared" ref="BD31" si="171">+SUM(BI31:CF31)</f>
        <v>67.94</v>
      </c>
      <c r="BE31" s="59">
        <f t="shared" si="170"/>
        <v>2731.1880000000001</v>
      </c>
      <c r="BF31" s="61">
        <f>+D31-BD31</f>
        <v>0</v>
      </c>
      <c r="BG31" s="59">
        <f t="shared" si="170"/>
        <v>0</v>
      </c>
      <c r="BH31" s="96"/>
      <c r="BI31" s="1">
        <f>+H31</f>
        <v>0</v>
      </c>
      <c r="BJ31" s="1">
        <f>+J31</f>
        <v>0</v>
      </c>
      <c r="BK31" s="1">
        <f>+L31</f>
        <v>0</v>
      </c>
      <c r="BL31" s="1">
        <f>+N31</f>
        <v>20.381999999999998</v>
      </c>
      <c r="BM31" s="1">
        <f>+P31</f>
        <v>13</v>
      </c>
      <c r="BN31" s="1">
        <f>+R31</f>
        <v>13.588000000000001</v>
      </c>
      <c r="BO31" s="1">
        <f>+T31</f>
        <v>11.549800000000001</v>
      </c>
      <c r="BP31" s="1">
        <f>+V31</f>
        <v>0</v>
      </c>
      <c r="BQ31" s="1">
        <f>+X31</f>
        <v>9.42</v>
      </c>
      <c r="BR31" s="1">
        <f>+Z31</f>
        <v>0</v>
      </c>
      <c r="BS31" s="1">
        <f>+AB31</f>
        <v>1.9999999999242846E-4</v>
      </c>
      <c r="BT31" s="1">
        <f>+AD31</f>
        <v>0</v>
      </c>
      <c r="BU31" s="1">
        <f>+AF31</f>
        <v>0</v>
      </c>
      <c r="BV31" s="1">
        <f>+AH31</f>
        <v>0</v>
      </c>
      <c r="BW31" s="1">
        <f>+AJ31</f>
        <v>0</v>
      </c>
      <c r="BX31" s="1">
        <f>+AL31</f>
        <v>0</v>
      </c>
      <c r="BY31" s="1">
        <f>+AN31</f>
        <v>0</v>
      </c>
      <c r="BZ31" s="1">
        <f>+AP31</f>
        <v>0</v>
      </c>
      <c r="CA31" s="1">
        <f>+AR31</f>
        <v>0</v>
      </c>
      <c r="CB31" s="1">
        <f>+AT31</f>
        <v>0</v>
      </c>
      <c r="CC31" s="1">
        <f>+AV31</f>
        <v>0</v>
      </c>
      <c r="CD31" s="1">
        <f>+AX31</f>
        <v>0</v>
      </c>
      <c r="CE31" s="1">
        <f>+AZ31</f>
        <v>0</v>
      </c>
      <c r="CF31" s="1">
        <f>+BB31</f>
        <v>0</v>
      </c>
    </row>
    <row r="32" spans="2:85" s="6" customFormat="1" ht="18" customHeight="1">
      <c r="B32" s="62" t="s">
        <v>804</v>
      </c>
      <c r="C32" s="25" t="s">
        <v>805</v>
      </c>
      <c r="D32" s="49"/>
      <c r="E32" s="85"/>
      <c r="F32" s="50"/>
      <c r="G32" s="63">
        <v>0</v>
      </c>
      <c r="H32" s="51"/>
      <c r="I32" s="52" t="str">
        <f>+IF(SUM(I33:I56)=0,"",SUM(I33:I56))</f>
        <v/>
      </c>
      <c r="J32" s="53"/>
      <c r="K32" s="52" t="str">
        <f>+IF(SUM(K33:K56)=0,"",SUM(K33:K56))</f>
        <v/>
      </c>
      <c r="L32" s="53"/>
      <c r="M32" s="52" t="str">
        <f>+IF(SUM(M33:M56)=0,"",SUM(M33:M56))</f>
        <v/>
      </c>
      <c r="N32" s="53"/>
      <c r="O32" s="52" t="str">
        <f>+IF(SUM(O33:O56)=0,"",SUM(O33:O56))</f>
        <v/>
      </c>
      <c r="P32" s="53"/>
      <c r="Q32" s="52">
        <f>+IF(SUM(Q33:Q56)=0,"",SUM(Q33:Q56))</f>
        <v>11175.694400000002</v>
      </c>
      <c r="R32" s="53"/>
      <c r="S32" s="52">
        <f>+IF(SUM(S33:S56)=0,"",SUM(S33:S56))</f>
        <v>-4323.2822750000005</v>
      </c>
      <c r="T32" s="53"/>
      <c r="U32" s="52">
        <f>+IF(SUM(U33:U56)=0,"",SUM(U33:U56))</f>
        <v>-6852.4121250000007</v>
      </c>
      <c r="V32" s="53"/>
      <c r="W32" s="52" t="str">
        <f>+IF(SUM(W33:W56)=0,"",SUM(W33:W56))</f>
        <v/>
      </c>
      <c r="X32" s="91"/>
      <c r="Y32" s="52" t="str">
        <f>+IF(SUM(Y33:Y56)=0,"",SUM(Y33:Y56))</f>
        <v/>
      </c>
      <c r="Z32" s="91"/>
      <c r="AA32" s="52" t="str">
        <f>+IF(SUM(AA33:AA56)=0,"",SUM(AA33:AA56))</f>
        <v/>
      </c>
      <c r="AB32" s="91"/>
      <c r="AC32" s="52" t="str">
        <f>+IF(SUM(AC33:AC56)=0,"",SUM(AC33:AC56))</f>
        <v/>
      </c>
      <c r="AD32" s="91"/>
      <c r="AE32" s="52" t="str">
        <f>+IF(SUM(AE33:AE56)=0,"",SUM(AE33:AE56))</f>
        <v/>
      </c>
      <c r="AF32" s="91"/>
      <c r="AG32" s="52" t="str">
        <f>+IF(SUM(AG33:AG56)=0,"",SUM(AG33:AG56))</f>
        <v/>
      </c>
      <c r="AH32" s="91"/>
      <c r="AI32" s="52" t="str">
        <f>+IF(SUM(AI33:AI56)=0,"",SUM(AI33:AI56))</f>
        <v/>
      </c>
      <c r="AJ32" s="53"/>
      <c r="AK32" s="52" t="str">
        <f>+IF(SUM(AK33:AK56)=0,"",SUM(AK33:AK56))</f>
        <v/>
      </c>
      <c r="AL32" s="53"/>
      <c r="AM32" s="52" t="str">
        <f>+IF(SUM(AM33:AM56)=0,"",SUM(AM33:AM56))</f>
        <v/>
      </c>
      <c r="AN32" s="53"/>
      <c r="AO32" s="52" t="str">
        <f>+IF(SUM(AO33:AO56)=0,"",SUM(AO33:AO56))</f>
        <v/>
      </c>
      <c r="AP32" s="53"/>
      <c r="AQ32" s="52" t="str">
        <f>+IF(SUM(AQ33:AQ56)=0,"",SUM(AQ33:AQ56))</f>
        <v/>
      </c>
      <c r="AR32" s="53"/>
      <c r="AS32" s="52" t="str">
        <f>+IF(SUM(AS33:AS56)=0,"",SUM(AS33:AS56))</f>
        <v/>
      </c>
      <c r="AT32" s="53"/>
      <c r="AU32" s="52" t="str">
        <f>+IF(SUM(AU33:AU56)=0,"",SUM(AU33:AU56))</f>
        <v/>
      </c>
      <c r="AV32" s="53"/>
      <c r="AW32" s="52" t="str">
        <f>+IF(SUM(AW33:AW56)=0,"",SUM(AW33:AW56))</f>
        <v/>
      </c>
      <c r="AX32" s="53"/>
      <c r="AY32" s="52" t="str">
        <f>+IF(SUM(AY33:AY56)=0,"",SUM(AY33:AY56))</f>
        <v/>
      </c>
      <c r="AZ32" s="53"/>
      <c r="BA32" s="52" t="str">
        <f>+IF(SUM(BA33:BA56)=0,"",SUM(BA33:BA56))</f>
        <v/>
      </c>
      <c r="BB32" s="53"/>
      <c r="BC32" s="52" t="str">
        <f>+IF(SUM(BC33:BC56)=0,"",SUM(BC33:BC56))</f>
        <v/>
      </c>
      <c r="BD32" s="54"/>
      <c r="BE32" s="52">
        <f>+SUM(BE33:BE56)</f>
        <v>7.2701844544553767E-13</v>
      </c>
      <c r="BF32" s="54"/>
      <c r="BG32" s="52">
        <v>0</v>
      </c>
      <c r="BH32" s="96"/>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row>
    <row r="33" spans="3:84" ht="135" customHeight="1" outlineLevel="1">
      <c r="C33" s="27" t="s">
        <v>822</v>
      </c>
      <c r="G33" s="57"/>
      <c r="H33" s="28"/>
      <c r="J33" s="64"/>
      <c r="L33" s="64"/>
      <c r="N33" s="64"/>
      <c r="P33" s="64"/>
      <c r="R33" s="64"/>
      <c r="T33" s="64"/>
      <c r="V33" s="64"/>
      <c r="X33" s="94"/>
      <c r="Z33" s="94"/>
      <c r="AB33" s="94"/>
      <c r="AD33" s="94"/>
      <c r="AF33" s="94"/>
      <c r="AH33" s="94"/>
      <c r="AJ33" s="64"/>
      <c r="AL33" s="64"/>
      <c r="AN33" s="64"/>
      <c r="AP33" s="64"/>
      <c r="AR33" s="64"/>
      <c r="AT33" s="64"/>
      <c r="AV33" s="64"/>
      <c r="AX33" s="64"/>
      <c r="AZ33" s="64"/>
      <c r="BB33" s="64"/>
      <c r="BD33" s="61"/>
      <c r="BF33" s="61"/>
      <c r="BH33" s="96"/>
    </row>
    <row r="34" spans="3:84" ht="18" customHeight="1" outlineLevel="1">
      <c r="C34" s="27" t="s">
        <v>364</v>
      </c>
      <c r="D34" s="55">
        <v>-925.6</v>
      </c>
      <c r="E34" s="88" t="s">
        <v>806</v>
      </c>
      <c r="F34" s="56">
        <v>7.65</v>
      </c>
      <c r="G34" s="57">
        <f t="shared" ref="G34:G39" si="172">+D34*F34</f>
        <v>-7080.84</v>
      </c>
      <c r="H34" s="28"/>
      <c r="I34" s="59" t="str">
        <f t="shared" ref="I34:I40" si="173">+IF(OR($F34="",H34=""),"",$F34*H34)</f>
        <v/>
      </c>
      <c r="J34" s="64"/>
      <c r="K34" s="59" t="str">
        <f t="shared" ref="K34:K40" si="174">+IF(OR($F34="",J34=""),"",$F34*J34)</f>
        <v/>
      </c>
      <c r="L34" s="64"/>
      <c r="M34" s="59" t="str">
        <f t="shared" ref="M34:M40" si="175">+IF(OR($F34="",L34=""),"",$F34*L34)</f>
        <v/>
      </c>
      <c r="N34" s="64"/>
      <c r="O34" s="59" t="str">
        <f t="shared" ref="O34:O40" si="176">+IF(OR($F34="",N34=""),"",$F34*N34)</f>
        <v/>
      </c>
      <c r="P34" s="64"/>
      <c r="Q34" s="59" t="str">
        <f t="shared" ref="Q34:Q40" si="177">+IF(OR($F34="",P34=""),"",$F34*P34)</f>
        <v/>
      </c>
      <c r="R34" s="64"/>
      <c r="S34" s="59" t="str">
        <f t="shared" ref="S34:S40" si="178">+IF(OR($F34="",R34=""),"",$F34*R34)</f>
        <v/>
      </c>
      <c r="T34" s="64"/>
      <c r="U34" s="59" t="str">
        <f t="shared" ref="U34:U40" si="179">+IF(OR($F34="",T34=""),"",$F34*T34)</f>
        <v/>
      </c>
      <c r="V34" s="64"/>
      <c r="W34" s="59" t="str">
        <f t="shared" ref="W34:W40" si="180">+IF(OR($F34="",V34=""),"",$F34*V34)</f>
        <v/>
      </c>
      <c r="X34" s="94"/>
      <c r="Y34" s="59" t="str">
        <f t="shared" ref="Y34:Y40" si="181">+IF(OR($F34="",X34=""),"",$F34*X34)</f>
        <v/>
      </c>
      <c r="Z34" s="94"/>
      <c r="AA34" s="59" t="str">
        <f t="shared" ref="AA34:AA40" si="182">+IF(OR($F34="",Z34=""),"",$F34*Z34)</f>
        <v/>
      </c>
      <c r="AB34" s="94"/>
      <c r="AC34" s="59" t="str">
        <f t="shared" ref="AC34:AC40" si="183">+IF(OR($F34="",AB34=""),"",$F34*AB34)</f>
        <v/>
      </c>
      <c r="AD34" s="94"/>
      <c r="AE34" s="59" t="str">
        <f t="shared" ref="AE34:AE40" si="184">+IF(OR($F34="",AD34=""),"",$F34*AD34)</f>
        <v/>
      </c>
      <c r="AF34" s="94"/>
      <c r="AG34" s="59" t="str">
        <f t="shared" ref="AG34:BC40" si="185">+IF(OR($F34="",AF34=""),"",$F34*AF34)</f>
        <v/>
      </c>
      <c r="AH34" s="94"/>
      <c r="AI34" s="59" t="str">
        <f t="shared" si="185"/>
        <v/>
      </c>
      <c r="AJ34" s="64"/>
      <c r="AK34" s="59" t="str">
        <f t="shared" si="185"/>
        <v/>
      </c>
      <c r="AL34" s="64"/>
      <c r="AM34" s="59" t="str">
        <f t="shared" si="185"/>
        <v/>
      </c>
      <c r="AN34" s="64"/>
      <c r="AO34" s="59" t="str">
        <f t="shared" si="185"/>
        <v/>
      </c>
      <c r="AP34" s="64"/>
      <c r="AQ34" s="59" t="str">
        <f t="shared" si="185"/>
        <v/>
      </c>
      <c r="AR34" s="64"/>
      <c r="AS34" s="59" t="str">
        <f t="shared" si="185"/>
        <v/>
      </c>
      <c r="AT34" s="64"/>
      <c r="AU34" s="59" t="str">
        <f t="shared" si="185"/>
        <v/>
      </c>
      <c r="AV34" s="64"/>
      <c r="AW34" s="59" t="str">
        <f t="shared" si="185"/>
        <v/>
      </c>
      <c r="AX34" s="64"/>
      <c r="AY34" s="59" t="str">
        <f t="shared" si="185"/>
        <v/>
      </c>
      <c r="AZ34" s="64"/>
      <c r="BA34" s="59" t="str">
        <f t="shared" si="185"/>
        <v/>
      </c>
      <c r="BB34" s="64"/>
      <c r="BC34" s="59" t="str">
        <f t="shared" si="185"/>
        <v/>
      </c>
      <c r="BD34" s="61">
        <f t="shared" ref="BD34:BD40" si="186">+SUM(BI34:CF34)</f>
        <v>0</v>
      </c>
      <c r="BE34" s="59">
        <f t="shared" ref="BE34:BE40" si="187">+IF(OR($F34="",BD34=""),"",$F34*BD34)</f>
        <v>0</v>
      </c>
      <c r="BF34" s="61">
        <f t="shared" ref="BF34:BF40" si="188">+D34-BD34</f>
        <v>-925.6</v>
      </c>
      <c r="BG34" s="59">
        <f t="shared" ref="BG34:BG40" si="189">+IF(OR($F34="",BF34=""),"",$F34*BF34)</f>
        <v>-7080.84</v>
      </c>
      <c r="BH34" s="96"/>
      <c r="BI34" s="1">
        <f t="shared" ref="BI34:BI40" si="190">+H34</f>
        <v>0</v>
      </c>
      <c r="BJ34" s="1">
        <f t="shared" ref="BJ34:BJ40" si="191">+J34</f>
        <v>0</v>
      </c>
      <c r="BK34" s="1">
        <f t="shared" ref="BK34:BK40" si="192">+L34</f>
        <v>0</v>
      </c>
      <c r="BL34" s="1">
        <f t="shared" ref="BL34:BL40" si="193">+N34</f>
        <v>0</v>
      </c>
      <c r="BM34" s="1">
        <f t="shared" ref="BM34:BM40" si="194">+P34</f>
        <v>0</v>
      </c>
      <c r="BN34" s="1">
        <f t="shared" ref="BN34:BN40" si="195">+R34</f>
        <v>0</v>
      </c>
      <c r="BO34" s="1">
        <f t="shared" ref="BO34:BO40" si="196">+T34</f>
        <v>0</v>
      </c>
      <c r="BP34" s="1">
        <f t="shared" ref="BP34:BP40" si="197">+V34</f>
        <v>0</v>
      </c>
      <c r="BQ34" s="1">
        <f t="shared" ref="BQ34:BQ40" si="198">+X34</f>
        <v>0</v>
      </c>
      <c r="BR34" s="1">
        <f t="shared" ref="BR34:BR40" si="199">+Z34</f>
        <v>0</v>
      </c>
      <c r="BS34" s="1">
        <f t="shared" ref="BS34:BS40" si="200">+AB34</f>
        <v>0</v>
      </c>
      <c r="BT34" s="1">
        <f t="shared" ref="BT34:BT40" si="201">+AD34</f>
        <v>0</v>
      </c>
      <c r="BU34" s="1">
        <f t="shared" ref="BU34:BU40" si="202">+AF34</f>
        <v>0</v>
      </c>
      <c r="BV34" s="1">
        <f t="shared" ref="BV34:BV40" si="203">+AH34</f>
        <v>0</v>
      </c>
      <c r="BW34" s="1">
        <f t="shared" ref="BW34:BW40" si="204">+AJ34</f>
        <v>0</v>
      </c>
      <c r="BX34" s="1">
        <f t="shared" ref="BX34:BX40" si="205">+AL34</f>
        <v>0</v>
      </c>
      <c r="BY34" s="1">
        <f t="shared" ref="BY34:BY40" si="206">+AN34</f>
        <v>0</v>
      </c>
      <c r="BZ34" s="1">
        <f t="shared" ref="BZ34:BZ40" si="207">+AP34</f>
        <v>0</v>
      </c>
      <c r="CA34" s="1">
        <f t="shared" ref="CA34:CA40" si="208">+AR34</f>
        <v>0</v>
      </c>
      <c r="CB34" s="1">
        <f t="shared" ref="CB34:CB40" si="209">+AT34</f>
        <v>0</v>
      </c>
      <c r="CC34" s="1">
        <f t="shared" ref="CC34:CC40" si="210">+AV34</f>
        <v>0</v>
      </c>
      <c r="CD34" s="1">
        <f t="shared" ref="CD34:CD40" si="211">+AX34</f>
        <v>0</v>
      </c>
      <c r="CE34" s="1">
        <f t="shared" ref="CE34:CE40" si="212">+AZ34</f>
        <v>0</v>
      </c>
      <c r="CF34" s="1">
        <f t="shared" ref="CF34:CF40" si="213">+BB34</f>
        <v>0</v>
      </c>
    </row>
    <row r="35" spans="3:84" ht="18" customHeight="1" outlineLevel="1">
      <c r="C35" s="27" t="s">
        <v>365</v>
      </c>
      <c r="D35" s="55">
        <v>-592.99</v>
      </c>
      <c r="E35" s="88" t="s">
        <v>806</v>
      </c>
      <c r="F35" s="56">
        <v>7.65</v>
      </c>
      <c r="G35" s="57">
        <f t="shared" si="172"/>
        <v>-4536.3735000000006</v>
      </c>
      <c r="H35" s="28"/>
      <c r="I35" s="59" t="str">
        <f t="shared" si="173"/>
        <v/>
      </c>
      <c r="J35" s="64"/>
      <c r="K35" s="59" t="str">
        <f t="shared" si="174"/>
        <v/>
      </c>
      <c r="L35" s="64"/>
      <c r="M35" s="59" t="str">
        <f t="shared" si="175"/>
        <v/>
      </c>
      <c r="N35" s="64"/>
      <c r="O35" s="59" t="str">
        <f t="shared" si="176"/>
        <v/>
      </c>
      <c r="P35" s="64"/>
      <c r="Q35" s="59" t="str">
        <f t="shared" si="177"/>
        <v/>
      </c>
      <c r="R35" s="64"/>
      <c r="S35" s="59" t="str">
        <f t="shared" si="178"/>
        <v/>
      </c>
      <c r="T35" s="64"/>
      <c r="U35" s="59" t="str">
        <f t="shared" si="179"/>
        <v/>
      </c>
      <c r="V35" s="64"/>
      <c r="W35" s="59" t="str">
        <f t="shared" si="180"/>
        <v/>
      </c>
      <c r="X35" s="94"/>
      <c r="Y35" s="59" t="str">
        <f t="shared" si="181"/>
        <v/>
      </c>
      <c r="Z35" s="94"/>
      <c r="AA35" s="59" t="str">
        <f t="shared" si="182"/>
        <v/>
      </c>
      <c r="AB35" s="94"/>
      <c r="AC35" s="59" t="str">
        <f t="shared" si="183"/>
        <v/>
      </c>
      <c r="AD35" s="94"/>
      <c r="AE35" s="59" t="str">
        <f t="shared" si="184"/>
        <v/>
      </c>
      <c r="AF35" s="94"/>
      <c r="AG35" s="59" t="str">
        <f t="shared" si="185"/>
        <v/>
      </c>
      <c r="AH35" s="94"/>
      <c r="AI35" s="59" t="str">
        <f t="shared" si="185"/>
        <v/>
      </c>
      <c r="AJ35" s="64"/>
      <c r="AK35" s="59" t="str">
        <f t="shared" si="185"/>
        <v/>
      </c>
      <c r="AL35" s="64"/>
      <c r="AM35" s="59" t="str">
        <f t="shared" si="185"/>
        <v/>
      </c>
      <c r="AN35" s="64"/>
      <c r="AO35" s="59" t="str">
        <f t="shared" si="185"/>
        <v/>
      </c>
      <c r="AP35" s="64"/>
      <c r="AQ35" s="59" t="str">
        <f t="shared" si="185"/>
        <v/>
      </c>
      <c r="AR35" s="64"/>
      <c r="AS35" s="59" t="str">
        <f t="shared" si="185"/>
        <v/>
      </c>
      <c r="AT35" s="64"/>
      <c r="AU35" s="59" t="str">
        <f t="shared" si="185"/>
        <v/>
      </c>
      <c r="AV35" s="64"/>
      <c r="AW35" s="59" t="str">
        <f t="shared" si="185"/>
        <v/>
      </c>
      <c r="AX35" s="64"/>
      <c r="AY35" s="59" t="str">
        <f t="shared" si="185"/>
        <v/>
      </c>
      <c r="AZ35" s="64"/>
      <c r="BA35" s="59" t="str">
        <f t="shared" si="185"/>
        <v/>
      </c>
      <c r="BB35" s="64"/>
      <c r="BC35" s="59" t="str">
        <f t="shared" si="185"/>
        <v/>
      </c>
      <c r="BD35" s="61">
        <f t="shared" si="186"/>
        <v>0</v>
      </c>
      <c r="BE35" s="59">
        <f t="shared" si="187"/>
        <v>0</v>
      </c>
      <c r="BF35" s="61">
        <f t="shared" si="188"/>
        <v>-592.99</v>
      </c>
      <c r="BG35" s="59">
        <f t="shared" si="189"/>
        <v>-4536.3735000000006</v>
      </c>
      <c r="BH35" s="96"/>
      <c r="BI35" s="1">
        <f t="shared" si="190"/>
        <v>0</v>
      </c>
      <c r="BJ35" s="1">
        <f t="shared" si="191"/>
        <v>0</v>
      </c>
      <c r="BK35" s="1">
        <f t="shared" si="192"/>
        <v>0</v>
      </c>
      <c r="BL35" s="1">
        <f t="shared" si="193"/>
        <v>0</v>
      </c>
      <c r="BM35" s="1">
        <f t="shared" si="194"/>
        <v>0</v>
      </c>
      <c r="BN35" s="1">
        <f t="shared" si="195"/>
        <v>0</v>
      </c>
      <c r="BO35" s="1">
        <f t="shared" si="196"/>
        <v>0</v>
      </c>
      <c r="BP35" s="1">
        <f t="shared" si="197"/>
        <v>0</v>
      </c>
      <c r="BQ35" s="1">
        <f t="shared" si="198"/>
        <v>0</v>
      </c>
      <c r="BR35" s="1">
        <f t="shared" si="199"/>
        <v>0</v>
      </c>
      <c r="BS35" s="1">
        <f t="shared" si="200"/>
        <v>0</v>
      </c>
      <c r="BT35" s="1">
        <f t="shared" si="201"/>
        <v>0</v>
      </c>
      <c r="BU35" s="1">
        <f t="shared" si="202"/>
        <v>0</v>
      </c>
      <c r="BV35" s="1">
        <f t="shared" si="203"/>
        <v>0</v>
      </c>
      <c r="BW35" s="1">
        <f t="shared" si="204"/>
        <v>0</v>
      </c>
      <c r="BX35" s="1">
        <f t="shared" si="205"/>
        <v>0</v>
      </c>
      <c r="BY35" s="1">
        <f t="shared" si="206"/>
        <v>0</v>
      </c>
      <c r="BZ35" s="1">
        <f t="shared" si="207"/>
        <v>0</v>
      </c>
      <c r="CA35" s="1">
        <f t="shared" si="208"/>
        <v>0</v>
      </c>
      <c r="CB35" s="1">
        <f t="shared" si="209"/>
        <v>0</v>
      </c>
      <c r="CC35" s="1">
        <f t="shared" si="210"/>
        <v>0</v>
      </c>
      <c r="CD35" s="1">
        <f t="shared" si="211"/>
        <v>0</v>
      </c>
      <c r="CE35" s="1">
        <f t="shared" si="212"/>
        <v>0</v>
      </c>
      <c r="CF35" s="1">
        <f t="shared" si="213"/>
        <v>0</v>
      </c>
    </row>
    <row r="36" spans="3:84" ht="18" customHeight="1" outlineLevel="1">
      <c r="C36" s="27" t="s">
        <v>366</v>
      </c>
      <c r="D36" s="55">
        <v>-33.090000000000003</v>
      </c>
      <c r="E36" s="88" t="s">
        <v>806</v>
      </c>
      <c r="F36" s="56">
        <v>7.65</v>
      </c>
      <c r="G36" s="57">
        <f t="shared" si="172"/>
        <v>-253.13850000000005</v>
      </c>
      <c r="H36" s="28"/>
      <c r="I36" s="59" t="str">
        <f t="shared" si="173"/>
        <v/>
      </c>
      <c r="J36" s="64"/>
      <c r="K36" s="59" t="str">
        <f t="shared" si="174"/>
        <v/>
      </c>
      <c r="L36" s="64"/>
      <c r="M36" s="59" t="str">
        <f t="shared" si="175"/>
        <v/>
      </c>
      <c r="N36" s="64"/>
      <c r="O36" s="59" t="str">
        <f t="shared" si="176"/>
        <v/>
      </c>
      <c r="P36" s="64"/>
      <c r="Q36" s="59" t="str">
        <f t="shared" si="177"/>
        <v/>
      </c>
      <c r="R36" s="64"/>
      <c r="S36" s="59" t="str">
        <f t="shared" si="178"/>
        <v/>
      </c>
      <c r="T36" s="64"/>
      <c r="U36" s="59" t="str">
        <f t="shared" si="179"/>
        <v/>
      </c>
      <c r="V36" s="64"/>
      <c r="W36" s="59" t="str">
        <f t="shared" si="180"/>
        <v/>
      </c>
      <c r="X36" s="94"/>
      <c r="Y36" s="59" t="str">
        <f t="shared" si="181"/>
        <v/>
      </c>
      <c r="Z36" s="94"/>
      <c r="AA36" s="59" t="str">
        <f t="shared" si="182"/>
        <v/>
      </c>
      <c r="AB36" s="94"/>
      <c r="AC36" s="59" t="str">
        <f t="shared" si="183"/>
        <v/>
      </c>
      <c r="AD36" s="94"/>
      <c r="AE36" s="59" t="str">
        <f t="shared" si="184"/>
        <v/>
      </c>
      <c r="AF36" s="94"/>
      <c r="AG36" s="59" t="str">
        <f t="shared" si="185"/>
        <v/>
      </c>
      <c r="AH36" s="94"/>
      <c r="AI36" s="59" t="str">
        <f t="shared" si="185"/>
        <v/>
      </c>
      <c r="AJ36" s="64"/>
      <c r="AK36" s="59" t="str">
        <f t="shared" si="185"/>
        <v/>
      </c>
      <c r="AL36" s="64"/>
      <c r="AM36" s="59" t="str">
        <f t="shared" si="185"/>
        <v/>
      </c>
      <c r="AN36" s="64"/>
      <c r="AO36" s="59" t="str">
        <f t="shared" si="185"/>
        <v/>
      </c>
      <c r="AP36" s="64"/>
      <c r="AQ36" s="59" t="str">
        <f t="shared" si="185"/>
        <v/>
      </c>
      <c r="AR36" s="64"/>
      <c r="AS36" s="59" t="str">
        <f t="shared" si="185"/>
        <v/>
      </c>
      <c r="AT36" s="64"/>
      <c r="AU36" s="59" t="str">
        <f t="shared" si="185"/>
        <v/>
      </c>
      <c r="AV36" s="64"/>
      <c r="AW36" s="59" t="str">
        <f t="shared" si="185"/>
        <v/>
      </c>
      <c r="AX36" s="64"/>
      <c r="AY36" s="59" t="str">
        <f t="shared" si="185"/>
        <v/>
      </c>
      <c r="AZ36" s="64"/>
      <c r="BA36" s="59" t="str">
        <f t="shared" si="185"/>
        <v/>
      </c>
      <c r="BB36" s="64"/>
      <c r="BC36" s="59" t="str">
        <f t="shared" si="185"/>
        <v/>
      </c>
      <c r="BD36" s="61">
        <f t="shared" si="186"/>
        <v>0</v>
      </c>
      <c r="BE36" s="59">
        <f t="shared" si="187"/>
        <v>0</v>
      </c>
      <c r="BF36" s="61">
        <f t="shared" si="188"/>
        <v>-33.090000000000003</v>
      </c>
      <c r="BG36" s="59">
        <f t="shared" si="189"/>
        <v>-253.13850000000005</v>
      </c>
      <c r="BH36" s="96"/>
      <c r="BI36" s="1">
        <f t="shared" si="190"/>
        <v>0</v>
      </c>
      <c r="BJ36" s="1">
        <f t="shared" si="191"/>
        <v>0</v>
      </c>
      <c r="BK36" s="1">
        <f t="shared" si="192"/>
        <v>0</v>
      </c>
      <c r="BL36" s="1">
        <f t="shared" si="193"/>
        <v>0</v>
      </c>
      <c r="BM36" s="1">
        <f t="shared" si="194"/>
        <v>0</v>
      </c>
      <c r="BN36" s="1">
        <f t="shared" si="195"/>
        <v>0</v>
      </c>
      <c r="BO36" s="1">
        <f t="shared" si="196"/>
        <v>0</v>
      </c>
      <c r="BP36" s="1">
        <f t="shared" si="197"/>
        <v>0</v>
      </c>
      <c r="BQ36" s="1">
        <f t="shared" si="198"/>
        <v>0</v>
      </c>
      <c r="BR36" s="1">
        <f t="shared" si="199"/>
        <v>0</v>
      </c>
      <c r="BS36" s="1">
        <f t="shared" si="200"/>
        <v>0</v>
      </c>
      <c r="BT36" s="1">
        <f t="shared" si="201"/>
        <v>0</v>
      </c>
      <c r="BU36" s="1">
        <f t="shared" si="202"/>
        <v>0</v>
      </c>
      <c r="BV36" s="1">
        <f t="shared" si="203"/>
        <v>0</v>
      </c>
      <c r="BW36" s="1">
        <f t="shared" si="204"/>
        <v>0</v>
      </c>
      <c r="BX36" s="1">
        <f t="shared" si="205"/>
        <v>0</v>
      </c>
      <c r="BY36" s="1">
        <f t="shared" si="206"/>
        <v>0</v>
      </c>
      <c r="BZ36" s="1">
        <f t="shared" si="207"/>
        <v>0</v>
      </c>
      <c r="CA36" s="1">
        <f t="shared" si="208"/>
        <v>0</v>
      </c>
      <c r="CB36" s="1">
        <f t="shared" si="209"/>
        <v>0</v>
      </c>
      <c r="CC36" s="1">
        <f t="shared" si="210"/>
        <v>0</v>
      </c>
      <c r="CD36" s="1">
        <f t="shared" si="211"/>
        <v>0</v>
      </c>
      <c r="CE36" s="1">
        <f t="shared" si="212"/>
        <v>0</v>
      </c>
      <c r="CF36" s="1">
        <f t="shared" si="213"/>
        <v>0</v>
      </c>
    </row>
    <row r="37" spans="3:84" ht="18" customHeight="1" outlineLevel="1">
      <c r="C37" s="27" t="s">
        <v>367</v>
      </c>
      <c r="D37" s="55">
        <v>-17.55</v>
      </c>
      <c r="E37" s="88" t="s">
        <v>806</v>
      </c>
      <c r="F37" s="56">
        <v>7.65</v>
      </c>
      <c r="G37" s="57">
        <f t="shared" si="172"/>
        <v>-134.25750000000002</v>
      </c>
      <c r="H37" s="28"/>
      <c r="I37" s="59" t="str">
        <f t="shared" si="173"/>
        <v/>
      </c>
      <c r="J37" s="64"/>
      <c r="K37" s="59" t="str">
        <f t="shared" si="174"/>
        <v/>
      </c>
      <c r="L37" s="64"/>
      <c r="M37" s="59" t="str">
        <f t="shared" si="175"/>
        <v/>
      </c>
      <c r="N37" s="64"/>
      <c r="O37" s="59" t="str">
        <f t="shared" si="176"/>
        <v/>
      </c>
      <c r="P37" s="64"/>
      <c r="Q37" s="59" t="str">
        <f t="shared" si="177"/>
        <v/>
      </c>
      <c r="R37" s="64"/>
      <c r="S37" s="59" t="str">
        <f t="shared" si="178"/>
        <v/>
      </c>
      <c r="T37" s="64"/>
      <c r="U37" s="59" t="str">
        <f t="shared" si="179"/>
        <v/>
      </c>
      <c r="V37" s="64"/>
      <c r="W37" s="59" t="str">
        <f t="shared" si="180"/>
        <v/>
      </c>
      <c r="X37" s="94"/>
      <c r="Y37" s="59" t="str">
        <f t="shared" si="181"/>
        <v/>
      </c>
      <c r="Z37" s="94"/>
      <c r="AA37" s="59" t="str">
        <f t="shared" si="182"/>
        <v/>
      </c>
      <c r="AB37" s="94"/>
      <c r="AC37" s="59" t="str">
        <f t="shared" si="183"/>
        <v/>
      </c>
      <c r="AD37" s="94"/>
      <c r="AE37" s="59" t="str">
        <f t="shared" si="184"/>
        <v/>
      </c>
      <c r="AF37" s="94"/>
      <c r="AG37" s="59" t="str">
        <f t="shared" si="185"/>
        <v/>
      </c>
      <c r="AH37" s="94"/>
      <c r="AI37" s="59" t="str">
        <f t="shared" si="185"/>
        <v/>
      </c>
      <c r="AJ37" s="64"/>
      <c r="AK37" s="59" t="str">
        <f t="shared" si="185"/>
        <v/>
      </c>
      <c r="AL37" s="64"/>
      <c r="AM37" s="59" t="str">
        <f t="shared" si="185"/>
        <v/>
      </c>
      <c r="AN37" s="64"/>
      <c r="AO37" s="59" t="str">
        <f t="shared" si="185"/>
        <v/>
      </c>
      <c r="AP37" s="64"/>
      <c r="AQ37" s="59" t="str">
        <f t="shared" si="185"/>
        <v/>
      </c>
      <c r="AR37" s="64"/>
      <c r="AS37" s="59" t="str">
        <f t="shared" si="185"/>
        <v/>
      </c>
      <c r="AT37" s="64"/>
      <c r="AU37" s="59" t="str">
        <f t="shared" si="185"/>
        <v/>
      </c>
      <c r="AV37" s="64"/>
      <c r="AW37" s="59" t="str">
        <f t="shared" si="185"/>
        <v/>
      </c>
      <c r="AX37" s="64"/>
      <c r="AY37" s="59" t="str">
        <f t="shared" si="185"/>
        <v/>
      </c>
      <c r="AZ37" s="64"/>
      <c r="BA37" s="59" t="str">
        <f t="shared" si="185"/>
        <v/>
      </c>
      <c r="BB37" s="64"/>
      <c r="BC37" s="59" t="str">
        <f t="shared" si="185"/>
        <v/>
      </c>
      <c r="BD37" s="61">
        <f t="shared" si="186"/>
        <v>0</v>
      </c>
      <c r="BE37" s="59">
        <f t="shared" si="187"/>
        <v>0</v>
      </c>
      <c r="BF37" s="61">
        <f t="shared" si="188"/>
        <v>-17.55</v>
      </c>
      <c r="BG37" s="59">
        <f t="shared" si="189"/>
        <v>-134.25750000000002</v>
      </c>
      <c r="BH37" s="96"/>
      <c r="BI37" s="1">
        <f t="shared" si="190"/>
        <v>0</v>
      </c>
      <c r="BJ37" s="1">
        <f t="shared" si="191"/>
        <v>0</v>
      </c>
      <c r="BK37" s="1">
        <f t="shared" si="192"/>
        <v>0</v>
      </c>
      <c r="BL37" s="1">
        <f t="shared" si="193"/>
        <v>0</v>
      </c>
      <c r="BM37" s="1">
        <f t="shared" si="194"/>
        <v>0</v>
      </c>
      <c r="BN37" s="1">
        <f t="shared" si="195"/>
        <v>0</v>
      </c>
      <c r="BO37" s="1">
        <f t="shared" si="196"/>
        <v>0</v>
      </c>
      <c r="BP37" s="1">
        <f t="shared" si="197"/>
        <v>0</v>
      </c>
      <c r="BQ37" s="1">
        <f t="shared" si="198"/>
        <v>0</v>
      </c>
      <c r="BR37" s="1">
        <f t="shared" si="199"/>
        <v>0</v>
      </c>
      <c r="BS37" s="1">
        <f t="shared" si="200"/>
        <v>0</v>
      </c>
      <c r="BT37" s="1">
        <f t="shared" si="201"/>
        <v>0</v>
      </c>
      <c r="BU37" s="1">
        <f t="shared" si="202"/>
        <v>0</v>
      </c>
      <c r="BV37" s="1">
        <f t="shared" si="203"/>
        <v>0</v>
      </c>
      <c r="BW37" s="1">
        <f t="shared" si="204"/>
        <v>0</v>
      </c>
      <c r="BX37" s="1">
        <f t="shared" si="205"/>
        <v>0</v>
      </c>
      <c r="BY37" s="1">
        <f t="shared" si="206"/>
        <v>0</v>
      </c>
      <c r="BZ37" s="1">
        <f t="shared" si="207"/>
        <v>0</v>
      </c>
      <c r="CA37" s="1">
        <f t="shared" si="208"/>
        <v>0</v>
      </c>
      <c r="CB37" s="1">
        <f t="shared" si="209"/>
        <v>0</v>
      </c>
      <c r="CC37" s="1">
        <f t="shared" si="210"/>
        <v>0</v>
      </c>
      <c r="CD37" s="1">
        <f t="shared" si="211"/>
        <v>0</v>
      </c>
      <c r="CE37" s="1">
        <f t="shared" si="212"/>
        <v>0</v>
      </c>
      <c r="CF37" s="1">
        <f t="shared" si="213"/>
        <v>0</v>
      </c>
    </row>
    <row r="38" spans="3:84" ht="22.5" outlineLevel="1">
      <c r="C38" s="27" t="s">
        <v>368</v>
      </c>
      <c r="D38" s="55">
        <v>-192.81</v>
      </c>
      <c r="E38" s="88" t="s">
        <v>806</v>
      </c>
      <c r="F38" s="56">
        <v>7.65</v>
      </c>
      <c r="G38" s="57">
        <f t="shared" si="172"/>
        <v>-1474.9965000000002</v>
      </c>
      <c r="H38" s="28"/>
      <c r="I38" s="59" t="str">
        <f t="shared" si="173"/>
        <v/>
      </c>
      <c r="J38" s="64"/>
      <c r="K38" s="59" t="str">
        <f t="shared" si="174"/>
        <v/>
      </c>
      <c r="L38" s="64"/>
      <c r="M38" s="59" t="str">
        <f t="shared" si="175"/>
        <v/>
      </c>
      <c r="N38" s="64"/>
      <c r="O38" s="59" t="str">
        <f t="shared" si="176"/>
        <v/>
      </c>
      <c r="P38" s="64"/>
      <c r="Q38" s="59" t="str">
        <f t="shared" si="177"/>
        <v/>
      </c>
      <c r="R38" s="64"/>
      <c r="S38" s="59" t="str">
        <f t="shared" si="178"/>
        <v/>
      </c>
      <c r="T38" s="64"/>
      <c r="U38" s="59" t="str">
        <f t="shared" si="179"/>
        <v/>
      </c>
      <c r="V38" s="64"/>
      <c r="W38" s="59" t="str">
        <f t="shared" si="180"/>
        <v/>
      </c>
      <c r="X38" s="94"/>
      <c r="Y38" s="59" t="str">
        <f t="shared" si="181"/>
        <v/>
      </c>
      <c r="Z38" s="94"/>
      <c r="AA38" s="59" t="str">
        <f t="shared" si="182"/>
        <v/>
      </c>
      <c r="AB38" s="94"/>
      <c r="AC38" s="59" t="str">
        <f t="shared" si="183"/>
        <v/>
      </c>
      <c r="AD38" s="94"/>
      <c r="AE38" s="59" t="str">
        <f t="shared" si="184"/>
        <v/>
      </c>
      <c r="AF38" s="94"/>
      <c r="AG38" s="59" t="str">
        <f t="shared" si="185"/>
        <v/>
      </c>
      <c r="AH38" s="94"/>
      <c r="AI38" s="59" t="str">
        <f t="shared" si="185"/>
        <v/>
      </c>
      <c r="AJ38" s="64"/>
      <c r="AK38" s="59" t="str">
        <f t="shared" si="185"/>
        <v/>
      </c>
      <c r="AL38" s="64"/>
      <c r="AM38" s="59" t="str">
        <f t="shared" si="185"/>
        <v/>
      </c>
      <c r="AN38" s="64"/>
      <c r="AO38" s="59" t="str">
        <f t="shared" si="185"/>
        <v/>
      </c>
      <c r="AP38" s="64"/>
      <c r="AQ38" s="59" t="str">
        <f t="shared" si="185"/>
        <v/>
      </c>
      <c r="AR38" s="64"/>
      <c r="AS38" s="59" t="str">
        <f t="shared" si="185"/>
        <v/>
      </c>
      <c r="AT38" s="64"/>
      <c r="AU38" s="59" t="str">
        <f t="shared" si="185"/>
        <v/>
      </c>
      <c r="AV38" s="64"/>
      <c r="AW38" s="59" t="str">
        <f t="shared" si="185"/>
        <v/>
      </c>
      <c r="AX38" s="64"/>
      <c r="AY38" s="59" t="str">
        <f t="shared" si="185"/>
        <v/>
      </c>
      <c r="AZ38" s="64"/>
      <c r="BA38" s="59" t="str">
        <f t="shared" si="185"/>
        <v/>
      </c>
      <c r="BB38" s="64"/>
      <c r="BC38" s="59" t="str">
        <f t="shared" si="185"/>
        <v/>
      </c>
      <c r="BD38" s="61">
        <f t="shared" si="186"/>
        <v>0</v>
      </c>
      <c r="BE38" s="59">
        <f t="shared" si="187"/>
        <v>0</v>
      </c>
      <c r="BF38" s="61">
        <f t="shared" si="188"/>
        <v>-192.81</v>
      </c>
      <c r="BG38" s="59">
        <f t="shared" si="189"/>
        <v>-1474.9965000000002</v>
      </c>
      <c r="BH38" s="96"/>
      <c r="BI38" s="1">
        <f t="shared" si="190"/>
        <v>0</v>
      </c>
      <c r="BJ38" s="1">
        <f t="shared" si="191"/>
        <v>0</v>
      </c>
      <c r="BK38" s="1">
        <f t="shared" si="192"/>
        <v>0</v>
      </c>
      <c r="BL38" s="1">
        <f t="shared" si="193"/>
        <v>0</v>
      </c>
      <c r="BM38" s="1">
        <f t="shared" si="194"/>
        <v>0</v>
      </c>
      <c r="BN38" s="1">
        <f t="shared" si="195"/>
        <v>0</v>
      </c>
      <c r="BO38" s="1">
        <f t="shared" si="196"/>
        <v>0</v>
      </c>
      <c r="BP38" s="1">
        <f t="shared" si="197"/>
        <v>0</v>
      </c>
      <c r="BQ38" s="1">
        <f t="shared" si="198"/>
        <v>0</v>
      </c>
      <c r="BR38" s="1">
        <f t="shared" si="199"/>
        <v>0</v>
      </c>
      <c r="BS38" s="1">
        <f t="shared" si="200"/>
        <v>0</v>
      </c>
      <c r="BT38" s="1">
        <f t="shared" si="201"/>
        <v>0</v>
      </c>
      <c r="BU38" s="1">
        <f t="shared" si="202"/>
        <v>0</v>
      </c>
      <c r="BV38" s="1">
        <f t="shared" si="203"/>
        <v>0</v>
      </c>
      <c r="BW38" s="1">
        <f t="shared" si="204"/>
        <v>0</v>
      </c>
      <c r="BX38" s="1">
        <f t="shared" si="205"/>
        <v>0</v>
      </c>
      <c r="BY38" s="1">
        <f t="shared" si="206"/>
        <v>0</v>
      </c>
      <c r="BZ38" s="1">
        <f t="shared" si="207"/>
        <v>0</v>
      </c>
      <c r="CA38" s="1">
        <f t="shared" si="208"/>
        <v>0</v>
      </c>
      <c r="CB38" s="1">
        <f t="shared" si="209"/>
        <v>0</v>
      </c>
      <c r="CC38" s="1">
        <f t="shared" si="210"/>
        <v>0</v>
      </c>
      <c r="CD38" s="1">
        <f t="shared" si="211"/>
        <v>0</v>
      </c>
      <c r="CE38" s="1">
        <f t="shared" si="212"/>
        <v>0</v>
      </c>
      <c r="CF38" s="1">
        <f t="shared" si="213"/>
        <v>0</v>
      </c>
    </row>
    <row r="39" spans="3:84" ht="112.5" outlineLevel="1">
      <c r="C39" s="27" t="s">
        <v>823</v>
      </c>
      <c r="D39" s="55">
        <v>-17.309999999999999</v>
      </c>
      <c r="E39" s="88" t="s">
        <v>807</v>
      </c>
      <c r="F39" s="56">
        <v>305.8</v>
      </c>
      <c r="G39" s="57">
        <f t="shared" si="172"/>
        <v>-5293.3980000000001</v>
      </c>
      <c r="H39" s="28"/>
      <c r="I39" s="59" t="str">
        <f t="shared" si="173"/>
        <v/>
      </c>
      <c r="J39" s="64"/>
      <c r="K39" s="59" t="str">
        <f t="shared" si="174"/>
        <v/>
      </c>
      <c r="L39" s="64"/>
      <c r="M39" s="59" t="str">
        <f t="shared" si="175"/>
        <v/>
      </c>
      <c r="N39" s="64"/>
      <c r="O39" s="59" t="str">
        <f t="shared" si="176"/>
        <v/>
      </c>
      <c r="P39" s="64"/>
      <c r="Q39" s="59" t="str">
        <f t="shared" si="177"/>
        <v/>
      </c>
      <c r="R39" s="64"/>
      <c r="S39" s="59" t="str">
        <f t="shared" si="178"/>
        <v/>
      </c>
      <c r="T39" s="64"/>
      <c r="U39" s="59" t="str">
        <f t="shared" si="179"/>
        <v/>
      </c>
      <c r="V39" s="64"/>
      <c r="W39" s="59" t="str">
        <f t="shared" si="180"/>
        <v/>
      </c>
      <c r="X39" s="94"/>
      <c r="Y39" s="59" t="str">
        <f t="shared" si="181"/>
        <v/>
      </c>
      <c r="Z39" s="94"/>
      <c r="AA39" s="59" t="str">
        <f t="shared" si="182"/>
        <v/>
      </c>
      <c r="AB39" s="94"/>
      <c r="AC39" s="59" t="str">
        <f t="shared" si="183"/>
        <v/>
      </c>
      <c r="AD39" s="94"/>
      <c r="AE39" s="59" t="str">
        <f t="shared" si="184"/>
        <v/>
      </c>
      <c r="AF39" s="94"/>
      <c r="AG39" s="59" t="str">
        <f t="shared" si="185"/>
        <v/>
      </c>
      <c r="AH39" s="94"/>
      <c r="AI39" s="59" t="str">
        <f t="shared" si="185"/>
        <v/>
      </c>
      <c r="AJ39" s="64"/>
      <c r="AK39" s="59" t="str">
        <f t="shared" si="185"/>
        <v/>
      </c>
      <c r="AL39" s="64"/>
      <c r="AM39" s="59" t="str">
        <f t="shared" si="185"/>
        <v/>
      </c>
      <c r="AN39" s="64"/>
      <c r="AO39" s="59" t="str">
        <f t="shared" si="185"/>
        <v/>
      </c>
      <c r="AP39" s="64"/>
      <c r="AQ39" s="59" t="str">
        <f t="shared" si="185"/>
        <v/>
      </c>
      <c r="AR39" s="64"/>
      <c r="AS39" s="59" t="str">
        <f t="shared" si="185"/>
        <v/>
      </c>
      <c r="AT39" s="64"/>
      <c r="AU39" s="59" t="str">
        <f t="shared" si="185"/>
        <v/>
      </c>
      <c r="AV39" s="64"/>
      <c r="AW39" s="59" t="str">
        <f t="shared" si="185"/>
        <v/>
      </c>
      <c r="AX39" s="64"/>
      <c r="AY39" s="59" t="str">
        <f t="shared" si="185"/>
        <v/>
      </c>
      <c r="AZ39" s="64"/>
      <c r="BA39" s="59" t="str">
        <f t="shared" si="185"/>
        <v/>
      </c>
      <c r="BB39" s="64"/>
      <c r="BC39" s="59" t="str">
        <f t="shared" si="185"/>
        <v/>
      </c>
      <c r="BD39" s="61">
        <f t="shared" si="186"/>
        <v>0</v>
      </c>
      <c r="BE39" s="59">
        <f t="shared" si="187"/>
        <v>0</v>
      </c>
      <c r="BF39" s="61">
        <f t="shared" si="188"/>
        <v>-17.309999999999999</v>
      </c>
      <c r="BG39" s="59">
        <f t="shared" si="189"/>
        <v>-5293.3980000000001</v>
      </c>
      <c r="BH39" s="96"/>
      <c r="BI39" s="1">
        <f t="shared" si="190"/>
        <v>0</v>
      </c>
      <c r="BJ39" s="1">
        <f t="shared" si="191"/>
        <v>0</v>
      </c>
      <c r="BK39" s="1">
        <f t="shared" si="192"/>
        <v>0</v>
      </c>
      <c r="BL39" s="1">
        <f t="shared" si="193"/>
        <v>0</v>
      </c>
      <c r="BM39" s="1">
        <f t="shared" si="194"/>
        <v>0</v>
      </c>
      <c r="BN39" s="1">
        <f t="shared" si="195"/>
        <v>0</v>
      </c>
      <c r="BO39" s="1">
        <f t="shared" si="196"/>
        <v>0</v>
      </c>
      <c r="BP39" s="1">
        <f t="shared" si="197"/>
        <v>0</v>
      </c>
      <c r="BQ39" s="1">
        <f t="shared" si="198"/>
        <v>0</v>
      </c>
      <c r="BR39" s="1">
        <f t="shared" si="199"/>
        <v>0</v>
      </c>
      <c r="BS39" s="1">
        <f t="shared" si="200"/>
        <v>0</v>
      </c>
      <c r="BT39" s="1">
        <f t="shared" si="201"/>
        <v>0</v>
      </c>
      <c r="BU39" s="1">
        <f t="shared" si="202"/>
        <v>0</v>
      </c>
      <c r="BV39" s="1">
        <f t="shared" si="203"/>
        <v>0</v>
      </c>
      <c r="BW39" s="1">
        <f t="shared" si="204"/>
        <v>0</v>
      </c>
      <c r="BX39" s="1">
        <f t="shared" si="205"/>
        <v>0</v>
      </c>
      <c r="BY39" s="1">
        <f t="shared" si="206"/>
        <v>0</v>
      </c>
      <c r="BZ39" s="1">
        <f t="shared" si="207"/>
        <v>0</v>
      </c>
      <c r="CA39" s="1">
        <f t="shared" si="208"/>
        <v>0</v>
      </c>
      <c r="CB39" s="1">
        <f t="shared" si="209"/>
        <v>0</v>
      </c>
      <c r="CC39" s="1">
        <f t="shared" si="210"/>
        <v>0</v>
      </c>
      <c r="CD39" s="1">
        <f t="shared" si="211"/>
        <v>0</v>
      </c>
      <c r="CE39" s="1">
        <f t="shared" si="212"/>
        <v>0</v>
      </c>
      <c r="CF39" s="1">
        <f t="shared" si="213"/>
        <v>0</v>
      </c>
    </row>
    <row r="40" spans="3:84" ht="202.5" outlineLevel="1">
      <c r="C40" s="27" t="s">
        <v>821</v>
      </c>
      <c r="D40" s="55">
        <v>1</v>
      </c>
      <c r="E40" s="88" t="s">
        <v>819</v>
      </c>
      <c r="F40" s="56">
        <v>423.67</v>
      </c>
      <c r="G40" s="57">
        <f>+D40*F40</f>
        <v>423.67</v>
      </c>
      <c r="H40" s="28"/>
      <c r="I40" s="59" t="str">
        <f t="shared" si="173"/>
        <v/>
      </c>
      <c r="J40" s="64"/>
      <c r="K40" s="59" t="str">
        <f t="shared" si="174"/>
        <v/>
      </c>
      <c r="L40" s="64"/>
      <c r="M40" s="59" t="str">
        <f t="shared" si="175"/>
        <v/>
      </c>
      <c r="N40" s="64"/>
      <c r="O40" s="59" t="str">
        <f t="shared" si="176"/>
        <v/>
      </c>
      <c r="P40" s="64">
        <v>0.5</v>
      </c>
      <c r="Q40" s="59">
        <f t="shared" si="177"/>
        <v>211.83500000000001</v>
      </c>
      <c r="R40" s="64">
        <v>-0.5</v>
      </c>
      <c r="S40" s="59">
        <f t="shared" si="178"/>
        <v>-211.83500000000001</v>
      </c>
      <c r="T40" s="64"/>
      <c r="U40" s="59" t="str">
        <f t="shared" si="179"/>
        <v/>
      </c>
      <c r="V40" s="64"/>
      <c r="W40" s="59" t="str">
        <f t="shared" si="180"/>
        <v/>
      </c>
      <c r="X40" s="94"/>
      <c r="Y40" s="59" t="str">
        <f t="shared" si="181"/>
        <v/>
      </c>
      <c r="Z40" s="94"/>
      <c r="AA40" s="59" t="str">
        <f t="shared" si="182"/>
        <v/>
      </c>
      <c r="AB40" s="94"/>
      <c r="AC40" s="59" t="str">
        <f t="shared" si="183"/>
        <v/>
      </c>
      <c r="AD40" s="94"/>
      <c r="AE40" s="59" t="str">
        <f t="shared" si="184"/>
        <v/>
      </c>
      <c r="AF40" s="94"/>
      <c r="AG40" s="59" t="str">
        <f t="shared" si="185"/>
        <v/>
      </c>
      <c r="AH40" s="94"/>
      <c r="AI40" s="59" t="str">
        <f t="shared" si="185"/>
        <v/>
      </c>
      <c r="AJ40" s="64"/>
      <c r="AK40" s="59" t="str">
        <f t="shared" si="185"/>
        <v/>
      </c>
      <c r="AL40" s="64"/>
      <c r="AM40" s="59" t="str">
        <f t="shared" si="185"/>
        <v/>
      </c>
      <c r="AN40" s="64"/>
      <c r="AO40" s="59" t="str">
        <f t="shared" si="185"/>
        <v/>
      </c>
      <c r="AP40" s="64"/>
      <c r="AQ40" s="59" t="str">
        <f t="shared" si="185"/>
        <v/>
      </c>
      <c r="AR40" s="64"/>
      <c r="AS40" s="59" t="str">
        <f t="shared" si="185"/>
        <v/>
      </c>
      <c r="AT40" s="64"/>
      <c r="AU40" s="59" t="str">
        <f t="shared" si="185"/>
        <v/>
      </c>
      <c r="AV40" s="64"/>
      <c r="AW40" s="59" t="str">
        <f t="shared" si="185"/>
        <v/>
      </c>
      <c r="AX40" s="64"/>
      <c r="AY40" s="59" t="str">
        <f t="shared" si="185"/>
        <v/>
      </c>
      <c r="AZ40" s="64"/>
      <c r="BA40" s="59" t="str">
        <f t="shared" si="185"/>
        <v/>
      </c>
      <c r="BB40" s="64"/>
      <c r="BC40" s="59" t="str">
        <f t="shared" si="185"/>
        <v/>
      </c>
      <c r="BD40" s="61">
        <f t="shared" si="186"/>
        <v>0</v>
      </c>
      <c r="BE40" s="59">
        <f t="shared" si="187"/>
        <v>0</v>
      </c>
      <c r="BF40" s="61">
        <f t="shared" si="188"/>
        <v>1</v>
      </c>
      <c r="BG40" s="59">
        <f t="shared" si="189"/>
        <v>423.67</v>
      </c>
      <c r="BH40" s="96"/>
      <c r="BI40" s="1">
        <f t="shared" si="190"/>
        <v>0</v>
      </c>
      <c r="BJ40" s="1">
        <f t="shared" si="191"/>
        <v>0</v>
      </c>
      <c r="BK40" s="1">
        <f t="shared" si="192"/>
        <v>0</v>
      </c>
      <c r="BL40" s="1">
        <f t="shared" si="193"/>
        <v>0</v>
      </c>
      <c r="BM40" s="1">
        <f t="shared" si="194"/>
        <v>0.5</v>
      </c>
      <c r="BN40" s="1">
        <f t="shared" si="195"/>
        <v>-0.5</v>
      </c>
      <c r="BO40" s="1">
        <f t="shared" si="196"/>
        <v>0</v>
      </c>
      <c r="BP40" s="1">
        <f t="shared" si="197"/>
        <v>0</v>
      </c>
      <c r="BQ40" s="1">
        <f t="shared" si="198"/>
        <v>0</v>
      </c>
      <c r="BR40" s="1">
        <f t="shared" si="199"/>
        <v>0</v>
      </c>
      <c r="BS40" s="1">
        <f t="shared" si="200"/>
        <v>0</v>
      </c>
      <c r="BT40" s="1">
        <f t="shared" si="201"/>
        <v>0</v>
      </c>
      <c r="BU40" s="1">
        <f t="shared" si="202"/>
        <v>0</v>
      </c>
      <c r="BV40" s="1">
        <f t="shared" si="203"/>
        <v>0</v>
      </c>
      <c r="BW40" s="1">
        <f t="shared" si="204"/>
        <v>0</v>
      </c>
      <c r="BX40" s="1">
        <f t="shared" si="205"/>
        <v>0</v>
      </c>
      <c r="BY40" s="1">
        <f t="shared" si="206"/>
        <v>0</v>
      </c>
      <c r="BZ40" s="1">
        <f t="shared" si="207"/>
        <v>0</v>
      </c>
      <c r="CA40" s="1">
        <f t="shared" si="208"/>
        <v>0</v>
      </c>
      <c r="CB40" s="1">
        <f t="shared" si="209"/>
        <v>0</v>
      </c>
      <c r="CC40" s="1">
        <f t="shared" si="210"/>
        <v>0</v>
      </c>
      <c r="CD40" s="1">
        <f t="shared" si="211"/>
        <v>0</v>
      </c>
      <c r="CE40" s="1">
        <f t="shared" si="212"/>
        <v>0</v>
      </c>
      <c r="CF40" s="1">
        <f t="shared" si="213"/>
        <v>0</v>
      </c>
    </row>
    <row r="41" spans="3:84" ht="146.25" outlineLevel="1">
      <c r="C41" s="27" t="s">
        <v>822</v>
      </c>
      <c r="G41" s="57"/>
      <c r="H41" s="28"/>
      <c r="J41" s="64"/>
      <c r="L41" s="64"/>
      <c r="N41" s="64"/>
      <c r="P41" s="64"/>
      <c r="R41" s="64"/>
      <c r="T41" s="64"/>
      <c r="V41" s="64"/>
      <c r="X41" s="94"/>
      <c r="Z41" s="94"/>
      <c r="AB41" s="94"/>
      <c r="AD41" s="94"/>
      <c r="AF41" s="94"/>
      <c r="AH41" s="94"/>
      <c r="AJ41" s="64"/>
      <c r="AL41" s="64"/>
      <c r="AN41" s="64"/>
      <c r="AP41" s="64"/>
      <c r="AR41" s="64"/>
      <c r="AT41" s="64"/>
      <c r="AV41" s="64"/>
      <c r="AX41" s="64"/>
      <c r="AZ41" s="64"/>
      <c r="BB41" s="64"/>
      <c r="BD41" s="61"/>
      <c r="BF41" s="61"/>
      <c r="BH41" s="96"/>
    </row>
    <row r="42" spans="3:84" ht="18" customHeight="1" outlineLevel="1">
      <c r="C42" s="27" t="s">
        <v>808</v>
      </c>
      <c r="D42" s="55">
        <v>24.25</v>
      </c>
      <c r="E42" s="88" t="s">
        <v>806</v>
      </c>
      <c r="F42" s="56">
        <v>7.65</v>
      </c>
      <c r="G42" s="57">
        <f t="shared" ref="G42:G50" si="214">+D42*F42</f>
        <v>185.51250000000002</v>
      </c>
      <c r="H42" s="28"/>
      <c r="I42" s="59" t="str">
        <f t="shared" ref="I42:I48" si="215">+IF(OR($F42="",H42=""),"",$F42*H42)</f>
        <v/>
      </c>
      <c r="J42" s="64"/>
      <c r="K42" s="59" t="str">
        <f t="shared" ref="K42:K48" si="216">+IF(OR($F42="",J42=""),"",$F42*J42)</f>
        <v/>
      </c>
      <c r="L42" s="64"/>
      <c r="M42" s="59" t="str">
        <f t="shared" ref="M42:M48" si="217">+IF(OR($F42="",L42=""),"",$F42*L42)</f>
        <v/>
      </c>
      <c r="N42" s="64"/>
      <c r="O42" s="59" t="str">
        <f t="shared" ref="O42:O48" si="218">+IF(OR($F42="",N42=""),"",$F42*N42)</f>
        <v/>
      </c>
      <c r="P42" s="64">
        <f>+D42*0.4</f>
        <v>9.7000000000000011</v>
      </c>
      <c r="Q42" s="59">
        <f t="shared" ref="Q42:Q48" si="219">+IF(OR($F42="",P42=""),"",$F42*P42)</f>
        <v>74.205000000000013</v>
      </c>
      <c r="R42" s="64">
        <f>+D42*-0.15</f>
        <v>-3.6374999999999997</v>
      </c>
      <c r="S42" s="59">
        <f t="shared" ref="S42:S48" si="220">+IF(OR($F42="",R42=""),"",$F42*R42)</f>
        <v>-27.826874999999998</v>
      </c>
      <c r="T42" s="64">
        <f>-0.25*D42</f>
        <v>-6.0625</v>
      </c>
      <c r="U42" s="59">
        <f t="shared" ref="U42:U48" si="221">+IF(OR($F42="",T42=""),"",$F42*T42)</f>
        <v>-46.378125000000004</v>
      </c>
      <c r="V42" s="64"/>
      <c r="W42" s="59" t="str">
        <f t="shared" ref="W42:W48" si="222">+IF(OR($F42="",V42=""),"",$F42*V42)</f>
        <v/>
      </c>
      <c r="X42" s="94"/>
      <c r="Y42" s="59" t="str">
        <f t="shared" ref="Y42:Y48" si="223">+IF(OR($F42="",X42=""),"",$F42*X42)</f>
        <v/>
      </c>
      <c r="Z42" s="94"/>
      <c r="AA42" s="59" t="str">
        <f t="shared" ref="AA42:AA48" si="224">+IF(OR($F42="",Z42=""),"",$F42*Z42)</f>
        <v/>
      </c>
      <c r="AB42" s="94"/>
      <c r="AC42" s="59" t="str">
        <f t="shared" ref="AC42:AC48" si="225">+IF(OR($F42="",AB42=""),"",$F42*AB42)</f>
        <v/>
      </c>
      <c r="AD42" s="94"/>
      <c r="AE42" s="59" t="str">
        <f t="shared" ref="AE42:AE48" si="226">+IF(OR($F42="",AD42=""),"",$F42*AD42)</f>
        <v/>
      </c>
      <c r="AF42" s="94"/>
      <c r="AG42" s="59" t="str">
        <f t="shared" ref="AG42:BC48" si="227">+IF(OR($F42="",AF42=""),"",$F42*AF42)</f>
        <v/>
      </c>
      <c r="AH42" s="94"/>
      <c r="AI42" s="59" t="str">
        <f t="shared" si="227"/>
        <v/>
      </c>
      <c r="AJ42" s="64"/>
      <c r="AK42" s="59" t="str">
        <f t="shared" si="227"/>
        <v/>
      </c>
      <c r="AL42" s="64"/>
      <c r="AM42" s="59" t="str">
        <f t="shared" si="227"/>
        <v/>
      </c>
      <c r="AN42" s="64"/>
      <c r="AO42" s="59" t="str">
        <f t="shared" si="227"/>
        <v/>
      </c>
      <c r="AP42" s="64"/>
      <c r="AQ42" s="59" t="str">
        <f t="shared" si="227"/>
        <v/>
      </c>
      <c r="AR42" s="64"/>
      <c r="AS42" s="59" t="str">
        <f t="shared" si="227"/>
        <v/>
      </c>
      <c r="AT42" s="64"/>
      <c r="AU42" s="59" t="str">
        <f t="shared" si="227"/>
        <v/>
      </c>
      <c r="AV42" s="64"/>
      <c r="AW42" s="59" t="str">
        <f t="shared" si="227"/>
        <v/>
      </c>
      <c r="AX42" s="64"/>
      <c r="AY42" s="59" t="str">
        <f t="shared" si="227"/>
        <v/>
      </c>
      <c r="AZ42" s="64"/>
      <c r="BA42" s="59" t="str">
        <f t="shared" si="227"/>
        <v/>
      </c>
      <c r="BB42" s="64"/>
      <c r="BC42" s="59" t="str">
        <f t="shared" si="227"/>
        <v/>
      </c>
      <c r="BD42" s="61">
        <f t="shared" ref="BD42:BD48" si="228">+SUM(BI42:CF42)</f>
        <v>1.7763568394002505E-15</v>
      </c>
      <c r="BE42" s="59">
        <f t="shared" ref="BE42:BE48" si="229">+IF(OR($F42="",BD42=""),"",$F42*BD42)</f>
        <v>1.3589129821411917E-14</v>
      </c>
      <c r="BF42" s="61">
        <f t="shared" ref="BF42:BF50" si="230">+D42-BD42</f>
        <v>24.25</v>
      </c>
      <c r="BG42" s="59">
        <f>+IF(OR($F42="",BF42=""),"",$F42*BF42)</f>
        <v>185.51250000000002</v>
      </c>
      <c r="BH42" s="96"/>
      <c r="BI42" s="1">
        <f t="shared" ref="BI42:BI48" si="231">+H42</f>
        <v>0</v>
      </c>
      <c r="BJ42" s="1">
        <f t="shared" ref="BJ42:BJ48" si="232">+J42</f>
        <v>0</v>
      </c>
      <c r="BK42" s="1">
        <f t="shared" ref="BK42:BK48" si="233">+L42</f>
        <v>0</v>
      </c>
      <c r="BL42" s="1">
        <f t="shared" ref="BL42:BL48" si="234">+N42</f>
        <v>0</v>
      </c>
      <c r="BM42" s="1">
        <f t="shared" ref="BM42:BM48" si="235">+P42</f>
        <v>9.7000000000000011</v>
      </c>
      <c r="BN42" s="1">
        <f t="shared" ref="BN42:BN48" si="236">+R42</f>
        <v>-3.6374999999999997</v>
      </c>
      <c r="BO42" s="1">
        <f t="shared" ref="BO42:BO48" si="237">+T42</f>
        <v>-6.0625</v>
      </c>
      <c r="BP42" s="1">
        <f t="shared" ref="BP42:BP48" si="238">+V42</f>
        <v>0</v>
      </c>
      <c r="BQ42" s="1">
        <f t="shared" ref="BQ42:BQ48" si="239">+X42</f>
        <v>0</v>
      </c>
      <c r="BR42" s="1">
        <f t="shared" ref="BR42:BR48" si="240">+Z42</f>
        <v>0</v>
      </c>
      <c r="BS42" s="1">
        <f t="shared" ref="BS42:BS48" si="241">+AB42</f>
        <v>0</v>
      </c>
      <c r="BT42" s="1">
        <f t="shared" ref="BT42:BT48" si="242">+AD42</f>
        <v>0</v>
      </c>
      <c r="BU42" s="1">
        <f t="shared" ref="BU42:BU48" si="243">+AF42</f>
        <v>0</v>
      </c>
      <c r="BV42" s="1">
        <f t="shared" ref="BV42:BV48" si="244">+AH42</f>
        <v>0</v>
      </c>
      <c r="BW42" s="1">
        <f t="shared" ref="BW42:BW48" si="245">+AJ42</f>
        <v>0</v>
      </c>
      <c r="BX42" s="1">
        <f t="shared" ref="BX42:BX48" si="246">+AL42</f>
        <v>0</v>
      </c>
      <c r="BY42" s="1">
        <f t="shared" ref="BY42:BY48" si="247">+AN42</f>
        <v>0</v>
      </c>
      <c r="BZ42" s="1">
        <f t="shared" ref="BZ42:BZ48" si="248">+AP42</f>
        <v>0</v>
      </c>
      <c r="CA42" s="1">
        <f t="shared" ref="CA42:CA48" si="249">+AR42</f>
        <v>0</v>
      </c>
      <c r="CB42" s="1">
        <f t="shared" ref="CB42:CB48" si="250">+AT42</f>
        <v>0</v>
      </c>
      <c r="CC42" s="1">
        <f t="shared" ref="CC42:CC48" si="251">+AV42</f>
        <v>0</v>
      </c>
      <c r="CD42" s="1">
        <f t="shared" ref="CD42:CD48" si="252">+AX42</f>
        <v>0</v>
      </c>
      <c r="CE42" s="1">
        <f t="shared" ref="CE42:CE48" si="253">+AZ42</f>
        <v>0</v>
      </c>
      <c r="CF42" s="1">
        <f t="shared" ref="CF42:CF48" si="254">+BB42</f>
        <v>0</v>
      </c>
    </row>
    <row r="43" spans="3:84" ht="18" customHeight="1" outlineLevel="1">
      <c r="C43" s="27" t="s">
        <v>809</v>
      </c>
      <c r="D43" s="55">
        <v>212.44</v>
      </c>
      <c r="E43" s="88" t="s">
        <v>806</v>
      </c>
      <c r="F43" s="56">
        <v>7.65</v>
      </c>
      <c r="G43" s="57">
        <f t="shared" si="214"/>
        <v>1625.1660000000002</v>
      </c>
      <c r="H43" s="28"/>
      <c r="I43" s="59" t="str">
        <f t="shared" si="215"/>
        <v/>
      </c>
      <c r="J43" s="64"/>
      <c r="K43" s="59" t="str">
        <f t="shared" si="216"/>
        <v/>
      </c>
      <c r="L43" s="64"/>
      <c r="M43" s="59" t="str">
        <f t="shared" si="217"/>
        <v/>
      </c>
      <c r="N43" s="64"/>
      <c r="O43" s="59" t="str">
        <f t="shared" si="218"/>
        <v/>
      </c>
      <c r="P43" s="64">
        <f t="shared" ref="P43:P56" si="255">+D43*0.4</f>
        <v>84.975999999999999</v>
      </c>
      <c r="Q43" s="59">
        <f t="shared" si="219"/>
        <v>650.06640000000004</v>
      </c>
      <c r="R43" s="64">
        <f t="shared" ref="R43:R56" si="256">+D43*-0.15</f>
        <v>-31.866</v>
      </c>
      <c r="S43" s="59">
        <f t="shared" si="220"/>
        <v>-243.7749</v>
      </c>
      <c r="T43" s="64">
        <f t="shared" ref="T43:T56" si="257">-0.25*D43</f>
        <v>-53.11</v>
      </c>
      <c r="U43" s="59">
        <f t="shared" si="221"/>
        <v>-406.29150000000004</v>
      </c>
      <c r="V43" s="64"/>
      <c r="W43" s="59" t="str">
        <f t="shared" si="222"/>
        <v/>
      </c>
      <c r="X43" s="94"/>
      <c r="Y43" s="59" t="str">
        <f t="shared" si="223"/>
        <v/>
      </c>
      <c r="Z43" s="94"/>
      <c r="AA43" s="59" t="str">
        <f t="shared" si="224"/>
        <v/>
      </c>
      <c r="AB43" s="94"/>
      <c r="AC43" s="59" t="str">
        <f t="shared" si="225"/>
        <v/>
      </c>
      <c r="AD43" s="94"/>
      <c r="AE43" s="59" t="str">
        <f t="shared" si="226"/>
        <v/>
      </c>
      <c r="AF43" s="94"/>
      <c r="AG43" s="59" t="str">
        <f t="shared" si="227"/>
        <v/>
      </c>
      <c r="AH43" s="94"/>
      <c r="AI43" s="59" t="str">
        <f t="shared" si="227"/>
        <v/>
      </c>
      <c r="AJ43" s="64"/>
      <c r="AK43" s="59" t="str">
        <f t="shared" si="227"/>
        <v/>
      </c>
      <c r="AL43" s="64"/>
      <c r="AM43" s="59" t="str">
        <f t="shared" si="227"/>
        <v/>
      </c>
      <c r="AN43" s="64"/>
      <c r="AO43" s="59" t="str">
        <f t="shared" si="227"/>
        <v/>
      </c>
      <c r="AP43" s="64"/>
      <c r="AQ43" s="59" t="str">
        <f t="shared" si="227"/>
        <v/>
      </c>
      <c r="AR43" s="64"/>
      <c r="AS43" s="59" t="str">
        <f t="shared" si="227"/>
        <v/>
      </c>
      <c r="AT43" s="64"/>
      <c r="AU43" s="59" t="str">
        <f t="shared" si="227"/>
        <v/>
      </c>
      <c r="AV43" s="64"/>
      <c r="AW43" s="59" t="str">
        <f t="shared" si="227"/>
        <v/>
      </c>
      <c r="AX43" s="64"/>
      <c r="AY43" s="59" t="str">
        <f t="shared" si="227"/>
        <v/>
      </c>
      <c r="AZ43" s="64"/>
      <c r="BA43" s="59" t="str">
        <f t="shared" si="227"/>
        <v/>
      </c>
      <c r="BB43" s="64"/>
      <c r="BC43" s="59" t="str">
        <f t="shared" si="227"/>
        <v/>
      </c>
      <c r="BD43" s="61">
        <f t="shared" si="228"/>
        <v>0</v>
      </c>
      <c r="BE43" s="59">
        <f t="shared" si="229"/>
        <v>0</v>
      </c>
      <c r="BF43" s="61">
        <f t="shared" si="230"/>
        <v>212.44</v>
      </c>
      <c r="BG43" s="59">
        <f t="shared" ref="BG43:BG48" si="258">+IF(OR($F43="",BF43=""),"",$F43*BF43)</f>
        <v>1625.1660000000002</v>
      </c>
      <c r="BH43" s="96"/>
      <c r="BI43" s="1">
        <f t="shared" si="231"/>
        <v>0</v>
      </c>
      <c r="BJ43" s="1">
        <f t="shared" si="232"/>
        <v>0</v>
      </c>
      <c r="BK43" s="1">
        <f t="shared" si="233"/>
        <v>0</v>
      </c>
      <c r="BL43" s="1">
        <f t="shared" si="234"/>
        <v>0</v>
      </c>
      <c r="BM43" s="1">
        <f t="shared" si="235"/>
        <v>84.975999999999999</v>
      </c>
      <c r="BN43" s="1">
        <f t="shared" si="236"/>
        <v>-31.866</v>
      </c>
      <c r="BO43" s="1">
        <f t="shared" si="237"/>
        <v>-53.11</v>
      </c>
      <c r="BP43" s="1">
        <f t="shared" si="238"/>
        <v>0</v>
      </c>
      <c r="BQ43" s="1">
        <f t="shared" si="239"/>
        <v>0</v>
      </c>
      <c r="BR43" s="1">
        <f t="shared" si="240"/>
        <v>0</v>
      </c>
      <c r="BS43" s="1">
        <f t="shared" si="241"/>
        <v>0</v>
      </c>
      <c r="BT43" s="1">
        <f t="shared" si="242"/>
        <v>0</v>
      </c>
      <c r="BU43" s="1">
        <f t="shared" si="243"/>
        <v>0</v>
      </c>
      <c r="BV43" s="1">
        <f t="shared" si="244"/>
        <v>0</v>
      </c>
      <c r="BW43" s="1">
        <f t="shared" si="245"/>
        <v>0</v>
      </c>
      <c r="BX43" s="1">
        <f t="shared" si="246"/>
        <v>0</v>
      </c>
      <c r="BY43" s="1">
        <f t="shared" si="247"/>
        <v>0</v>
      </c>
      <c r="BZ43" s="1">
        <f t="shared" si="248"/>
        <v>0</v>
      </c>
      <c r="CA43" s="1">
        <f t="shared" si="249"/>
        <v>0</v>
      </c>
      <c r="CB43" s="1">
        <f t="shared" si="250"/>
        <v>0</v>
      </c>
      <c r="CC43" s="1">
        <f t="shared" si="251"/>
        <v>0</v>
      </c>
      <c r="CD43" s="1">
        <f t="shared" si="252"/>
        <v>0</v>
      </c>
      <c r="CE43" s="1">
        <f t="shared" si="253"/>
        <v>0</v>
      </c>
      <c r="CF43" s="1">
        <f t="shared" si="254"/>
        <v>0</v>
      </c>
    </row>
    <row r="44" spans="3:84" ht="18" customHeight="1" outlineLevel="1">
      <c r="C44" s="27" t="s">
        <v>810</v>
      </c>
      <c r="D44" s="55">
        <v>355.78</v>
      </c>
      <c r="E44" s="88" t="s">
        <v>806</v>
      </c>
      <c r="F44" s="56">
        <v>7.65</v>
      </c>
      <c r="G44" s="57">
        <f t="shared" si="214"/>
        <v>2721.7170000000001</v>
      </c>
      <c r="H44" s="28"/>
      <c r="I44" s="59" t="str">
        <f t="shared" si="215"/>
        <v/>
      </c>
      <c r="J44" s="64"/>
      <c r="K44" s="59" t="str">
        <f t="shared" si="216"/>
        <v/>
      </c>
      <c r="L44" s="64"/>
      <c r="M44" s="59" t="str">
        <f t="shared" si="217"/>
        <v/>
      </c>
      <c r="N44" s="64"/>
      <c r="O44" s="59" t="str">
        <f t="shared" si="218"/>
        <v/>
      </c>
      <c r="P44" s="64">
        <f t="shared" si="255"/>
        <v>142.31199999999998</v>
      </c>
      <c r="Q44" s="59">
        <f t="shared" si="219"/>
        <v>1088.6867999999999</v>
      </c>
      <c r="R44" s="64">
        <f t="shared" si="256"/>
        <v>-53.366999999999997</v>
      </c>
      <c r="S44" s="59">
        <f t="shared" si="220"/>
        <v>-408.25754999999998</v>
      </c>
      <c r="T44" s="64">
        <f t="shared" si="257"/>
        <v>-88.944999999999993</v>
      </c>
      <c r="U44" s="59">
        <f t="shared" si="221"/>
        <v>-680.42925000000002</v>
      </c>
      <c r="V44" s="64"/>
      <c r="W44" s="59" t="str">
        <f t="shared" si="222"/>
        <v/>
      </c>
      <c r="X44" s="94"/>
      <c r="Y44" s="59" t="str">
        <f t="shared" si="223"/>
        <v/>
      </c>
      <c r="Z44" s="94"/>
      <c r="AA44" s="59" t="str">
        <f t="shared" si="224"/>
        <v/>
      </c>
      <c r="AB44" s="94"/>
      <c r="AC44" s="59" t="str">
        <f t="shared" si="225"/>
        <v/>
      </c>
      <c r="AD44" s="94"/>
      <c r="AE44" s="59" t="str">
        <f t="shared" si="226"/>
        <v/>
      </c>
      <c r="AF44" s="94"/>
      <c r="AG44" s="59" t="str">
        <f t="shared" si="227"/>
        <v/>
      </c>
      <c r="AH44" s="94"/>
      <c r="AI44" s="59" t="str">
        <f t="shared" si="227"/>
        <v/>
      </c>
      <c r="AJ44" s="64"/>
      <c r="AK44" s="59" t="str">
        <f t="shared" si="227"/>
        <v/>
      </c>
      <c r="AL44" s="64"/>
      <c r="AM44" s="59" t="str">
        <f t="shared" si="227"/>
        <v/>
      </c>
      <c r="AN44" s="64"/>
      <c r="AO44" s="59" t="str">
        <f t="shared" si="227"/>
        <v/>
      </c>
      <c r="AP44" s="64"/>
      <c r="AQ44" s="59" t="str">
        <f t="shared" si="227"/>
        <v/>
      </c>
      <c r="AR44" s="64"/>
      <c r="AS44" s="59" t="str">
        <f t="shared" si="227"/>
        <v/>
      </c>
      <c r="AT44" s="64"/>
      <c r="AU44" s="59" t="str">
        <f t="shared" si="227"/>
        <v/>
      </c>
      <c r="AV44" s="64"/>
      <c r="AW44" s="59" t="str">
        <f t="shared" si="227"/>
        <v/>
      </c>
      <c r="AX44" s="64"/>
      <c r="AY44" s="59" t="str">
        <f t="shared" si="227"/>
        <v/>
      </c>
      <c r="AZ44" s="64"/>
      <c r="BA44" s="59" t="str">
        <f t="shared" si="227"/>
        <v/>
      </c>
      <c r="BB44" s="64"/>
      <c r="BC44" s="59" t="str">
        <f t="shared" si="227"/>
        <v/>
      </c>
      <c r="BD44" s="61">
        <f t="shared" si="228"/>
        <v>0</v>
      </c>
      <c r="BE44" s="59">
        <f t="shared" si="229"/>
        <v>0</v>
      </c>
      <c r="BF44" s="61">
        <f t="shared" si="230"/>
        <v>355.78</v>
      </c>
      <c r="BG44" s="59">
        <f t="shared" si="258"/>
        <v>2721.7170000000001</v>
      </c>
      <c r="BH44" s="96"/>
      <c r="BI44" s="1">
        <f t="shared" si="231"/>
        <v>0</v>
      </c>
      <c r="BJ44" s="1">
        <f t="shared" si="232"/>
        <v>0</v>
      </c>
      <c r="BK44" s="1">
        <f t="shared" si="233"/>
        <v>0</v>
      </c>
      <c r="BL44" s="1">
        <f t="shared" si="234"/>
        <v>0</v>
      </c>
      <c r="BM44" s="1">
        <f t="shared" si="235"/>
        <v>142.31199999999998</v>
      </c>
      <c r="BN44" s="1">
        <f t="shared" si="236"/>
        <v>-53.366999999999997</v>
      </c>
      <c r="BO44" s="1">
        <f t="shared" si="237"/>
        <v>-88.944999999999993</v>
      </c>
      <c r="BP44" s="1">
        <f t="shared" si="238"/>
        <v>0</v>
      </c>
      <c r="BQ44" s="1">
        <f t="shared" si="239"/>
        <v>0</v>
      </c>
      <c r="BR44" s="1">
        <f t="shared" si="240"/>
        <v>0</v>
      </c>
      <c r="BS44" s="1">
        <f t="shared" si="241"/>
        <v>0</v>
      </c>
      <c r="BT44" s="1">
        <f t="shared" si="242"/>
        <v>0</v>
      </c>
      <c r="BU44" s="1">
        <f t="shared" si="243"/>
        <v>0</v>
      </c>
      <c r="BV44" s="1">
        <f t="shared" si="244"/>
        <v>0</v>
      </c>
      <c r="BW44" s="1">
        <f t="shared" si="245"/>
        <v>0</v>
      </c>
      <c r="BX44" s="1">
        <f t="shared" si="246"/>
        <v>0</v>
      </c>
      <c r="BY44" s="1">
        <f t="shared" si="247"/>
        <v>0</v>
      </c>
      <c r="BZ44" s="1">
        <f t="shared" si="248"/>
        <v>0</v>
      </c>
      <c r="CA44" s="1">
        <f t="shared" si="249"/>
        <v>0</v>
      </c>
      <c r="CB44" s="1">
        <f t="shared" si="250"/>
        <v>0</v>
      </c>
      <c r="CC44" s="1">
        <f t="shared" si="251"/>
        <v>0</v>
      </c>
      <c r="CD44" s="1">
        <f t="shared" si="252"/>
        <v>0</v>
      </c>
      <c r="CE44" s="1">
        <f t="shared" si="253"/>
        <v>0</v>
      </c>
      <c r="CF44" s="1">
        <f t="shared" si="254"/>
        <v>0</v>
      </c>
    </row>
    <row r="45" spans="3:84" ht="18" customHeight="1" outlineLevel="1">
      <c r="C45" s="27" t="s">
        <v>811</v>
      </c>
      <c r="D45" s="55">
        <v>480</v>
      </c>
      <c r="E45" s="88" t="s">
        <v>806</v>
      </c>
      <c r="F45" s="56">
        <v>7.65</v>
      </c>
      <c r="G45" s="57">
        <f t="shared" si="214"/>
        <v>3672</v>
      </c>
      <c r="H45" s="28"/>
      <c r="I45" s="59" t="str">
        <f t="shared" si="215"/>
        <v/>
      </c>
      <c r="J45" s="64"/>
      <c r="K45" s="59" t="str">
        <f t="shared" si="216"/>
        <v/>
      </c>
      <c r="L45" s="64"/>
      <c r="M45" s="59" t="str">
        <f t="shared" si="217"/>
        <v/>
      </c>
      <c r="N45" s="64"/>
      <c r="O45" s="59" t="str">
        <f t="shared" si="218"/>
        <v/>
      </c>
      <c r="P45" s="64">
        <f t="shared" si="255"/>
        <v>192</v>
      </c>
      <c r="Q45" s="59">
        <f t="shared" si="219"/>
        <v>1468.8000000000002</v>
      </c>
      <c r="R45" s="64">
        <f t="shared" si="256"/>
        <v>-72</v>
      </c>
      <c r="S45" s="59">
        <f t="shared" si="220"/>
        <v>-550.80000000000007</v>
      </c>
      <c r="T45" s="64">
        <f t="shared" si="257"/>
        <v>-120</v>
      </c>
      <c r="U45" s="59">
        <f t="shared" si="221"/>
        <v>-918</v>
      </c>
      <c r="V45" s="64"/>
      <c r="W45" s="59" t="str">
        <f t="shared" si="222"/>
        <v/>
      </c>
      <c r="X45" s="94"/>
      <c r="Y45" s="59" t="str">
        <f t="shared" si="223"/>
        <v/>
      </c>
      <c r="Z45" s="94"/>
      <c r="AA45" s="59" t="str">
        <f t="shared" si="224"/>
        <v/>
      </c>
      <c r="AB45" s="94"/>
      <c r="AC45" s="59" t="str">
        <f t="shared" si="225"/>
        <v/>
      </c>
      <c r="AD45" s="94"/>
      <c r="AE45" s="59" t="str">
        <f t="shared" si="226"/>
        <v/>
      </c>
      <c r="AF45" s="94"/>
      <c r="AG45" s="59" t="str">
        <f t="shared" si="227"/>
        <v/>
      </c>
      <c r="AH45" s="94"/>
      <c r="AI45" s="59" t="str">
        <f t="shared" si="227"/>
        <v/>
      </c>
      <c r="AJ45" s="64"/>
      <c r="AK45" s="59" t="str">
        <f t="shared" si="227"/>
        <v/>
      </c>
      <c r="AL45" s="64"/>
      <c r="AM45" s="59" t="str">
        <f t="shared" si="227"/>
        <v/>
      </c>
      <c r="AN45" s="64"/>
      <c r="AO45" s="59" t="str">
        <f t="shared" si="227"/>
        <v/>
      </c>
      <c r="AP45" s="64"/>
      <c r="AQ45" s="59" t="str">
        <f t="shared" si="227"/>
        <v/>
      </c>
      <c r="AR45" s="64"/>
      <c r="AS45" s="59" t="str">
        <f t="shared" si="227"/>
        <v/>
      </c>
      <c r="AT45" s="64"/>
      <c r="AU45" s="59" t="str">
        <f t="shared" si="227"/>
        <v/>
      </c>
      <c r="AV45" s="64"/>
      <c r="AW45" s="59" t="str">
        <f t="shared" si="227"/>
        <v/>
      </c>
      <c r="AX45" s="64"/>
      <c r="AY45" s="59" t="str">
        <f t="shared" si="227"/>
        <v/>
      </c>
      <c r="AZ45" s="64"/>
      <c r="BA45" s="59" t="str">
        <f t="shared" si="227"/>
        <v/>
      </c>
      <c r="BB45" s="64"/>
      <c r="BC45" s="59" t="str">
        <f t="shared" si="227"/>
        <v/>
      </c>
      <c r="BD45" s="61">
        <f t="shared" si="228"/>
        <v>0</v>
      </c>
      <c r="BE45" s="59">
        <f t="shared" si="229"/>
        <v>0</v>
      </c>
      <c r="BF45" s="61">
        <f t="shared" si="230"/>
        <v>480</v>
      </c>
      <c r="BG45" s="59">
        <f t="shared" si="258"/>
        <v>3672</v>
      </c>
      <c r="BH45" s="96"/>
      <c r="BI45" s="1">
        <f t="shared" si="231"/>
        <v>0</v>
      </c>
      <c r="BJ45" s="1">
        <f t="shared" si="232"/>
        <v>0</v>
      </c>
      <c r="BK45" s="1">
        <f t="shared" si="233"/>
        <v>0</v>
      </c>
      <c r="BL45" s="1">
        <f t="shared" si="234"/>
        <v>0</v>
      </c>
      <c r="BM45" s="1">
        <f t="shared" si="235"/>
        <v>192</v>
      </c>
      <c r="BN45" s="1">
        <f t="shared" si="236"/>
        <v>-72</v>
      </c>
      <c r="BO45" s="1">
        <f t="shared" si="237"/>
        <v>-120</v>
      </c>
      <c r="BP45" s="1">
        <f t="shared" si="238"/>
        <v>0</v>
      </c>
      <c r="BQ45" s="1">
        <f t="shared" si="239"/>
        <v>0</v>
      </c>
      <c r="BR45" s="1">
        <f t="shared" si="240"/>
        <v>0</v>
      </c>
      <c r="BS45" s="1">
        <f t="shared" si="241"/>
        <v>0</v>
      </c>
      <c r="BT45" s="1">
        <f t="shared" si="242"/>
        <v>0</v>
      </c>
      <c r="BU45" s="1">
        <f t="shared" si="243"/>
        <v>0</v>
      </c>
      <c r="BV45" s="1">
        <f t="shared" si="244"/>
        <v>0</v>
      </c>
      <c r="BW45" s="1">
        <f t="shared" si="245"/>
        <v>0</v>
      </c>
      <c r="BX45" s="1">
        <f t="shared" si="246"/>
        <v>0</v>
      </c>
      <c r="BY45" s="1">
        <f t="shared" si="247"/>
        <v>0</v>
      </c>
      <c r="BZ45" s="1">
        <f t="shared" si="248"/>
        <v>0</v>
      </c>
      <c r="CA45" s="1">
        <f t="shared" si="249"/>
        <v>0</v>
      </c>
      <c r="CB45" s="1">
        <f t="shared" si="250"/>
        <v>0</v>
      </c>
      <c r="CC45" s="1">
        <f t="shared" si="251"/>
        <v>0</v>
      </c>
      <c r="CD45" s="1">
        <f t="shared" si="252"/>
        <v>0</v>
      </c>
      <c r="CE45" s="1">
        <f t="shared" si="253"/>
        <v>0</v>
      </c>
      <c r="CF45" s="1">
        <f t="shared" si="254"/>
        <v>0</v>
      </c>
    </row>
    <row r="46" spans="3:84" ht="18" customHeight="1" outlineLevel="1">
      <c r="C46" s="27" t="s">
        <v>812</v>
      </c>
      <c r="D46" s="55">
        <v>783.29</v>
      </c>
      <c r="E46" s="88" t="s">
        <v>806</v>
      </c>
      <c r="F46" s="56">
        <v>7.65</v>
      </c>
      <c r="G46" s="57">
        <f t="shared" si="214"/>
        <v>5992.1684999999998</v>
      </c>
      <c r="H46" s="28"/>
      <c r="I46" s="59" t="str">
        <f t="shared" si="215"/>
        <v/>
      </c>
      <c r="J46" s="64"/>
      <c r="K46" s="59" t="str">
        <f t="shared" si="216"/>
        <v/>
      </c>
      <c r="L46" s="64"/>
      <c r="M46" s="59" t="str">
        <f t="shared" si="217"/>
        <v/>
      </c>
      <c r="N46" s="64"/>
      <c r="O46" s="59" t="str">
        <f t="shared" si="218"/>
        <v/>
      </c>
      <c r="P46" s="64">
        <f t="shared" si="255"/>
        <v>313.31600000000003</v>
      </c>
      <c r="Q46" s="59">
        <f t="shared" si="219"/>
        <v>2396.8674000000005</v>
      </c>
      <c r="R46" s="64">
        <f t="shared" si="256"/>
        <v>-117.49349999999998</v>
      </c>
      <c r="S46" s="59">
        <f t="shared" si="220"/>
        <v>-898.82527499999992</v>
      </c>
      <c r="T46" s="64">
        <f t="shared" si="257"/>
        <v>-195.82249999999999</v>
      </c>
      <c r="U46" s="59">
        <f t="shared" si="221"/>
        <v>-1498.0421249999999</v>
      </c>
      <c r="V46" s="64"/>
      <c r="W46" s="59" t="str">
        <f t="shared" si="222"/>
        <v/>
      </c>
      <c r="X46" s="94"/>
      <c r="Y46" s="59" t="str">
        <f t="shared" si="223"/>
        <v/>
      </c>
      <c r="Z46" s="94"/>
      <c r="AA46" s="59" t="str">
        <f t="shared" si="224"/>
        <v/>
      </c>
      <c r="AB46" s="94"/>
      <c r="AC46" s="59" t="str">
        <f t="shared" si="225"/>
        <v/>
      </c>
      <c r="AD46" s="94"/>
      <c r="AE46" s="59" t="str">
        <f t="shared" si="226"/>
        <v/>
      </c>
      <c r="AF46" s="94"/>
      <c r="AG46" s="59" t="str">
        <f t="shared" si="227"/>
        <v/>
      </c>
      <c r="AH46" s="94"/>
      <c r="AI46" s="59" t="str">
        <f t="shared" si="227"/>
        <v/>
      </c>
      <c r="AJ46" s="64"/>
      <c r="AK46" s="59" t="str">
        <f t="shared" si="227"/>
        <v/>
      </c>
      <c r="AL46" s="64"/>
      <c r="AM46" s="59" t="str">
        <f t="shared" si="227"/>
        <v/>
      </c>
      <c r="AN46" s="64"/>
      <c r="AO46" s="59" t="str">
        <f t="shared" si="227"/>
        <v/>
      </c>
      <c r="AP46" s="64"/>
      <c r="AQ46" s="59" t="str">
        <f t="shared" si="227"/>
        <v/>
      </c>
      <c r="AR46" s="64"/>
      <c r="AS46" s="59" t="str">
        <f t="shared" si="227"/>
        <v/>
      </c>
      <c r="AT46" s="64"/>
      <c r="AU46" s="59" t="str">
        <f t="shared" si="227"/>
        <v/>
      </c>
      <c r="AV46" s="64"/>
      <c r="AW46" s="59" t="str">
        <f t="shared" si="227"/>
        <v/>
      </c>
      <c r="AX46" s="64"/>
      <c r="AY46" s="59" t="str">
        <f t="shared" si="227"/>
        <v/>
      </c>
      <c r="AZ46" s="64"/>
      <c r="BA46" s="59" t="str">
        <f t="shared" si="227"/>
        <v/>
      </c>
      <c r="BB46" s="64"/>
      <c r="BC46" s="59" t="str">
        <f t="shared" si="227"/>
        <v/>
      </c>
      <c r="BD46" s="61">
        <f t="shared" si="228"/>
        <v>5.6843418860808015E-14</v>
      </c>
      <c r="BE46" s="59">
        <f t="shared" si="229"/>
        <v>4.3485215428518133E-13</v>
      </c>
      <c r="BF46" s="61">
        <f t="shared" si="230"/>
        <v>783.29</v>
      </c>
      <c r="BG46" s="59">
        <f t="shared" si="258"/>
        <v>5992.1684999999998</v>
      </c>
      <c r="BH46" s="96"/>
      <c r="BI46" s="1">
        <f t="shared" si="231"/>
        <v>0</v>
      </c>
      <c r="BJ46" s="1">
        <f t="shared" si="232"/>
        <v>0</v>
      </c>
      <c r="BK46" s="1">
        <f t="shared" si="233"/>
        <v>0</v>
      </c>
      <c r="BL46" s="1">
        <f t="shared" si="234"/>
        <v>0</v>
      </c>
      <c r="BM46" s="1">
        <f t="shared" si="235"/>
        <v>313.31600000000003</v>
      </c>
      <c r="BN46" s="1">
        <f t="shared" si="236"/>
        <v>-117.49349999999998</v>
      </c>
      <c r="BO46" s="1">
        <f t="shared" si="237"/>
        <v>-195.82249999999999</v>
      </c>
      <c r="BP46" s="1">
        <f t="shared" si="238"/>
        <v>0</v>
      </c>
      <c r="BQ46" s="1">
        <f t="shared" si="239"/>
        <v>0</v>
      </c>
      <c r="BR46" s="1">
        <f t="shared" si="240"/>
        <v>0</v>
      </c>
      <c r="BS46" s="1">
        <f t="shared" si="241"/>
        <v>0</v>
      </c>
      <c r="BT46" s="1">
        <f t="shared" si="242"/>
        <v>0</v>
      </c>
      <c r="BU46" s="1">
        <f t="shared" si="243"/>
        <v>0</v>
      </c>
      <c r="BV46" s="1">
        <f t="shared" si="244"/>
        <v>0</v>
      </c>
      <c r="BW46" s="1">
        <f t="shared" si="245"/>
        <v>0</v>
      </c>
      <c r="BX46" s="1">
        <f t="shared" si="246"/>
        <v>0</v>
      </c>
      <c r="BY46" s="1">
        <f t="shared" si="247"/>
        <v>0</v>
      </c>
      <c r="BZ46" s="1">
        <f t="shared" si="248"/>
        <v>0</v>
      </c>
      <c r="CA46" s="1">
        <f t="shared" si="249"/>
        <v>0</v>
      </c>
      <c r="CB46" s="1">
        <f t="shared" si="250"/>
        <v>0</v>
      </c>
      <c r="CC46" s="1">
        <f t="shared" si="251"/>
        <v>0</v>
      </c>
      <c r="CD46" s="1">
        <f t="shared" si="252"/>
        <v>0</v>
      </c>
      <c r="CE46" s="1">
        <f t="shared" si="253"/>
        <v>0</v>
      </c>
      <c r="CF46" s="1">
        <f t="shared" si="254"/>
        <v>0</v>
      </c>
    </row>
    <row r="47" spans="3:84" ht="18" customHeight="1" outlineLevel="1">
      <c r="C47" s="27" t="s">
        <v>813</v>
      </c>
      <c r="D47" s="55">
        <v>33.090000000000003</v>
      </c>
      <c r="E47" s="88" t="s">
        <v>806</v>
      </c>
      <c r="F47" s="56">
        <v>7.65</v>
      </c>
      <c r="G47" s="57">
        <f t="shared" si="214"/>
        <v>253.13850000000005</v>
      </c>
      <c r="H47" s="28"/>
      <c r="I47" s="59" t="str">
        <f t="shared" si="215"/>
        <v/>
      </c>
      <c r="J47" s="64"/>
      <c r="K47" s="59" t="str">
        <f t="shared" si="216"/>
        <v/>
      </c>
      <c r="L47" s="64"/>
      <c r="M47" s="59" t="str">
        <f t="shared" si="217"/>
        <v/>
      </c>
      <c r="N47" s="64"/>
      <c r="O47" s="59" t="str">
        <f t="shared" si="218"/>
        <v/>
      </c>
      <c r="P47" s="64">
        <f t="shared" si="255"/>
        <v>13.236000000000002</v>
      </c>
      <c r="Q47" s="59">
        <f t="shared" si="219"/>
        <v>101.25540000000002</v>
      </c>
      <c r="R47" s="64">
        <f t="shared" si="256"/>
        <v>-4.9635000000000007</v>
      </c>
      <c r="S47" s="59">
        <f t="shared" si="220"/>
        <v>-37.97077500000001</v>
      </c>
      <c r="T47" s="64">
        <f t="shared" si="257"/>
        <v>-8.2725000000000009</v>
      </c>
      <c r="U47" s="59">
        <f t="shared" si="221"/>
        <v>-63.284625000000013</v>
      </c>
      <c r="V47" s="64"/>
      <c r="W47" s="59" t="str">
        <f t="shared" si="222"/>
        <v/>
      </c>
      <c r="X47" s="94"/>
      <c r="Y47" s="59" t="str">
        <f t="shared" si="223"/>
        <v/>
      </c>
      <c r="Z47" s="94"/>
      <c r="AA47" s="59" t="str">
        <f t="shared" si="224"/>
        <v/>
      </c>
      <c r="AB47" s="94"/>
      <c r="AC47" s="59" t="str">
        <f t="shared" si="225"/>
        <v/>
      </c>
      <c r="AD47" s="94"/>
      <c r="AE47" s="59" t="str">
        <f t="shared" si="226"/>
        <v/>
      </c>
      <c r="AF47" s="94"/>
      <c r="AG47" s="59" t="str">
        <f t="shared" si="227"/>
        <v/>
      </c>
      <c r="AH47" s="94"/>
      <c r="AI47" s="59" t="str">
        <f t="shared" si="227"/>
        <v/>
      </c>
      <c r="AJ47" s="64"/>
      <c r="AK47" s="59" t="str">
        <f t="shared" si="227"/>
        <v/>
      </c>
      <c r="AL47" s="64"/>
      <c r="AM47" s="59" t="str">
        <f t="shared" si="227"/>
        <v/>
      </c>
      <c r="AN47" s="64"/>
      <c r="AO47" s="59" t="str">
        <f t="shared" si="227"/>
        <v/>
      </c>
      <c r="AP47" s="64"/>
      <c r="AQ47" s="59" t="str">
        <f t="shared" si="227"/>
        <v/>
      </c>
      <c r="AR47" s="64"/>
      <c r="AS47" s="59" t="str">
        <f t="shared" si="227"/>
        <v/>
      </c>
      <c r="AT47" s="64"/>
      <c r="AU47" s="59" t="str">
        <f t="shared" si="227"/>
        <v/>
      </c>
      <c r="AV47" s="64"/>
      <c r="AW47" s="59" t="str">
        <f t="shared" si="227"/>
        <v/>
      </c>
      <c r="AX47" s="64"/>
      <c r="AY47" s="59" t="str">
        <f t="shared" si="227"/>
        <v/>
      </c>
      <c r="AZ47" s="64"/>
      <c r="BA47" s="59" t="str">
        <f t="shared" si="227"/>
        <v/>
      </c>
      <c r="BB47" s="64"/>
      <c r="BC47" s="59" t="str">
        <f t="shared" si="227"/>
        <v/>
      </c>
      <c r="BD47" s="61">
        <f t="shared" si="228"/>
        <v>0</v>
      </c>
      <c r="BE47" s="59">
        <f t="shared" si="229"/>
        <v>0</v>
      </c>
      <c r="BF47" s="61">
        <f t="shared" si="230"/>
        <v>33.090000000000003</v>
      </c>
      <c r="BG47" s="59">
        <f t="shared" si="258"/>
        <v>253.13850000000005</v>
      </c>
      <c r="BH47" s="96"/>
      <c r="BI47" s="1">
        <f t="shared" si="231"/>
        <v>0</v>
      </c>
      <c r="BJ47" s="1">
        <f t="shared" si="232"/>
        <v>0</v>
      </c>
      <c r="BK47" s="1">
        <f t="shared" si="233"/>
        <v>0</v>
      </c>
      <c r="BL47" s="1">
        <f t="shared" si="234"/>
        <v>0</v>
      </c>
      <c r="BM47" s="1">
        <f t="shared" si="235"/>
        <v>13.236000000000002</v>
      </c>
      <c r="BN47" s="1">
        <f t="shared" si="236"/>
        <v>-4.9635000000000007</v>
      </c>
      <c r="BO47" s="1">
        <f t="shared" si="237"/>
        <v>-8.2725000000000009</v>
      </c>
      <c r="BP47" s="1">
        <f t="shared" si="238"/>
        <v>0</v>
      </c>
      <c r="BQ47" s="1">
        <f t="shared" si="239"/>
        <v>0</v>
      </c>
      <c r="BR47" s="1">
        <f t="shared" si="240"/>
        <v>0</v>
      </c>
      <c r="BS47" s="1">
        <f t="shared" si="241"/>
        <v>0</v>
      </c>
      <c r="BT47" s="1">
        <f t="shared" si="242"/>
        <v>0</v>
      </c>
      <c r="BU47" s="1">
        <f t="shared" si="243"/>
        <v>0</v>
      </c>
      <c r="BV47" s="1">
        <f t="shared" si="244"/>
        <v>0</v>
      </c>
      <c r="BW47" s="1">
        <f t="shared" si="245"/>
        <v>0</v>
      </c>
      <c r="BX47" s="1">
        <f t="shared" si="246"/>
        <v>0</v>
      </c>
      <c r="BY47" s="1">
        <f t="shared" si="247"/>
        <v>0</v>
      </c>
      <c r="BZ47" s="1">
        <f t="shared" si="248"/>
        <v>0</v>
      </c>
      <c r="CA47" s="1">
        <f t="shared" si="249"/>
        <v>0</v>
      </c>
      <c r="CB47" s="1">
        <f t="shared" si="250"/>
        <v>0</v>
      </c>
      <c r="CC47" s="1">
        <f t="shared" si="251"/>
        <v>0</v>
      </c>
      <c r="CD47" s="1">
        <f t="shared" si="252"/>
        <v>0</v>
      </c>
      <c r="CE47" s="1">
        <f t="shared" si="253"/>
        <v>0</v>
      </c>
      <c r="CF47" s="1">
        <f t="shared" si="254"/>
        <v>0</v>
      </c>
    </row>
    <row r="48" spans="3:84" ht="18" customHeight="1" outlineLevel="1">
      <c r="C48" s="27" t="s">
        <v>814</v>
      </c>
      <c r="D48" s="55">
        <v>17.55</v>
      </c>
      <c r="E48" s="88" t="s">
        <v>806</v>
      </c>
      <c r="F48" s="56">
        <v>7.65</v>
      </c>
      <c r="G48" s="57">
        <f t="shared" si="214"/>
        <v>134.25750000000002</v>
      </c>
      <c r="H48" s="28"/>
      <c r="I48" s="59" t="str">
        <f t="shared" si="215"/>
        <v/>
      </c>
      <c r="J48" s="64"/>
      <c r="K48" s="59" t="str">
        <f t="shared" si="216"/>
        <v/>
      </c>
      <c r="L48" s="64"/>
      <c r="M48" s="59" t="str">
        <f t="shared" si="217"/>
        <v/>
      </c>
      <c r="N48" s="64"/>
      <c r="O48" s="59" t="str">
        <f t="shared" si="218"/>
        <v/>
      </c>
      <c r="P48" s="64">
        <f t="shared" si="255"/>
        <v>7.0200000000000005</v>
      </c>
      <c r="Q48" s="59">
        <f t="shared" si="219"/>
        <v>53.703000000000003</v>
      </c>
      <c r="R48" s="64">
        <f t="shared" si="256"/>
        <v>-2.6324999999999998</v>
      </c>
      <c r="S48" s="59">
        <f t="shared" si="220"/>
        <v>-20.138625000000001</v>
      </c>
      <c r="T48" s="64">
        <f t="shared" si="257"/>
        <v>-4.3875000000000002</v>
      </c>
      <c r="U48" s="59">
        <f t="shared" si="221"/>
        <v>-33.564375000000005</v>
      </c>
      <c r="V48" s="64"/>
      <c r="W48" s="59" t="str">
        <f t="shared" si="222"/>
        <v/>
      </c>
      <c r="X48" s="94"/>
      <c r="Y48" s="59" t="str">
        <f t="shared" si="223"/>
        <v/>
      </c>
      <c r="Z48" s="94"/>
      <c r="AA48" s="59" t="str">
        <f t="shared" si="224"/>
        <v/>
      </c>
      <c r="AB48" s="94"/>
      <c r="AC48" s="59" t="str">
        <f t="shared" si="225"/>
        <v/>
      </c>
      <c r="AD48" s="94"/>
      <c r="AE48" s="59" t="str">
        <f t="shared" si="226"/>
        <v/>
      </c>
      <c r="AF48" s="94"/>
      <c r="AG48" s="59" t="str">
        <f t="shared" si="227"/>
        <v/>
      </c>
      <c r="AH48" s="94"/>
      <c r="AI48" s="59" t="str">
        <f t="shared" si="227"/>
        <v/>
      </c>
      <c r="AJ48" s="64"/>
      <c r="AK48" s="59" t="str">
        <f t="shared" si="227"/>
        <v/>
      </c>
      <c r="AL48" s="64"/>
      <c r="AM48" s="59" t="str">
        <f t="shared" si="227"/>
        <v/>
      </c>
      <c r="AN48" s="64"/>
      <c r="AO48" s="59" t="str">
        <f t="shared" si="227"/>
        <v/>
      </c>
      <c r="AP48" s="64"/>
      <c r="AQ48" s="59" t="str">
        <f t="shared" si="227"/>
        <v/>
      </c>
      <c r="AR48" s="64"/>
      <c r="AS48" s="59" t="str">
        <f t="shared" si="227"/>
        <v/>
      </c>
      <c r="AT48" s="64"/>
      <c r="AU48" s="59" t="str">
        <f t="shared" si="227"/>
        <v/>
      </c>
      <c r="AV48" s="64"/>
      <c r="AW48" s="59" t="str">
        <f t="shared" si="227"/>
        <v/>
      </c>
      <c r="AX48" s="64"/>
      <c r="AY48" s="59" t="str">
        <f t="shared" si="227"/>
        <v/>
      </c>
      <c r="AZ48" s="64"/>
      <c r="BA48" s="59" t="str">
        <f t="shared" si="227"/>
        <v/>
      </c>
      <c r="BB48" s="64"/>
      <c r="BC48" s="59" t="str">
        <f t="shared" si="227"/>
        <v/>
      </c>
      <c r="BD48" s="61">
        <f t="shared" si="228"/>
        <v>8.8817841970012523E-16</v>
      </c>
      <c r="BE48" s="59">
        <f t="shared" si="229"/>
        <v>6.7945649107059583E-15</v>
      </c>
      <c r="BF48" s="61">
        <f t="shared" si="230"/>
        <v>17.55</v>
      </c>
      <c r="BG48" s="59">
        <f t="shared" si="258"/>
        <v>134.25750000000002</v>
      </c>
      <c r="BH48" s="96"/>
      <c r="BI48" s="1">
        <f t="shared" si="231"/>
        <v>0</v>
      </c>
      <c r="BJ48" s="1">
        <f t="shared" si="232"/>
        <v>0</v>
      </c>
      <c r="BK48" s="1">
        <f t="shared" si="233"/>
        <v>0</v>
      </c>
      <c r="BL48" s="1">
        <f t="shared" si="234"/>
        <v>0</v>
      </c>
      <c r="BM48" s="1">
        <f t="shared" si="235"/>
        <v>7.0200000000000005</v>
      </c>
      <c r="BN48" s="1">
        <f t="shared" si="236"/>
        <v>-2.6324999999999998</v>
      </c>
      <c r="BO48" s="1">
        <f t="shared" si="237"/>
        <v>-4.3875000000000002</v>
      </c>
      <c r="BP48" s="1">
        <f t="shared" si="238"/>
        <v>0</v>
      </c>
      <c r="BQ48" s="1">
        <f t="shared" si="239"/>
        <v>0</v>
      </c>
      <c r="BR48" s="1">
        <f t="shared" si="240"/>
        <v>0</v>
      </c>
      <c r="BS48" s="1">
        <f t="shared" si="241"/>
        <v>0</v>
      </c>
      <c r="BT48" s="1">
        <f t="shared" si="242"/>
        <v>0</v>
      </c>
      <c r="BU48" s="1">
        <f t="shared" si="243"/>
        <v>0</v>
      </c>
      <c r="BV48" s="1">
        <f t="shared" si="244"/>
        <v>0</v>
      </c>
      <c r="BW48" s="1">
        <f t="shared" si="245"/>
        <v>0</v>
      </c>
      <c r="BX48" s="1">
        <f t="shared" si="246"/>
        <v>0</v>
      </c>
      <c r="BY48" s="1">
        <f t="shared" si="247"/>
        <v>0</v>
      </c>
      <c r="BZ48" s="1">
        <f t="shared" si="248"/>
        <v>0</v>
      </c>
      <c r="CA48" s="1">
        <f t="shared" si="249"/>
        <v>0</v>
      </c>
      <c r="CB48" s="1">
        <f t="shared" si="250"/>
        <v>0</v>
      </c>
      <c r="CC48" s="1">
        <f t="shared" si="251"/>
        <v>0</v>
      </c>
      <c r="CD48" s="1">
        <f t="shared" si="252"/>
        <v>0</v>
      </c>
      <c r="CE48" s="1">
        <f t="shared" si="253"/>
        <v>0</v>
      </c>
      <c r="CF48" s="1">
        <f t="shared" si="254"/>
        <v>0</v>
      </c>
    </row>
    <row r="49" spans="2:84" ht="18" customHeight="1" outlineLevel="1">
      <c r="C49" s="27" t="s">
        <v>815</v>
      </c>
      <c r="D49" s="55">
        <v>192.81</v>
      </c>
      <c r="E49" s="88" t="s">
        <v>806</v>
      </c>
      <c r="F49" s="56">
        <v>7.65</v>
      </c>
      <c r="G49" s="57">
        <f t="shared" si="214"/>
        <v>1474.9965000000002</v>
      </c>
      <c r="H49" s="28"/>
      <c r="I49" s="59" t="str">
        <f t="shared" ref="I49:I56" si="259">+IF(OR($F49="",H49=""),"",$F49*H49)</f>
        <v/>
      </c>
      <c r="J49" s="64"/>
      <c r="K49" s="59" t="str">
        <f t="shared" ref="K49:K56" si="260">+IF(OR($F49="",J49=""),"",$F49*J49)</f>
        <v/>
      </c>
      <c r="L49" s="64"/>
      <c r="M49" s="59" t="str">
        <f t="shared" ref="M49:M56" si="261">+IF(OR($F49="",L49=""),"",$F49*L49)</f>
        <v/>
      </c>
      <c r="N49" s="64"/>
      <c r="O49" s="59" t="str">
        <f t="shared" ref="O49:O56" si="262">+IF(OR($F49="",N49=""),"",$F49*N49)</f>
        <v/>
      </c>
      <c r="P49" s="64">
        <f t="shared" si="255"/>
        <v>77.124000000000009</v>
      </c>
      <c r="Q49" s="59">
        <f t="shared" ref="Q49:Q56" si="263">+IF(OR($F49="",P49=""),"",$F49*P49)</f>
        <v>589.99860000000012</v>
      </c>
      <c r="R49" s="64">
        <f t="shared" si="256"/>
        <v>-28.921499999999998</v>
      </c>
      <c r="S49" s="59">
        <f t="shared" ref="S49:S56" si="264">+IF(OR($F49="",R49=""),"",$F49*R49)</f>
        <v>-221.24947499999999</v>
      </c>
      <c r="T49" s="64">
        <f t="shared" si="257"/>
        <v>-48.202500000000001</v>
      </c>
      <c r="U49" s="59">
        <f t="shared" ref="U49:U56" si="265">+IF(OR($F49="",T49=""),"",$F49*T49)</f>
        <v>-368.74912500000005</v>
      </c>
      <c r="V49" s="64"/>
      <c r="W49" s="59" t="str">
        <f t="shared" ref="W49:W56" si="266">+IF(OR($F49="",V49=""),"",$F49*V49)</f>
        <v/>
      </c>
      <c r="X49" s="94"/>
      <c r="Y49" s="59" t="str">
        <f t="shared" ref="Y49:Y56" si="267">+IF(OR($F49="",X49=""),"",$F49*X49)</f>
        <v/>
      </c>
      <c r="Z49" s="94"/>
      <c r="AA49" s="59" t="str">
        <f t="shared" ref="AA49:AA56" si="268">+IF(OR($F49="",Z49=""),"",$F49*Z49)</f>
        <v/>
      </c>
      <c r="AB49" s="94"/>
      <c r="AC49" s="59" t="str">
        <f t="shared" ref="AC49:AC56" si="269">+IF(OR($F49="",AB49=""),"",$F49*AB49)</f>
        <v/>
      </c>
      <c r="AD49" s="94"/>
      <c r="AE49" s="59" t="str">
        <f t="shared" ref="AE49:AE56" si="270">+IF(OR($F49="",AD49=""),"",$F49*AD49)</f>
        <v/>
      </c>
      <c r="AF49" s="94"/>
      <c r="AG49" s="59" t="str">
        <f t="shared" ref="AG49:BC56" si="271">+IF(OR($F49="",AF49=""),"",$F49*AF49)</f>
        <v/>
      </c>
      <c r="AH49" s="94"/>
      <c r="AI49" s="59" t="str">
        <f t="shared" si="271"/>
        <v/>
      </c>
      <c r="AJ49" s="64"/>
      <c r="AK49" s="59" t="str">
        <f t="shared" si="271"/>
        <v/>
      </c>
      <c r="AL49" s="64"/>
      <c r="AM49" s="59" t="str">
        <f t="shared" si="271"/>
        <v/>
      </c>
      <c r="AN49" s="64"/>
      <c r="AO49" s="59" t="str">
        <f t="shared" si="271"/>
        <v/>
      </c>
      <c r="AP49" s="64"/>
      <c r="AQ49" s="59" t="str">
        <f t="shared" si="271"/>
        <v/>
      </c>
      <c r="AR49" s="64"/>
      <c r="AS49" s="59" t="str">
        <f t="shared" si="271"/>
        <v/>
      </c>
      <c r="AT49" s="64"/>
      <c r="AU49" s="59" t="str">
        <f t="shared" si="271"/>
        <v/>
      </c>
      <c r="AV49" s="64"/>
      <c r="AW49" s="59" t="str">
        <f t="shared" si="271"/>
        <v/>
      </c>
      <c r="AX49" s="64"/>
      <c r="AY49" s="59" t="str">
        <f t="shared" si="271"/>
        <v/>
      </c>
      <c r="AZ49" s="64"/>
      <c r="BA49" s="59" t="str">
        <f t="shared" si="271"/>
        <v/>
      </c>
      <c r="BB49" s="64"/>
      <c r="BC49" s="59" t="str">
        <f t="shared" si="271"/>
        <v/>
      </c>
      <c r="BD49" s="61">
        <f t="shared" ref="BD49:BD56" si="272">+SUM(BI49:CF49)</f>
        <v>1.4210854715202004E-14</v>
      </c>
      <c r="BE49" s="59">
        <f t="shared" ref="BE49:BE56" si="273">+IF(OR($F49="",BD49=""),"",$F49*BD49)</f>
        <v>1.0871303857129533E-13</v>
      </c>
      <c r="BF49" s="61">
        <f t="shared" si="230"/>
        <v>192.81</v>
      </c>
      <c r="BG49" s="59">
        <f t="shared" ref="BG49:BG56" si="274">+IF(OR($F49="",BF49=""),"",$F49*BF49)</f>
        <v>1474.9965000000002</v>
      </c>
      <c r="BH49" s="96"/>
      <c r="BI49" s="1">
        <f t="shared" ref="BI49:BI56" si="275">+H49</f>
        <v>0</v>
      </c>
      <c r="BJ49" s="1">
        <f t="shared" ref="BJ49:BJ56" si="276">+J49</f>
        <v>0</v>
      </c>
      <c r="BK49" s="1">
        <f t="shared" ref="BK49:BK56" si="277">+L49</f>
        <v>0</v>
      </c>
      <c r="BL49" s="1">
        <f t="shared" ref="BL49:BL56" si="278">+N49</f>
        <v>0</v>
      </c>
      <c r="BM49" s="1">
        <f t="shared" ref="BM49:BM56" si="279">+P49</f>
        <v>77.124000000000009</v>
      </c>
      <c r="BN49" s="1">
        <f t="shared" ref="BN49:BN56" si="280">+R49</f>
        <v>-28.921499999999998</v>
      </c>
      <c r="BO49" s="1">
        <f t="shared" ref="BO49:BO56" si="281">+T49</f>
        <v>-48.202500000000001</v>
      </c>
      <c r="BP49" s="1">
        <f t="shared" ref="BP49:BP56" si="282">+V49</f>
        <v>0</v>
      </c>
      <c r="BQ49" s="1">
        <f t="shared" ref="BQ49:BQ56" si="283">+X49</f>
        <v>0</v>
      </c>
      <c r="BR49" s="1">
        <f t="shared" ref="BR49:BR56" si="284">+Z49</f>
        <v>0</v>
      </c>
      <c r="BS49" s="1">
        <f t="shared" ref="BS49:BS56" si="285">+AB49</f>
        <v>0</v>
      </c>
      <c r="BT49" s="1">
        <f t="shared" ref="BT49:BT56" si="286">+AD49</f>
        <v>0</v>
      </c>
      <c r="BU49" s="1">
        <f t="shared" ref="BU49:BU56" si="287">+AF49</f>
        <v>0</v>
      </c>
      <c r="BV49" s="1">
        <f t="shared" ref="BV49:BV56" si="288">+AH49</f>
        <v>0</v>
      </c>
      <c r="BW49" s="1">
        <f t="shared" ref="BW49:BW56" si="289">+AJ49</f>
        <v>0</v>
      </c>
      <c r="BX49" s="1">
        <f t="shared" ref="BX49:BX56" si="290">+AL49</f>
        <v>0</v>
      </c>
      <c r="BY49" s="1">
        <f t="shared" ref="BY49:BY56" si="291">+AN49</f>
        <v>0</v>
      </c>
      <c r="BZ49" s="1">
        <f t="shared" ref="BZ49:BZ56" si="292">+AP49</f>
        <v>0</v>
      </c>
      <c r="CA49" s="1">
        <f t="shared" ref="CA49:CA56" si="293">+AR49</f>
        <v>0</v>
      </c>
      <c r="CB49" s="1">
        <f t="shared" ref="CB49:CB56" si="294">+AT49</f>
        <v>0</v>
      </c>
      <c r="CC49" s="1">
        <f t="shared" ref="CC49:CC56" si="295">+AV49</f>
        <v>0</v>
      </c>
      <c r="CD49" s="1">
        <f t="shared" ref="CD49:CD56" si="296">+AX49</f>
        <v>0</v>
      </c>
      <c r="CE49" s="1">
        <f t="shared" ref="CE49:CE56" si="297">+AZ49</f>
        <v>0</v>
      </c>
      <c r="CF49" s="1">
        <f t="shared" ref="CF49:CF56" si="298">+BB49</f>
        <v>0</v>
      </c>
    </row>
    <row r="50" spans="2:84" ht="22.5" outlineLevel="1">
      <c r="C50" s="27" t="s">
        <v>820</v>
      </c>
      <c r="D50" s="55">
        <v>118.59</v>
      </c>
      <c r="E50" s="88" t="s">
        <v>806</v>
      </c>
      <c r="F50" s="56">
        <v>7.65</v>
      </c>
      <c r="G50" s="57">
        <f t="shared" si="214"/>
        <v>907.21350000000007</v>
      </c>
      <c r="H50" s="28"/>
      <c r="I50" s="59" t="str">
        <f t="shared" si="259"/>
        <v/>
      </c>
      <c r="J50" s="64"/>
      <c r="K50" s="59" t="str">
        <f t="shared" si="260"/>
        <v/>
      </c>
      <c r="L50" s="64"/>
      <c r="M50" s="59" t="str">
        <f t="shared" si="261"/>
        <v/>
      </c>
      <c r="N50" s="64"/>
      <c r="O50" s="59" t="str">
        <f t="shared" si="262"/>
        <v/>
      </c>
      <c r="P50" s="64">
        <f t="shared" si="255"/>
        <v>47.436000000000007</v>
      </c>
      <c r="Q50" s="59">
        <f t="shared" si="263"/>
        <v>362.88540000000006</v>
      </c>
      <c r="R50" s="64">
        <f t="shared" si="256"/>
        <v>-17.788499999999999</v>
      </c>
      <c r="S50" s="59">
        <f t="shared" si="264"/>
        <v>-136.08202499999999</v>
      </c>
      <c r="T50" s="64">
        <f t="shared" si="257"/>
        <v>-29.647500000000001</v>
      </c>
      <c r="U50" s="59">
        <f t="shared" si="265"/>
        <v>-226.80337500000002</v>
      </c>
      <c r="V50" s="64"/>
      <c r="W50" s="59" t="str">
        <f t="shared" si="266"/>
        <v/>
      </c>
      <c r="X50" s="94"/>
      <c r="Y50" s="59" t="str">
        <f t="shared" si="267"/>
        <v/>
      </c>
      <c r="Z50" s="94"/>
      <c r="AA50" s="59" t="str">
        <f t="shared" si="268"/>
        <v/>
      </c>
      <c r="AB50" s="94"/>
      <c r="AC50" s="59" t="str">
        <f t="shared" si="269"/>
        <v/>
      </c>
      <c r="AD50" s="94"/>
      <c r="AE50" s="59" t="str">
        <f t="shared" si="270"/>
        <v/>
      </c>
      <c r="AF50" s="94"/>
      <c r="AG50" s="59" t="str">
        <f t="shared" si="271"/>
        <v/>
      </c>
      <c r="AH50" s="94"/>
      <c r="AI50" s="59" t="str">
        <f t="shared" si="271"/>
        <v/>
      </c>
      <c r="AJ50" s="64"/>
      <c r="AK50" s="59" t="str">
        <f t="shared" si="271"/>
        <v/>
      </c>
      <c r="AL50" s="64"/>
      <c r="AM50" s="59" t="str">
        <f t="shared" si="271"/>
        <v/>
      </c>
      <c r="AN50" s="64"/>
      <c r="AO50" s="59" t="str">
        <f t="shared" si="271"/>
        <v/>
      </c>
      <c r="AP50" s="64"/>
      <c r="AQ50" s="59" t="str">
        <f t="shared" si="271"/>
        <v/>
      </c>
      <c r="AR50" s="64"/>
      <c r="AS50" s="59" t="str">
        <f t="shared" si="271"/>
        <v/>
      </c>
      <c r="AT50" s="64"/>
      <c r="AU50" s="59" t="str">
        <f t="shared" si="271"/>
        <v/>
      </c>
      <c r="AV50" s="64"/>
      <c r="AW50" s="59" t="str">
        <f t="shared" si="271"/>
        <v/>
      </c>
      <c r="AX50" s="64"/>
      <c r="AY50" s="59" t="str">
        <f t="shared" si="271"/>
        <v/>
      </c>
      <c r="AZ50" s="64"/>
      <c r="BA50" s="59" t="str">
        <f t="shared" si="271"/>
        <v/>
      </c>
      <c r="BB50" s="64"/>
      <c r="BC50" s="59" t="str">
        <f t="shared" si="271"/>
        <v/>
      </c>
      <c r="BD50" s="61">
        <f t="shared" si="272"/>
        <v>7.1054273576010019E-15</v>
      </c>
      <c r="BE50" s="59">
        <f t="shared" si="273"/>
        <v>5.4356519285647667E-14</v>
      </c>
      <c r="BF50" s="61">
        <f t="shared" si="230"/>
        <v>118.59</v>
      </c>
      <c r="BG50" s="59">
        <f t="shared" si="274"/>
        <v>907.21350000000007</v>
      </c>
      <c r="BH50" s="96"/>
      <c r="BI50" s="1">
        <f t="shared" si="275"/>
        <v>0</v>
      </c>
      <c r="BJ50" s="1">
        <f t="shared" si="276"/>
        <v>0</v>
      </c>
      <c r="BK50" s="1">
        <f t="shared" si="277"/>
        <v>0</v>
      </c>
      <c r="BL50" s="1">
        <f t="shared" si="278"/>
        <v>0</v>
      </c>
      <c r="BM50" s="1">
        <f t="shared" si="279"/>
        <v>47.436000000000007</v>
      </c>
      <c r="BN50" s="1">
        <f t="shared" si="280"/>
        <v>-17.788499999999999</v>
      </c>
      <c r="BO50" s="1">
        <f t="shared" si="281"/>
        <v>-29.647500000000001</v>
      </c>
      <c r="BP50" s="1">
        <f t="shared" si="282"/>
        <v>0</v>
      </c>
      <c r="BQ50" s="1">
        <f t="shared" si="283"/>
        <v>0</v>
      </c>
      <c r="BR50" s="1">
        <f t="shared" si="284"/>
        <v>0</v>
      </c>
      <c r="BS50" s="1">
        <f t="shared" si="285"/>
        <v>0</v>
      </c>
      <c r="BT50" s="1">
        <f t="shared" si="286"/>
        <v>0</v>
      </c>
      <c r="BU50" s="1">
        <f t="shared" si="287"/>
        <v>0</v>
      </c>
      <c r="BV50" s="1">
        <f t="shared" si="288"/>
        <v>0</v>
      </c>
      <c r="BW50" s="1">
        <f t="shared" si="289"/>
        <v>0</v>
      </c>
      <c r="BX50" s="1">
        <f t="shared" si="290"/>
        <v>0</v>
      </c>
      <c r="BY50" s="1">
        <f t="shared" si="291"/>
        <v>0</v>
      </c>
      <c r="BZ50" s="1">
        <f t="shared" si="292"/>
        <v>0</v>
      </c>
      <c r="CA50" s="1">
        <f t="shared" si="293"/>
        <v>0</v>
      </c>
      <c r="CB50" s="1">
        <f t="shared" si="294"/>
        <v>0</v>
      </c>
      <c r="CC50" s="1">
        <f t="shared" si="295"/>
        <v>0</v>
      </c>
      <c r="CD50" s="1">
        <f t="shared" si="296"/>
        <v>0</v>
      </c>
      <c r="CE50" s="1">
        <f t="shared" si="297"/>
        <v>0</v>
      </c>
      <c r="CF50" s="1">
        <f t="shared" si="298"/>
        <v>0</v>
      </c>
    </row>
    <row r="51" spans="2:84" ht="146.25" outlineLevel="1">
      <c r="C51" s="27" t="s">
        <v>824</v>
      </c>
      <c r="G51" s="57"/>
      <c r="H51" s="28"/>
      <c r="J51" s="64"/>
      <c r="L51" s="64"/>
      <c r="N51" s="64"/>
      <c r="P51" s="64"/>
      <c r="R51" s="64"/>
      <c r="T51" s="64"/>
      <c r="V51" s="64"/>
      <c r="X51" s="94"/>
      <c r="Z51" s="94"/>
      <c r="AB51" s="94"/>
      <c r="AD51" s="94"/>
      <c r="AF51" s="94"/>
      <c r="AH51" s="94"/>
      <c r="AJ51" s="64"/>
      <c r="AL51" s="64"/>
      <c r="AN51" s="64"/>
      <c r="AP51" s="64"/>
      <c r="AR51" s="64"/>
      <c r="AT51" s="64"/>
      <c r="AV51" s="64"/>
      <c r="AX51" s="64"/>
      <c r="AZ51" s="64"/>
      <c r="BB51" s="64"/>
      <c r="BD51" s="61"/>
      <c r="BF51" s="61"/>
      <c r="BH51" s="96"/>
    </row>
    <row r="52" spans="2:84" ht="18" customHeight="1" outlineLevel="1">
      <c r="C52" s="27" t="s">
        <v>816</v>
      </c>
      <c r="D52" s="55">
        <v>118.59</v>
      </c>
      <c r="E52" s="88" t="s">
        <v>806</v>
      </c>
      <c r="F52" s="56">
        <v>7.65</v>
      </c>
      <c r="G52" s="57">
        <f>+D52*F52</f>
        <v>907.21350000000007</v>
      </c>
      <c r="H52" s="28"/>
      <c r="I52" s="59" t="str">
        <f t="shared" si="259"/>
        <v/>
      </c>
      <c r="J52" s="64"/>
      <c r="K52" s="59" t="str">
        <f t="shared" si="260"/>
        <v/>
      </c>
      <c r="L52" s="64"/>
      <c r="M52" s="59" t="str">
        <f t="shared" si="261"/>
        <v/>
      </c>
      <c r="N52" s="64"/>
      <c r="O52" s="59" t="str">
        <f t="shared" si="262"/>
        <v/>
      </c>
      <c r="P52" s="64">
        <f t="shared" si="255"/>
        <v>47.436000000000007</v>
      </c>
      <c r="Q52" s="59">
        <f t="shared" si="263"/>
        <v>362.88540000000006</v>
      </c>
      <c r="R52" s="64">
        <f t="shared" si="256"/>
        <v>-17.788499999999999</v>
      </c>
      <c r="S52" s="59">
        <f t="shared" si="264"/>
        <v>-136.08202499999999</v>
      </c>
      <c r="T52" s="64">
        <f t="shared" si="257"/>
        <v>-29.647500000000001</v>
      </c>
      <c r="U52" s="59">
        <f t="shared" si="265"/>
        <v>-226.80337500000002</v>
      </c>
      <c r="V52" s="64"/>
      <c r="W52" s="59" t="str">
        <f t="shared" si="266"/>
        <v/>
      </c>
      <c r="X52" s="94"/>
      <c r="Y52" s="59" t="str">
        <f t="shared" si="267"/>
        <v/>
      </c>
      <c r="Z52" s="94"/>
      <c r="AA52" s="59" t="str">
        <f t="shared" si="268"/>
        <v/>
      </c>
      <c r="AB52" s="94"/>
      <c r="AC52" s="59" t="str">
        <f t="shared" si="269"/>
        <v/>
      </c>
      <c r="AD52" s="94"/>
      <c r="AE52" s="59" t="str">
        <f t="shared" si="270"/>
        <v/>
      </c>
      <c r="AF52" s="94"/>
      <c r="AG52" s="59" t="str">
        <f t="shared" si="271"/>
        <v/>
      </c>
      <c r="AH52" s="94"/>
      <c r="AI52" s="59" t="str">
        <f t="shared" si="271"/>
        <v/>
      </c>
      <c r="AJ52" s="64"/>
      <c r="AK52" s="59" t="str">
        <f t="shared" si="271"/>
        <v/>
      </c>
      <c r="AL52" s="64"/>
      <c r="AM52" s="59" t="str">
        <f t="shared" si="271"/>
        <v/>
      </c>
      <c r="AN52" s="64"/>
      <c r="AO52" s="59" t="str">
        <f t="shared" si="271"/>
        <v/>
      </c>
      <c r="AP52" s="64"/>
      <c r="AQ52" s="59" t="str">
        <f t="shared" si="271"/>
        <v/>
      </c>
      <c r="AR52" s="64"/>
      <c r="AS52" s="59" t="str">
        <f t="shared" si="271"/>
        <v/>
      </c>
      <c r="AT52" s="64"/>
      <c r="AU52" s="59" t="str">
        <f t="shared" si="271"/>
        <v/>
      </c>
      <c r="AV52" s="64"/>
      <c r="AW52" s="59" t="str">
        <f t="shared" si="271"/>
        <v/>
      </c>
      <c r="AX52" s="64"/>
      <c r="AY52" s="59" t="str">
        <f t="shared" si="271"/>
        <v/>
      </c>
      <c r="AZ52" s="64"/>
      <c r="BA52" s="59" t="str">
        <f t="shared" si="271"/>
        <v/>
      </c>
      <c r="BB52" s="64"/>
      <c r="BC52" s="59" t="str">
        <f t="shared" si="271"/>
        <v/>
      </c>
      <c r="BD52" s="61">
        <f t="shared" si="272"/>
        <v>7.1054273576010019E-15</v>
      </c>
      <c r="BE52" s="59">
        <f t="shared" si="273"/>
        <v>5.4356519285647667E-14</v>
      </c>
      <c r="BF52" s="61">
        <f>+D52-BD52</f>
        <v>118.59</v>
      </c>
      <c r="BG52" s="59">
        <f t="shared" si="274"/>
        <v>907.21350000000007</v>
      </c>
      <c r="BH52" s="96"/>
      <c r="BI52" s="1">
        <f t="shared" si="275"/>
        <v>0</v>
      </c>
      <c r="BJ52" s="1">
        <f t="shared" si="276"/>
        <v>0</v>
      </c>
      <c r="BK52" s="1">
        <f t="shared" si="277"/>
        <v>0</v>
      </c>
      <c r="BL52" s="1">
        <f t="shared" si="278"/>
        <v>0</v>
      </c>
      <c r="BM52" s="1">
        <f t="shared" si="279"/>
        <v>47.436000000000007</v>
      </c>
      <c r="BN52" s="1">
        <f t="shared" si="280"/>
        <v>-17.788499999999999</v>
      </c>
      <c r="BO52" s="1">
        <f t="shared" si="281"/>
        <v>-29.647500000000001</v>
      </c>
      <c r="BP52" s="1">
        <f t="shared" si="282"/>
        <v>0</v>
      </c>
      <c r="BQ52" s="1">
        <f t="shared" si="283"/>
        <v>0</v>
      </c>
      <c r="BR52" s="1">
        <f t="shared" si="284"/>
        <v>0</v>
      </c>
      <c r="BS52" s="1">
        <f t="shared" si="285"/>
        <v>0</v>
      </c>
      <c r="BT52" s="1">
        <f t="shared" si="286"/>
        <v>0</v>
      </c>
      <c r="BU52" s="1">
        <f t="shared" si="287"/>
        <v>0</v>
      </c>
      <c r="BV52" s="1">
        <f t="shared" si="288"/>
        <v>0</v>
      </c>
      <c r="BW52" s="1">
        <f t="shared" si="289"/>
        <v>0</v>
      </c>
      <c r="BX52" s="1">
        <f t="shared" si="290"/>
        <v>0</v>
      </c>
      <c r="BY52" s="1">
        <f t="shared" si="291"/>
        <v>0</v>
      </c>
      <c r="BZ52" s="1">
        <f t="shared" si="292"/>
        <v>0</v>
      </c>
      <c r="CA52" s="1">
        <f t="shared" si="293"/>
        <v>0</v>
      </c>
      <c r="CB52" s="1">
        <f t="shared" si="294"/>
        <v>0</v>
      </c>
      <c r="CC52" s="1">
        <f t="shared" si="295"/>
        <v>0</v>
      </c>
      <c r="CD52" s="1">
        <f t="shared" si="296"/>
        <v>0</v>
      </c>
      <c r="CE52" s="1">
        <f t="shared" si="297"/>
        <v>0</v>
      </c>
      <c r="CF52" s="1">
        <f t="shared" si="298"/>
        <v>0</v>
      </c>
    </row>
    <row r="53" spans="2:84" ht="18" customHeight="1" outlineLevel="1">
      <c r="C53" s="27" t="s">
        <v>811</v>
      </c>
      <c r="D53" s="55">
        <v>253.62</v>
      </c>
      <c r="E53" s="88" t="s">
        <v>806</v>
      </c>
      <c r="F53" s="56">
        <v>7.65</v>
      </c>
      <c r="G53" s="57">
        <f>+D53*F53</f>
        <v>1940.1930000000002</v>
      </c>
      <c r="H53" s="28"/>
      <c r="I53" s="59" t="str">
        <f t="shared" si="259"/>
        <v/>
      </c>
      <c r="J53" s="64"/>
      <c r="K53" s="59" t="str">
        <f t="shared" si="260"/>
        <v/>
      </c>
      <c r="L53" s="64"/>
      <c r="M53" s="59" t="str">
        <f t="shared" si="261"/>
        <v/>
      </c>
      <c r="N53" s="64"/>
      <c r="O53" s="59" t="str">
        <f t="shared" si="262"/>
        <v/>
      </c>
      <c r="P53" s="64">
        <f t="shared" si="255"/>
        <v>101.44800000000001</v>
      </c>
      <c r="Q53" s="59">
        <f t="shared" si="263"/>
        <v>776.07720000000006</v>
      </c>
      <c r="R53" s="64">
        <f t="shared" si="256"/>
        <v>-38.042999999999999</v>
      </c>
      <c r="S53" s="59">
        <f t="shared" si="264"/>
        <v>-291.02895000000001</v>
      </c>
      <c r="T53" s="64">
        <f t="shared" si="257"/>
        <v>-63.405000000000001</v>
      </c>
      <c r="U53" s="59">
        <f t="shared" si="265"/>
        <v>-485.04825000000005</v>
      </c>
      <c r="V53" s="64"/>
      <c r="W53" s="59" t="str">
        <f t="shared" si="266"/>
        <v/>
      </c>
      <c r="X53" s="94"/>
      <c r="Y53" s="59" t="str">
        <f t="shared" si="267"/>
        <v/>
      </c>
      <c r="Z53" s="94"/>
      <c r="AA53" s="59" t="str">
        <f t="shared" si="268"/>
        <v/>
      </c>
      <c r="AB53" s="94"/>
      <c r="AC53" s="59" t="str">
        <f t="shared" si="269"/>
        <v/>
      </c>
      <c r="AD53" s="94"/>
      <c r="AE53" s="59" t="str">
        <f t="shared" si="270"/>
        <v/>
      </c>
      <c r="AF53" s="94"/>
      <c r="AG53" s="59" t="str">
        <f t="shared" si="271"/>
        <v/>
      </c>
      <c r="AH53" s="94"/>
      <c r="AI53" s="59" t="str">
        <f t="shared" si="271"/>
        <v/>
      </c>
      <c r="AJ53" s="64"/>
      <c r="AK53" s="59" t="str">
        <f t="shared" si="271"/>
        <v/>
      </c>
      <c r="AL53" s="64"/>
      <c r="AM53" s="59" t="str">
        <f t="shared" si="271"/>
        <v/>
      </c>
      <c r="AN53" s="64"/>
      <c r="AO53" s="59" t="str">
        <f t="shared" si="271"/>
        <v/>
      </c>
      <c r="AP53" s="64"/>
      <c r="AQ53" s="59" t="str">
        <f t="shared" si="271"/>
        <v/>
      </c>
      <c r="AR53" s="64"/>
      <c r="AS53" s="59" t="str">
        <f t="shared" si="271"/>
        <v/>
      </c>
      <c r="AT53" s="64"/>
      <c r="AU53" s="59" t="str">
        <f t="shared" si="271"/>
        <v/>
      </c>
      <c r="AV53" s="64"/>
      <c r="AW53" s="59" t="str">
        <f t="shared" si="271"/>
        <v/>
      </c>
      <c r="AX53" s="64"/>
      <c r="AY53" s="59" t="str">
        <f t="shared" si="271"/>
        <v/>
      </c>
      <c r="AZ53" s="64"/>
      <c r="BA53" s="59" t="str">
        <f t="shared" si="271"/>
        <v/>
      </c>
      <c r="BB53" s="64"/>
      <c r="BC53" s="59" t="str">
        <f t="shared" si="271"/>
        <v/>
      </c>
      <c r="BD53" s="61">
        <f t="shared" si="272"/>
        <v>7.1054273576010019E-15</v>
      </c>
      <c r="BE53" s="59">
        <f t="shared" si="273"/>
        <v>5.4356519285647667E-14</v>
      </c>
      <c r="BF53" s="61">
        <f>+D53-BD53</f>
        <v>253.62</v>
      </c>
      <c r="BG53" s="59">
        <f t="shared" si="274"/>
        <v>1940.1930000000002</v>
      </c>
      <c r="BH53" s="96"/>
      <c r="BI53" s="1">
        <f t="shared" si="275"/>
        <v>0</v>
      </c>
      <c r="BJ53" s="1">
        <f t="shared" si="276"/>
        <v>0</v>
      </c>
      <c r="BK53" s="1">
        <f t="shared" si="277"/>
        <v>0</v>
      </c>
      <c r="BL53" s="1">
        <f t="shared" si="278"/>
        <v>0</v>
      </c>
      <c r="BM53" s="1">
        <f t="shared" si="279"/>
        <v>101.44800000000001</v>
      </c>
      <c r="BN53" s="1">
        <f t="shared" si="280"/>
        <v>-38.042999999999999</v>
      </c>
      <c r="BO53" s="1">
        <f t="shared" si="281"/>
        <v>-63.405000000000001</v>
      </c>
      <c r="BP53" s="1">
        <f t="shared" si="282"/>
        <v>0</v>
      </c>
      <c r="BQ53" s="1">
        <f t="shared" si="283"/>
        <v>0</v>
      </c>
      <c r="BR53" s="1">
        <f t="shared" si="284"/>
        <v>0</v>
      </c>
      <c r="BS53" s="1">
        <f t="shared" si="285"/>
        <v>0</v>
      </c>
      <c r="BT53" s="1">
        <f t="shared" si="286"/>
        <v>0</v>
      </c>
      <c r="BU53" s="1">
        <f t="shared" si="287"/>
        <v>0</v>
      </c>
      <c r="BV53" s="1">
        <f t="shared" si="288"/>
        <v>0</v>
      </c>
      <c r="BW53" s="1">
        <f t="shared" si="289"/>
        <v>0</v>
      </c>
      <c r="BX53" s="1">
        <f t="shared" si="290"/>
        <v>0</v>
      </c>
      <c r="BY53" s="1">
        <f t="shared" si="291"/>
        <v>0</v>
      </c>
      <c r="BZ53" s="1">
        <f t="shared" si="292"/>
        <v>0</v>
      </c>
      <c r="CA53" s="1">
        <f t="shared" si="293"/>
        <v>0</v>
      </c>
      <c r="CB53" s="1">
        <f t="shared" si="294"/>
        <v>0</v>
      </c>
      <c r="CC53" s="1">
        <f t="shared" si="295"/>
        <v>0</v>
      </c>
      <c r="CD53" s="1">
        <f t="shared" si="296"/>
        <v>0</v>
      </c>
      <c r="CE53" s="1">
        <f t="shared" si="297"/>
        <v>0</v>
      </c>
      <c r="CF53" s="1">
        <f t="shared" si="298"/>
        <v>0</v>
      </c>
    </row>
    <row r="54" spans="2:84" ht="112.5" outlineLevel="1">
      <c r="C54" s="27" t="s">
        <v>823</v>
      </c>
      <c r="G54" s="57"/>
      <c r="H54" s="28"/>
      <c r="J54" s="64"/>
      <c r="L54" s="64"/>
      <c r="N54" s="64"/>
      <c r="P54" s="64"/>
      <c r="R54" s="64"/>
      <c r="T54" s="64"/>
      <c r="V54" s="64"/>
      <c r="X54" s="94"/>
      <c r="Z54" s="94"/>
      <c r="AB54" s="94"/>
      <c r="AD54" s="94"/>
      <c r="AF54" s="94"/>
      <c r="AH54" s="94"/>
      <c r="AJ54" s="64"/>
      <c r="AL54" s="64"/>
      <c r="AN54" s="64"/>
      <c r="AP54" s="64"/>
      <c r="AR54" s="64"/>
      <c r="AT54" s="64"/>
      <c r="AV54" s="64"/>
      <c r="AX54" s="64"/>
      <c r="AZ54" s="64"/>
      <c r="BB54" s="64"/>
      <c r="BD54" s="61"/>
      <c r="BF54" s="61"/>
      <c r="BH54" s="96"/>
    </row>
    <row r="55" spans="2:84" ht="18" customHeight="1" outlineLevel="1">
      <c r="C55" s="27" t="s">
        <v>817</v>
      </c>
      <c r="D55" s="55">
        <v>6.42</v>
      </c>
      <c r="E55" s="88" t="s">
        <v>807</v>
      </c>
      <c r="F55" s="56">
        <v>305.8</v>
      </c>
      <c r="G55" s="57">
        <f>+D55*F55</f>
        <v>1963.2360000000001</v>
      </c>
      <c r="H55" s="28"/>
      <c r="I55" s="59" t="str">
        <f t="shared" si="259"/>
        <v/>
      </c>
      <c r="J55" s="64"/>
      <c r="K55" s="59" t="str">
        <f t="shared" si="260"/>
        <v/>
      </c>
      <c r="L55" s="64"/>
      <c r="M55" s="59" t="str">
        <f t="shared" si="261"/>
        <v/>
      </c>
      <c r="N55" s="64"/>
      <c r="O55" s="59" t="str">
        <f t="shared" si="262"/>
        <v/>
      </c>
      <c r="P55" s="64">
        <f t="shared" si="255"/>
        <v>2.5680000000000001</v>
      </c>
      <c r="Q55" s="59">
        <f t="shared" si="263"/>
        <v>785.2944</v>
      </c>
      <c r="R55" s="64">
        <f t="shared" si="256"/>
        <v>-0.96299999999999997</v>
      </c>
      <c r="S55" s="59">
        <f t="shared" si="264"/>
        <v>-294.48540000000003</v>
      </c>
      <c r="T55" s="64">
        <f t="shared" si="257"/>
        <v>-1.605</v>
      </c>
      <c r="U55" s="59">
        <f t="shared" si="265"/>
        <v>-490.80900000000003</v>
      </c>
      <c r="V55" s="64"/>
      <c r="W55" s="59" t="str">
        <f t="shared" si="266"/>
        <v/>
      </c>
      <c r="X55" s="94"/>
      <c r="Y55" s="59" t="str">
        <f t="shared" si="267"/>
        <v/>
      </c>
      <c r="Z55" s="94"/>
      <c r="AA55" s="59" t="str">
        <f t="shared" si="268"/>
        <v/>
      </c>
      <c r="AB55" s="94"/>
      <c r="AC55" s="59" t="str">
        <f t="shared" si="269"/>
        <v/>
      </c>
      <c r="AD55" s="94"/>
      <c r="AE55" s="59" t="str">
        <f t="shared" si="270"/>
        <v/>
      </c>
      <c r="AF55" s="94"/>
      <c r="AG55" s="59" t="str">
        <f t="shared" si="271"/>
        <v/>
      </c>
      <c r="AH55" s="94"/>
      <c r="AI55" s="59" t="str">
        <f t="shared" si="271"/>
        <v/>
      </c>
      <c r="AJ55" s="64"/>
      <c r="AK55" s="59" t="str">
        <f t="shared" si="271"/>
        <v/>
      </c>
      <c r="AL55" s="64"/>
      <c r="AM55" s="59" t="str">
        <f t="shared" si="271"/>
        <v/>
      </c>
      <c r="AN55" s="64"/>
      <c r="AO55" s="59" t="str">
        <f t="shared" si="271"/>
        <v/>
      </c>
      <c r="AP55" s="64"/>
      <c r="AQ55" s="59" t="str">
        <f t="shared" si="271"/>
        <v/>
      </c>
      <c r="AR55" s="64"/>
      <c r="AS55" s="59" t="str">
        <f t="shared" si="271"/>
        <v/>
      </c>
      <c r="AT55" s="64"/>
      <c r="AU55" s="59" t="str">
        <f t="shared" si="271"/>
        <v/>
      </c>
      <c r="AV55" s="64"/>
      <c r="AW55" s="59" t="str">
        <f t="shared" si="271"/>
        <v/>
      </c>
      <c r="AX55" s="64"/>
      <c r="AY55" s="59" t="str">
        <f t="shared" si="271"/>
        <v/>
      </c>
      <c r="AZ55" s="64"/>
      <c r="BA55" s="59" t="str">
        <f t="shared" si="271"/>
        <v/>
      </c>
      <c r="BB55" s="64"/>
      <c r="BC55" s="59" t="str">
        <f t="shared" si="271"/>
        <v/>
      </c>
      <c r="BD55" s="61">
        <f t="shared" si="272"/>
        <v>0</v>
      </c>
      <c r="BE55" s="59">
        <f t="shared" si="273"/>
        <v>0</v>
      </c>
      <c r="BF55" s="61">
        <f>+D55-BD55</f>
        <v>6.42</v>
      </c>
      <c r="BG55" s="59">
        <f t="shared" si="274"/>
        <v>1963.2360000000001</v>
      </c>
      <c r="BH55" s="96"/>
      <c r="BI55" s="1">
        <f t="shared" si="275"/>
        <v>0</v>
      </c>
      <c r="BJ55" s="1">
        <f t="shared" si="276"/>
        <v>0</v>
      </c>
      <c r="BK55" s="1">
        <f t="shared" si="277"/>
        <v>0</v>
      </c>
      <c r="BL55" s="1">
        <f t="shared" si="278"/>
        <v>0</v>
      </c>
      <c r="BM55" s="1">
        <f t="shared" si="279"/>
        <v>2.5680000000000001</v>
      </c>
      <c r="BN55" s="1">
        <f t="shared" si="280"/>
        <v>-0.96299999999999997</v>
      </c>
      <c r="BO55" s="1">
        <f t="shared" si="281"/>
        <v>-1.605</v>
      </c>
      <c r="BP55" s="1">
        <f t="shared" si="282"/>
        <v>0</v>
      </c>
      <c r="BQ55" s="1">
        <f t="shared" si="283"/>
        <v>0</v>
      </c>
      <c r="BR55" s="1">
        <f t="shared" si="284"/>
        <v>0</v>
      </c>
      <c r="BS55" s="1">
        <f t="shared" si="285"/>
        <v>0</v>
      </c>
      <c r="BT55" s="1">
        <f t="shared" si="286"/>
        <v>0</v>
      </c>
      <c r="BU55" s="1">
        <f t="shared" si="287"/>
        <v>0</v>
      </c>
      <c r="BV55" s="1">
        <f t="shared" si="288"/>
        <v>0</v>
      </c>
      <c r="BW55" s="1">
        <f t="shared" si="289"/>
        <v>0</v>
      </c>
      <c r="BX55" s="1">
        <f t="shared" si="290"/>
        <v>0</v>
      </c>
      <c r="BY55" s="1">
        <f t="shared" si="291"/>
        <v>0</v>
      </c>
      <c r="BZ55" s="1">
        <f t="shared" si="292"/>
        <v>0</v>
      </c>
      <c r="CA55" s="1">
        <f t="shared" si="293"/>
        <v>0</v>
      </c>
      <c r="CB55" s="1">
        <f t="shared" si="294"/>
        <v>0</v>
      </c>
      <c r="CC55" s="1">
        <f t="shared" si="295"/>
        <v>0</v>
      </c>
      <c r="CD55" s="1">
        <f t="shared" si="296"/>
        <v>0</v>
      </c>
      <c r="CE55" s="1">
        <f t="shared" si="297"/>
        <v>0</v>
      </c>
      <c r="CF55" s="1">
        <f t="shared" si="298"/>
        <v>0</v>
      </c>
    </row>
    <row r="56" spans="2:84" ht="18" customHeight="1" outlineLevel="1">
      <c r="C56" s="27" t="s">
        <v>818</v>
      </c>
      <c r="D56" s="55">
        <v>18.420000000000002</v>
      </c>
      <c r="E56" s="88" t="s">
        <v>807</v>
      </c>
      <c r="F56" s="56">
        <v>305.8</v>
      </c>
      <c r="G56" s="57">
        <f>+D56*F56</f>
        <v>5632.8360000000011</v>
      </c>
      <c r="H56" s="28"/>
      <c r="I56" s="59" t="str">
        <f t="shared" si="259"/>
        <v/>
      </c>
      <c r="J56" s="64"/>
      <c r="K56" s="59" t="str">
        <f t="shared" si="260"/>
        <v/>
      </c>
      <c r="L56" s="64"/>
      <c r="M56" s="59" t="str">
        <f t="shared" si="261"/>
        <v/>
      </c>
      <c r="N56" s="64"/>
      <c r="O56" s="59" t="str">
        <f t="shared" si="262"/>
        <v/>
      </c>
      <c r="P56" s="64">
        <f t="shared" si="255"/>
        <v>7.3680000000000012</v>
      </c>
      <c r="Q56" s="59">
        <f t="shared" si="263"/>
        <v>2253.1344000000004</v>
      </c>
      <c r="R56" s="64">
        <f t="shared" si="256"/>
        <v>-2.7630000000000003</v>
      </c>
      <c r="S56" s="59">
        <f t="shared" si="264"/>
        <v>-844.92540000000008</v>
      </c>
      <c r="T56" s="64">
        <f t="shared" si="257"/>
        <v>-4.6050000000000004</v>
      </c>
      <c r="U56" s="59">
        <f t="shared" si="265"/>
        <v>-1408.2090000000003</v>
      </c>
      <c r="V56" s="64"/>
      <c r="W56" s="59" t="str">
        <f t="shared" si="266"/>
        <v/>
      </c>
      <c r="X56" s="94"/>
      <c r="Y56" s="59" t="str">
        <f t="shared" si="267"/>
        <v/>
      </c>
      <c r="Z56" s="94"/>
      <c r="AA56" s="59" t="str">
        <f t="shared" si="268"/>
        <v/>
      </c>
      <c r="AB56" s="94"/>
      <c r="AC56" s="59" t="str">
        <f t="shared" si="269"/>
        <v/>
      </c>
      <c r="AD56" s="94"/>
      <c r="AE56" s="59" t="str">
        <f t="shared" si="270"/>
        <v/>
      </c>
      <c r="AF56" s="94"/>
      <c r="AG56" s="59" t="str">
        <f t="shared" si="271"/>
        <v/>
      </c>
      <c r="AH56" s="94"/>
      <c r="AI56" s="59" t="str">
        <f t="shared" si="271"/>
        <v/>
      </c>
      <c r="AJ56" s="64"/>
      <c r="AK56" s="59" t="str">
        <f t="shared" si="271"/>
        <v/>
      </c>
      <c r="AL56" s="64"/>
      <c r="AM56" s="59" t="str">
        <f t="shared" si="271"/>
        <v/>
      </c>
      <c r="AN56" s="64"/>
      <c r="AO56" s="59" t="str">
        <f t="shared" si="271"/>
        <v/>
      </c>
      <c r="AP56" s="64"/>
      <c r="AQ56" s="59" t="str">
        <f t="shared" si="271"/>
        <v/>
      </c>
      <c r="AR56" s="64"/>
      <c r="AS56" s="59" t="str">
        <f t="shared" si="271"/>
        <v/>
      </c>
      <c r="AT56" s="64"/>
      <c r="AU56" s="59" t="str">
        <f t="shared" si="271"/>
        <v/>
      </c>
      <c r="AV56" s="64"/>
      <c r="AW56" s="59" t="str">
        <f t="shared" si="271"/>
        <v/>
      </c>
      <c r="AX56" s="64"/>
      <c r="AY56" s="59" t="str">
        <f t="shared" si="271"/>
        <v/>
      </c>
      <c r="AZ56" s="64"/>
      <c r="BA56" s="59" t="str">
        <f t="shared" si="271"/>
        <v/>
      </c>
      <c r="BB56" s="64"/>
      <c r="BC56" s="59" t="str">
        <f t="shared" si="271"/>
        <v/>
      </c>
      <c r="BD56" s="61">
        <f t="shared" si="272"/>
        <v>0</v>
      </c>
      <c r="BE56" s="59">
        <f t="shared" si="273"/>
        <v>0</v>
      </c>
      <c r="BF56" s="61">
        <f>+D56-BD56</f>
        <v>18.420000000000002</v>
      </c>
      <c r="BG56" s="59">
        <f t="shared" si="274"/>
        <v>5632.8360000000011</v>
      </c>
      <c r="BH56" s="96"/>
      <c r="BI56" s="1">
        <f t="shared" si="275"/>
        <v>0</v>
      </c>
      <c r="BJ56" s="1">
        <f t="shared" si="276"/>
        <v>0</v>
      </c>
      <c r="BK56" s="1">
        <f t="shared" si="277"/>
        <v>0</v>
      </c>
      <c r="BL56" s="1">
        <f t="shared" si="278"/>
        <v>0</v>
      </c>
      <c r="BM56" s="1">
        <f t="shared" si="279"/>
        <v>7.3680000000000012</v>
      </c>
      <c r="BN56" s="1">
        <f t="shared" si="280"/>
        <v>-2.7630000000000003</v>
      </c>
      <c r="BO56" s="1">
        <f t="shared" si="281"/>
        <v>-4.6050000000000004</v>
      </c>
      <c r="BP56" s="1">
        <f t="shared" si="282"/>
        <v>0</v>
      </c>
      <c r="BQ56" s="1">
        <f t="shared" si="283"/>
        <v>0</v>
      </c>
      <c r="BR56" s="1">
        <f t="shared" si="284"/>
        <v>0</v>
      </c>
      <c r="BS56" s="1">
        <f t="shared" si="285"/>
        <v>0</v>
      </c>
      <c r="BT56" s="1">
        <f t="shared" si="286"/>
        <v>0</v>
      </c>
      <c r="BU56" s="1">
        <f t="shared" si="287"/>
        <v>0</v>
      </c>
      <c r="BV56" s="1">
        <f t="shared" si="288"/>
        <v>0</v>
      </c>
      <c r="BW56" s="1">
        <f t="shared" si="289"/>
        <v>0</v>
      </c>
      <c r="BX56" s="1">
        <f t="shared" si="290"/>
        <v>0</v>
      </c>
      <c r="BY56" s="1">
        <f t="shared" si="291"/>
        <v>0</v>
      </c>
      <c r="BZ56" s="1">
        <f t="shared" si="292"/>
        <v>0</v>
      </c>
      <c r="CA56" s="1">
        <f t="shared" si="293"/>
        <v>0</v>
      </c>
      <c r="CB56" s="1">
        <f t="shared" si="294"/>
        <v>0</v>
      </c>
      <c r="CC56" s="1">
        <f t="shared" si="295"/>
        <v>0</v>
      </c>
      <c r="CD56" s="1">
        <f t="shared" si="296"/>
        <v>0</v>
      </c>
      <c r="CE56" s="1">
        <f t="shared" si="297"/>
        <v>0</v>
      </c>
      <c r="CF56" s="1">
        <f t="shared" si="298"/>
        <v>0</v>
      </c>
    </row>
    <row r="57" spans="2:84" s="6" customFormat="1" ht="18" customHeight="1">
      <c r="B57" s="62" t="s">
        <v>764</v>
      </c>
      <c r="C57" s="25" t="s">
        <v>765</v>
      </c>
      <c r="D57" s="49"/>
      <c r="E57" s="85"/>
      <c r="F57" s="50"/>
      <c r="G57" s="63">
        <f>+SUM(G58:G58)</f>
        <v>15821.921499999999</v>
      </c>
      <c r="H57" s="51"/>
      <c r="I57" s="52" t="str">
        <f>+IF(SUM(I58:I58)=0,"",SUM(I58:I58))</f>
        <v/>
      </c>
      <c r="J57" s="53"/>
      <c r="K57" s="52" t="str">
        <f>+IF(SUM(K58:K58)=0,"",SUM(K58:K58))</f>
        <v/>
      </c>
      <c r="L57" s="53"/>
      <c r="M57" s="52" t="str">
        <f>+IF(SUM(M58:M58)=0,"",SUM(M58:M58))</f>
        <v/>
      </c>
      <c r="N57" s="53"/>
      <c r="O57" s="52" t="str">
        <f>+IF(SUM(O58:O58)=0,"",SUM(O58:O58))</f>
        <v/>
      </c>
      <c r="P57" s="53"/>
      <c r="Q57" s="52" t="str">
        <f>+IF(SUM(Q58:Q58)=0,"",SUM(Q58:Q58))</f>
        <v/>
      </c>
      <c r="R57" s="53"/>
      <c r="S57" s="52" t="str">
        <f>+IF(SUM(S58:S58)=0,"",SUM(S58:S58))</f>
        <v/>
      </c>
      <c r="T57" s="53"/>
      <c r="U57" s="52">
        <f>+IF(SUM(U58:U58)=0,"",SUM(U58:U58))</f>
        <v>15821.921499999999</v>
      </c>
      <c r="V57" s="53"/>
      <c r="W57" s="52" t="str">
        <f>+IF(SUM(W58:W58)=0,"",SUM(W58:W58))</f>
        <v/>
      </c>
      <c r="X57" s="91"/>
      <c r="Y57" s="52" t="str">
        <f>+IF(SUM(Y58:Y58)=0,"",SUM(Y58:Y58))</f>
        <v/>
      </c>
      <c r="Z57" s="91"/>
      <c r="AA57" s="52" t="str">
        <f>+IF(SUM(AA58:AA58)=0,"",SUM(AA58:AA58))</f>
        <v/>
      </c>
      <c r="AB57" s="91"/>
      <c r="AC57" s="52" t="str">
        <f>+IF(SUM(AC58:AC58)=0,"",SUM(AC58:AC58))</f>
        <v/>
      </c>
      <c r="AD57" s="91"/>
      <c r="AE57" s="52" t="str">
        <f>+IF(SUM(AE58:AE58)=0,"",SUM(AE58:AE58))</f>
        <v/>
      </c>
      <c r="AF57" s="91"/>
      <c r="AG57" s="52" t="str">
        <f>+IF(SUM(AG58:AG58)=0,"",SUM(AG58:AG58))</f>
        <v/>
      </c>
      <c r="AH57" s="91"/>
      <c r="AI57" s="52" t="str">
        <f>+IF(SUM(AI58:AI58)=0,"",SUM(AI58:AI58))</f>
        <v/>
      </c>
      <c r="AJ57" s="53"/>
      <c r="AK57" s="52" t="str">
        <f>+IF(SUM(AK58:AK58)=0,"",SUM(AK58:AK58))</f>
        <v/>
      </c>
      <c r="AL57" s="53"/>
      <c r="AM57" s="52" t="str">
        <f>+IF(SUM(AM58:AM58)=0,"",SUM(AM58:AM58))</f>
        <v/>
      </c>
      <c r="AN57" s="53"/>
      <c r="AO57" s="52" t="str">
        <f>+IF(SUM(AO58:AO58)=0,"",SUM(AO58:AO58))</f>
        <v/>
      </c>
      <c r="AP57" s="53"/>
      <c r="AQ57" s="52" t="str">
        <f>+IF(SUM(AQ58:AQ58)=0,"",SUM(AQ58:AQ58))</f>
        <v/>
      </c>
      <c r="AR57" s="53"/>
      <c r="AS57" s="52" t="str">
        <f>+IF(SUM(AS58:AS58)=0,"",SUM(AS58:AS58))</f>
        <v/>
      </c>
      <c r="AT57" s="53"/>
      <c r="AU57" s="52" t="str">
        <f>+IF(SUM(AU58:AU58)=0,"",SUM(AU58:AU58))</f>
        <v/>
      </c>
      <c r="AV57" s="53"/>
      <c r="AW57" s="52" t="str">
        <f>+IF(SUM(AW58:AW58)=0,"",SUM(AW58:AW58))</f>
        <v/>
      </c>
      <c r="AX57" s="53"/>
      <c r="AY57" s="52" t="str">
        <f>+IF(SUM(AY58:AY58)=0,"",SUM(AY58:AY58))</f>
        <v/>
      </c>
      <c r="AZ57" s="53"/>
      <c r="BA57" s="52" t="str">
        <f>+IF(SUM(BA58:BA58)=0,"",SUM(BA58:BA58))</f>
        <v/>
      </c>
      <c r="BB57" s="53"/>
      <c r="BC57" s="52" t="str">
        <f>+IF(SUM(BC58:BC58)=0,"",SUM(BC58:BC58))</f>
        <v/>
      </c>
      <c r="BD57" s="54"/>
      <c r="BE57" s="52">
        <f>+SUM(BE58:BE58)</f>
        <v>15821.921499999999</v>
      </c>
      <c r="BF57" s="54"/>
      <c r="BG57" s="52">
        <f>+SUM(BG58:BG58)</f>
        <v>0</v>
      </c>
      <c r="BH57" s="96"/>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row>
    <row r="58" spans="2:84" ht="31.5" customHeight="1" outlineLevel="1">
      <c r="B58" s="19"/>
      <c r="C58" s="26" t="s">
        <v>771</v>
      </c>
      <c r="D58" s="55">
        <v>590.15</v>
      </c>
      <c r="F58" s="56">
        <v>26.81</v>
      </c>
      <c r="G58" s="57">
        <f>+D58*F58</f>
        <v>15821.921499999999</v>
      </c>
      <c r="H58" s="28"/>
      <c r="I58" s="59" t="str">
        <f>+IF(OR($F58="",H58=""),"",$F58*H58)</f>
        <v/>
      </c>
      <c r="J58" s="60"/>
      <c r="K58" s="59" t="str">
        <f>+IF(OR($F58="",J58=""),"",$F58*J58)</f>
        <v/>
      </c>
      <c r="L58" s="60"/>
      <c r="M58" s="59" t="str">
        <f>+IF(OR($F58="",L58=""),"",$F58*L58)</f>
        <v/>
      </c>
      <c r="N58" s="60"/>
      <c r="O58" s="59" t="str">
        <f>+IF(OR($F58="",N58=""),"",$F58*N58)</f>
        <v/>
      </c>
      <c r="P58" s="60"/>
      <c r="Q58" s="59" t="str">
        <f>+IF(OR($F58="",P58=""),"",$F58*P58)</f>
        <v/>
      </c>
      <c r="R58" s="60"/>
      <c r="S58" s="59" t="str">
        <f>+IF(OR($F58="",R58=""),"",$F58*R58)</f>
        <v/>
      </c>
      <c r="T58" s="60">
        <f>+D58</f>
        <v>590.15</v>
      </c>
      <c r="U58" s="59">
        <f>+IF(OR($F58="",T58=""),"",$F58*T58)</f>
        <v>15821.921499999999</v>
      </c>
      <c r="V58" s="60"/>
      <c r="W58" s="59" t="str">
        <f>+IF(OR($F58="",V58=""),"",$F58*V58)</f>
        <v/>
      </c>
      <c r="X58" s="95"/>
      <c r="Y58" s="59" t="str">
        <f>+IF(OR($F58="",X58=""),"",$F58*X58)</f>
        <v/>
      </c>
      <c r="Z58" s="95"/>
      <c r="AA58" s="59" t="str">
        <f>+IF(OR($F58="",Z58=""),"",$F58*Z58)</f>
        <v/>
      </c>
      <c r="AB58" s="95"/>
      <c r="AC58" s="59" t="str">
        <f>+IF(OR($F58="",AB58=""),"",$F58*AB58)</f>
        <v/>
      </c>
      <c r="AD58" s="95"/>
      <c r="AE58" s="59" t="str">
        <f>+IF(OR($F58="",AD58=""),"",$F58*AD58)</f>
        <v/>
      </c>
      <c r="AF58" s="95"/>
      <c r="AG58" s="59" t="str">
        <f>+IF(OR($F58="",AF58=""),"",$F58*AF58)</f>
        <v/>
      </c>
      <c r="AH58" s="95"/>
      <c r="AI58" s="59" t="str">
        <f>+IF(OR($F58="",AH58=""),"",$F58*AH58)</f>
        <v/>
      </c>
      <c r="AJ58" s="60"/>
      <c r="AK58" s="59" t="str">
        <f>+IF(OR($F58="",AJ58=""),"",$F58*AJ58)</f>
        <v/>
      </c>
      <c r="AL58" s="60"/>
      <c r="AM58" s="59" t="str">
        <f>+IF(OR($F58="",AL58=""),"",$F58*AL58)</f>
        <v/>
      </c>
      <c r="AN58" s="60"/>
      <c r="AO58" s="59" t="str">
        <f>+IF(OR($F58="",AN58=""),"",$F58*AN58)</f>
        <v/>
      </c>
      <c r="AP58" s="60"/>
      <c r="AQ58" s="59" t="str">
        <f>+IF(OR($F58="",AP58=""),"",$F58*AP58)</f>
        <v/>
      </c>
      <c r="AR58" s="60"/>
      <c r="AS58" s="59" t="str">
        <f>+IF(OR($F58="",AR58=""),"",$F58*AR58)</f>
        <v/>
      </c>
      <c r="AT58" s="60"/>
      <c r="AU58" s="59" t="str">
        <f>+IF(OR($F58="",AT58=""),"",$F58*AT58)</f>
        <v/>
      </c>
      <c r="AV58" s="60"/>
      <c r="AW58" s="59" t="str">
        <f>+IF(OR($F58="",AV58=""),"",$F58*AV58)</f>
        <v/>
      </c>
      <c r="AX58" s="60"/>
      <c r="AY58" s="59" t="str">
        <f>+IF(OR($F58="",AX58=""),"",$F58*AX58)</f>
        <v/>
      </c>
      <c r="AZ58" s="60"/>
      <c r="BA58" s="59" t="str">
        <f>+IF(OR($F58="",AZ58=""),"",$F58*AZ58)</f>
        <v/>
      </c>
      <c r="BB58" s="60"/>
      <c r="BC58" s="59" t="str">
        <f>+IF(OR($F58="",BB58=""),"",$F58*BB58)</f>
        <v/>
      </c>
      <c r="BD58" s="61">
        <f>+SUM(BI58:CF58)</f>
        <v>590.15</v>
      </c>
      <c r="BE58" s="59">
        <f>+IF(OR($F58="",BD58=""),"",$F58*BD58)</f>
        <v>15821.921499999999</v>
      </c>
      <c r="BF58" s="61">
        <f>+D58-BD58</f>
        <v>0</v>
      </c>
      <c r="BG58" s="59">
        <f>+IF(OR($F58="",BF58=""),"",$F58*BF58)</f>
        <v>0</v>
      </c>
      <c r="BH58" s="96"/>
      <c r="BI58" s="1">
        <f>+H58</f>
        <v>0</v>
      </c>
      <c r="BJ58" s="1">
        <f>+J58</f>
        <v>0</v>
      </c>
      <c r="BK58" s="1">
        <f>+L58</f>
        <v>0</v>
      </c>
      <c r="BL58" s="1">
        <f>+N58</f>
        <v>0</v>
      </c>
      <c r="BM58" s="1">
        <f>+P58</f>
        <v>0</v>
      </c>
      <c r="BN58" s="1">
        <f>+R58</f>
        <v>0</v>
      </c>
      <c r="BO58" s="1">
        <f>+T58</f>
        <v>590.15</v>
      </c>
      <c r="BP58" s="1">
        <f>+V58</f>
        <v>0</v>
      </c>
      <c r="BQ58" s="1">
        <f>+X58</f>
        <v>0</v>
      </c>
      <c r="BR58" s="1">
        <f>+Z58</f>
        <v>0</v>
      </c>
      <c r="BS58" s="1">
        <f>+AB58</f>
        <v>0</v>
      </c>
      <c r="BT58" s="1">
        <f>+AD58</f>
        <v>0</v>
      </c>
      <c r="BU58" s="1">
        <f>+AF58</f>
        <v>0</v>
      </c>
      <c r="BV58" s="1">
        <f>+AH58</f>
        <v>0</v>
      </c>
      <c r="BW58" s="1">
        <f>+AJ58</f>
        <v>0</v>
      </c>
      <c r="BX58" s="1">
        <f>+AL58</f>
        <v>0</v>
      </c>
      <c r="BY58" s="1">
        <f>+AN58</f>
        <v>0</v>
      </c>
      <c r="BZ58" s="1">
        <f>+AP58</f>
        <v>0</v>
      </c>
      <c r="CA58" s="1">
        <f>+AR58</f>
        <v>0</v>
      </c>
      <c r="CB58" s="1">
        <f>+AT58</f>
        <v>0</v>
      </c>
      <c r="CC58" s="1">
        <f>+AV58</f>
        <v>0</v>
      </c>
      <c r="CD58" s="1">
        <f>+AX58</f>
        <v>0</v>
      </c>
      <c r="CE58" s="1">
        <f>+AZ58</f>
        <v>0</v>
      </c>
      <c r="CF58" s="1">
        <f>+BB58</f>
        <v>0</v>
      </c>
    </row>
    <row r="59" spans="2:84" s="6" customFormat="1" ht="18" customHeight="1">
      <c r="B59" s="62" t="s">
        <v>760</v>
      </c>
      <c r="C59" s="25" t="s">
        <v>747</v>
      </c>
      <c r="D59" s="49"/>
      <c r="E59" s="85"/>
      <c r="F59" s="50"/>
      <c r="G59" s="63">
        <f>+SUM(G60:G60)</f>
        <v>4974.4094400000004</v>
      </c>
      <c r="H59" s="51"/>
      <c r="I59" s="52" t="str">
        <f>+IF(SUM(I60:I60)=0,"",SUM(I60:I60))</f>
        <v/>
      </c>
      <c r="J59" s="53"/>
      <c r="K59" s="52" t="str">
        <f>+IF(SUM(K60:K60)=0,"",SUM(K60:K60))</f>
        <v/>
      </c>
      <c r="L59" s="53"/>
      <c r="M59" s="52" t="str">
        <f>+IF(SUM(M60:M60)=0,"",SUM(M60:M60))</f>
        <v/>
      </c>
      <c r="N59" s="53"/>
      <c r="O59" s="52" t="str">
        <f>+IF(SUM(O60:O60)=0,"",SUM(O60:O60))</f>
        <v/>
      </c>
      <c r="P59" s="53"/>
      <c r="Q59" s="52" t="str">
        <f>+IF(SUM(Q60:Q60)=0,"",SUM(Q60:Q60))</f>
        <v/>
      </c>
      <c r="R59" s="53"/>
      <c r="S59" s="52">
        <f>+IF(SUM(S60:S60)=0,"",SUM(S60:S60))</f>
        <v>1989.763776</v>
      </c>
      <c r="T59" s="53"/>
      <c r="U59" s="52">
        <f>+IF(SUM(U60:U60)=0,"",SUM(U60:U60))</f>
        <v>1243.6023600000001</v>
      </c>
      <c r="V59" s="53"/>
      <c r="W59" s="52">
        <f>+IF(SUM(W60:W60)=0,"",SUM(W60:W60))</f>
        <v>924</v>
      </c>
      <c r="X59" s="91"/>
      <c r="Y59" s="52" t="str">
        <f>+IF(SUM(Y60:Y60)=0,"",SUM(Y60:Y60))</f>
        <v/>
      </c>
      <c r="Z59" s="91"/>
      <c r="AA59" s="52" t="str">
        <f>+IF(SUM(AA60:AA60)=0,"",SUM(AA60:AA60))</f>
        <v/>
      </c>
      <c r="AB59" s="91"/>
      <c r="AC59" s="52">
        <f>+IF(SUM(AC60:AC60)=0,"",SUM(AC60:AC60))</f>
        <v>201.0316</v>
      </c>
      <c r="AD59" s="91"/>
      <c r="AE59" s="52">
        <f>+IF(SUM(AE60:AE60)=0,"",SUM(AE60:AE60))</f>
        <v>308</v>
      </c>
      <c r="AF59" s="91"/>
      <c r="AG59" s="52">
        <f>+IF(SUM(AG60:AG60)=0,"",SUM(AG60:AG60))</f>
        <v>246.4</v>
      </c>
      <c r="AH59" s="91"/>
      <c r="AI59" s="52">
        <f>+IF(SUM(AI60:AI60)=0,"",SUM(AI60:AI60))</f>
        <v>61.611703999999868</v>
      </c>
      <c r="AJ59" s="53"/>
      <c r="AK59" s="52" t="str">
        <f>+IF(SUM(AK60:AK60)=0,"",SUM(AK60:AK60))</f>
        <v/>
      </c>
      <c r="AL59" s="53"/>
      <c r="AM59" s="52" t="str">
        <f>+IF(SUM(AM60:AM60)=0,"",SUM(AM60:AM60))</f>
        <v/>
      </c>
      <c r="AN59" s="53"/>
      <c r="AO59" s="52" t="str">
        <f>+IF(SUM(AO60:AO60)=0,"",SUM(AO60:AO60))</f>
        <v/>
      </c>
      <c r="AP59" s="53"/>
      <c r="AQ59" s="52" t="str">
        <f>+IF(SUM(AQ60:AQ60)=0,"",SUM(AQ60:AQ60))</f>
        <v/>
      </c>
      <c r="AR59" s="53"/>
      <c r="AS59" s="52" t="str">
        <f>+IF(SUM(AS60:AS60)=0,"",SUM(AS60:AS60))</f>
        <v/>
      </c>
      <c r="AT59" s="53"/>
      <c r="AU59" s="52" t="str">
        <f>+IF(SUM(AU60:AU60)=0,"",SUM(AU60:AU60))</f>
        <v/>
      </c>
      <c r="AV59" s="53"/>
      <c r="AW59" s="52" t="str">
        <f>+IF(SUM(AW60:AW60)=0,"",SUM(AW60:AW60))</f>
        <v/>
      </c>
      <c r="AX59" s="53"/>
      <c r="AY59" s="52" t="str">
        <f>+IF(SUM(AY60:AY60)=0,"",SUM(AY60:AY60))</f>
        <v/>
      </c>
      <c r="AZ59" s="53"/>
      <c r="BA59" s="52" t="str">
        <f>+IF(SUM(BA60:BA60)=0,"",SUM(BA60:BA60))</f>
        <v/>
      </c>
      <c r="BB59" s="53"/>
      <c r="BC59" s="52" t="str">
        <f>+IF(SUM(BC60:BC60)=0,"",SUM(BC60:BC60))</f>
        <v/>
      </c>
      <c r="BD59" s="54"/>
      <c r="BE59" s="52">
        <f>+SUM(BE60:BE60)</f>
        <v>4974.4094400000004</v>
      </c>
      <c r="BF59" s="54"/>
      <c r="BG59" s="52">
        <f>+SUM(BG60:BG60)</f>
        <v>0</v>
      </c>
      <c r="BH59" s="96"/>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row>
    <row r="60" spans="2:84" ht="63" customHeight="1" outlineLevel="1">
      <c r="B60" s="19"/>
      <c r="C60" s="26" t="s">
        <v>801</v>
      </c>
      <c r="D60" s="55">
        <v>1615.068</v>
      </c>
      <c r="F60" s="56">
        <v>3.08</v>
      </c>
      <c r="G60" s="57">
        <f>+D60*F60</f>
        <v>4974.4094400000004</v>
      </c>
      <c r="H60" s="28"/>
      <c r="I60" s="59" t="str">
        <f>+IF(OR($F60="",H60=""),"",$F60*H60)</f>
        <v/>
      </c>
      <c r="J60" s="60"/>
      <c r="K60" s="59" t="str">
        <f>+IF(OR($F60="",J60=""),"",$F60*J60)</f>
        <v/>
      </c>
      <c r="L60" s="60"/>
      <c r="M60" s="59" t="str">
        <f>+IF(OR($F60="",L60=""),"",$F60*L60)</f>
        <v/>
      </c>
      <c r="N60" s="60"/>
      <c r="O60" s="59" t="str">
        <f>+IF(OR($F60="",N60=""),"",$F60*N60)</f>
        <v/>
      </c>
      <c r="P60" s="60"/>
      <c r="Q60" s="59" t="str">
        <f>+IF(OR($F60="",P60=""),"",$F60*P60)</f>
        <v/>
      </c>
      <c r="R60" s="60">
        <f>0.4*D60</f>
        <v>646.02719999999999</v>
      </c>
      <c r="S60" s="59">
        <f>+IF(OR($F60="",R60=""),"",$F60*R60)</f>
        <v>1989.763776</v>
      </c>
      <c r="T60" s="60">
        <f>0.25*D60</f>
        <v>403.767</v>
      </c>
      <c r="U60" s="59">
        <f>+IF(OR($F60="",T60=""),"",$F60*T60)</f>
        <v>1243.6023600000001</v>
      </c>
      <c r="V60" s="60">
        <v>300</v>
      </c>
      <c r="W60" s="59">
        <f>+IF(OR($F60="",V60=""),"",$F60*V60)</f>
        <v>924</v>
      </c>
      <c r="X60" s="95"/>
      <c r="Y60" s="59" t="str">
        <f>+IF(OR($F60="",X60=""),"",$F60*X60)</f>
        <v/>
      </c>
      <c r="Z60" s="95"/>
      <c r="AA60" s="59" t="str">
        <f>+IF(OR($F60="",Z60=""),"",$F60*Z60)</f>
        <v/>
      </c>
      <c r="AB60" s="95">
        <v>65.27</v>
      </c>
      <c r="AC60" s="59">
        <f>+IF(OR($F60="",AB60=""),"",$F60*AB60)</f>
        <v>201.0316</v>
      </c>
      <c r="AD60" s="95">
        <v>100</v>
      </c>
      <c r="AE60" s="59">
        <f>+IF(OR($F60="",AD60=""),"",$F60*AD60)</f>
        <v>308</v>
      </c>
      <c r="AF60" s="95">
        <v>80</v>
      </c>
      <c r="AG60" s="59">
        <f>+IF(OR($F60="",AF60=""),"",$F60*AF60)</f>
        <v>246.4</v>
      </c>
      <c r="AH60" s="95">
        <v>20.003799999999956</v>
      </c>
      <c r="AI60" s="59">
        <f>+IF(OR($F60="",AH60=""),"",$F60*AH60)</f>
        <v>61.611703999999868</v>
      </c>
      <c r="AJ60" s="60"/>
      <c r="AK60" s="59" t="str">
        <f>+IF(OR($F60="",AJ60=""),"",$F60*AJ60)</f>
        <v/>
      </c>
      <c r="AL60" s="60"/>
      <c r="AM60" s="59" t="str">
        <f>+IF(OR($F60="",AL60=""),"",$F60*AL60)</f>
        <v/>
      </c>
      <c r="AN60" s="60"/>
      <c r="AO60" s="59" t="str">
        <f>+IF(OR($F60="",AN60=""),"",$F60*AN60)</f>
        <v/>
      </c>
      <c r="AP60" s="60"/>
      <c r="AQ60" s="59" t="str">
        <f>+IF(OR($F60="",AP60=""),"",$F60*AP60)</f>
        <v/>
      </c>
      <c r="AR60" s="60"/>
      <c r="AS60" s="59" t="str">
        <f>+IF(OR($F60="",AR60=""),"",$F60*AR60)</f>
        <v/>
      </c>
      <c r="AT60" s="60"/>
      <c r="AU60" s="59" t="str">
        <f>+IF(OR($F60="",AT60=""),"",$F60*AT60)</f>
        <v/>
      </c>
      <c r="AV60" s="60"/>
      <c r="AW60" s="59" t="str">
        <f>+IF(OR($F60="",AV60=""),"",$F60*AV60)</f>
        <v/>
      </c>
      <c r="AX60" s="60"/>
      <c r="AY60" s="59" t="str">
        <f>+IF(OR($F60="",AX60=""),"",$F60*AX60)</f>
        <v/>
      </c>
      <c r="AZ60" s="60"/>
      <c r="BA60" s="59" t="str">
        <f>+IF(OR($F60="",AZ60=""),"",$F60*AZ60)</f>
        <v/>
      </c>
      <c r="BB60" s="60"/>
      <c r="BC60" s="59" t="str">
        <f>+IF(OR($F60="",BB60=""),"",$F60*BB60)</f>
        <v/>
      </c>
      <c r="BD60" s="61">
        <f>+SUM(BI60:CF60)</f>
        <v>1615.068</v>
      </c>
      <c r="BE60" s="59">
        <f>+IF(OR($F60="",BD60=""),"",$F60*BD60)</f>
        <v>4974.4094400000004</v>
      </c>
      <c r="BF60" s="61">
        <f>+D60-BD60</f>
        <v>0</v>
      </c>
      <c r="BG60" s="59">
        <f>+IF(OR($F60="",BF60=""),"",$F60*BF60)</f>
        <v>0</v>
      </c>
      <c r="BH60" s="96"/>
      <c r="BI60" s="1">
        <f>+H60</f>
        <v>0</v>
      </c>
      <c r="BJ60" s="1">
        <f>+J60</f>
        <v>0</v>
      </c>
      <c r="BK60" s="1">
        <f>+L60</f>
        <v>0</v>
      </c>
      <c r="BL60" s="1">
        <f>+N60</f>
        <v>0</v>
      </c>
      <c r="BM60" s="1">
        <f>+P60</f>
        <v>0</v>
      </c>
      <c r="BN60" s="1">
        <f>+R60</f>
        <v>646.02719999999999</v>
      </c>
      <c r="BO60" s="1">
        <f>+T60</f>
        <v>403.767</v>
      </c>
      <c r="BP60" s="1">
        <f>+V60</f>
        <v>300</v>
      </c>
      <c r="BQ60" s="1">
        <f>+X60</f>
        <v>0</v>
      </c>
      <c r="BR60" s="1">
        <f>+Z60</f>
        <v>0</v>
      </c>
      <c r="BS60" s="1">
        <f>+AB60</f>
        <v>65.27</v>
      </c>
      <c r="BT60" s="1">
        <f>+AD60</f>
        <v>100</v>
      </c>
      <c r="BU60" s="1">
        <f>+AF60</f>
        <v>80</v>
      </c>
      <c r="BV60" s="1">
        <f>+AH60</f>
        <v>20.003799999999956</v>
      </c>
      <c r="BW60" s="1">
        <f>+AJ60</f>
        <v>0</v>
      </c>
      <c r="BX60" s="1">
        <f>+AL60</f>
        <v>0</v>
      </c>
      <c r="BY60" s="1">
        <f>+AN60</f>
        <v>0</v>
      </c>
      <c r="BZ60" s="1">
        <f>+AP60</f>
        <v>0</v>
      </c>
      <c r="CA60" s="1">
        <f>+AR60</f>
        <v>0</v>
      </c>
      <c r="CB60" s="1">
        <f>+AT60</f>
        <v>0</v>
      </c>
      <c r="CC60" s="1">
        <f>+AV60</f>
        <v>0</v>
      </c>
      <c r="CD60" s="1">
        <f>+AX60</f>
        <v>0</v>
      </c>
      <c r="CE60" s="1">
        <f>+AZ60</f>
        <v>0</v>
      </c>
      <c r="CF60" s="1">
        <f>+BB60</f>
        <v>0</v>
      </c>
    </row>
    <row r="61" spans="2:84" s="6" customFormat="1" ht="18" customHeight="1">
      <c r="B61" s="62" t="s">
        <v>834</v>
      </c>
      <c r="C61" s="25" t="s">
        <v>836</v>
      </c>
      <c r="D61" s="49"/>
      <c r="E61" s="85"/>
      <c r="F61" s="50"/>
      <c r="G61" s="63">
        <f>+SUM(G62:G62)</f>
        <v>12406.639500000001</v>
      </c>
      <c r="H61" s="51"/>
      <c r="I61" s="52" t="str">
        <f>+IF(SUM(I62:I62)=0,"",SUM(I62:I62))</f>
        <v/>
      </c>
      <c r="J61" s="53"/>
      <c r="K61" s="52" t="str">
        <f>+IF(SUM(K62:K62)=0,"",SUM(K62:K62))</f>
        <v/>
      </c>
      <c r="L61" s="53"/>
      <c r="M61" s="52" t="str">
        <f>+IF(SUM(M62:M62)=0,"",SUM(M62:M62))</f>
        <v/>
      </c>
      <c r="N61" s="53"/>
      <c r="O61" s="52" t="str">
        <f>+IF(SUM(O62:O62)=0,"",SUM(O62:O62))</f>
        <v/>
      </c>
      <c r="P61" s="53"/>
      <c r="Q61" s="52" t="str">
        <f>+IF(SUM(Q62:Q62)=0,"",SUM(Q62:Q62))</f>
        <v/>
      </c>
      <c r="R61" s="53"/>
      <c r="S61" s="52" t="str">
        <f>+IF(SUM(S62:S62)=0,"",SUM(S62:S62))</f>
        <v/>
      </c>
      <c r="T61" s="53"/>
      <c r="U61" s="52" t="str">
        <f>+IF(SUM(U62:U62)=0,"",SUM(U62:U62))</f>
        <v/>
      </c>
      <c r="V61" s="53"/>
      <c r="W61" s="52" t="str">
        <f>+IF(SUM(W62:W62)=0,"",SUM(W62:W62))</f>
        <v/>
      </c>
      <c r="X61" s="91"/>
      <c r="Y61" s="52" t="str">
        <f>+IF(SUM(Y62:Y62)=0,"",SUM(Y62:Y62))</f>
        <v/>
      </c>
      <c r="Z61" s="91"/>
      <c r="AA61" s="52" t="str">
        <f>+IF(SUM(AA62:AA62)=0,"",SUM(AA62:AA62))</f>
        <v/>
      </c>
      <c r="AB61" s="91"/>
      <c r="AC61" s="52">
        <f>+IF(SUM(AC62:AC62)=0,"",SUM(AC62:AC62))</f>
        <v>3101.6598750000003</v>
      </c>
      <c r="AD61" s="91"/>
      <c r="AE61" s="52">
        <f>+IF(SUM(AE62:AE62)=0,"",SUM(AE62:AE62))</f>
        <v>3101.6598750000003</v>
      </c>
      <c r="AF61" s="91"/>
      <c r="AG61" s="52" t="str">
        <f>+IF(SUM(AG62:AG62)=0,"",SUM(AG62:AG62))</f>
        <v/>
      </c>
      <c r="AH61" s="91"/>
      <c r="AI61" s="52">
        <f>+IF(SUM(AI62:AI62)=0,"",SUM(AI62:AI62))</f>
        <v>2450.0453999999995</v>
      </c>
      <c r="AJ61" s="53"/>
      <c r="AK61" s="52" t="str">
        <f>+IF(SUM(AK62:AK62)=0,"",SUM(AK62:AK62))</f>
        <v/>
      </c>
      <c r="AL61" s="53"/>
      <c r="AM61" s="52" t="str">
        <f>+IF(SUM(AM62:AM62)=0,"",SUM(AM62:AM62))</f>
        <v/>
      </c>
      <c r="AN61" s="53"/>
      <c r="AO61" s="52" t="str">
        <f>+IF(SUM(AO62:AO62)=0,"",SUM(AO62:AO62))</f>
        <v/>
      </c>
      <c r="AP61" s="53"/>
      <c r="AQ61" s="52" t="str">
        <f>+IF(SUM(AQ62:AQ62)=0,"",SUM(AQ62:AQ62))</f>
        <v/>
      </c>
      <c r="AR61" s="53"/>
      <c r="AS61" s="52" t="str">
        <f>+IF(SUM(AS62:AS62)=0,"",SUM(AS62:AS62))</f>
        <v/>
      </c>
      <c r="AT61" s="53"/>
      <c r="AU61" s="52" t="str">
        <f>+IF(SUM(AU62:AU62)=0,"",SUM(AU62:AU62))</f>
        <v/>
      </c>
      <c r="AV61" s="53"/>
      <c r="AW61" s="52" t="str">
        <f>+IF(SUM(AW62:AW62)=0,"",SUM(AW62:AW62))</f>
        <v/>
      </c>
      <c r="AX61" s="53"/>
      <c r="AY61" s="52" t="str">
        <f>+IF(SUM(AY62:AY62)=0,"",SUM(AY62:AY62))</f>
        <v/>
      </c>
      <c r="AZ61" s="53"/>
      <c r="BA61" s="52" t="str">
        <f>+IF(SUM(BA62:BA62)=0,"",SUM(BA62:BA62))</f>
        <v/>
      </c>
      <c r="BB61" s="53"/>
      <c r="BC61" s="52" t="str">
        <f>+IF(SUM(BC62:BC62)=0,"",SUM(BC62:BC62))</f>
        <v/>
      </c>
      <c r="BD61" s="54"/>
      <c r="BE61" s="52">
        <f>+SUM(BE62:BE62)</f>
        <v>8653.3651499999996</v>
      </c>
      <c r="BF61" s="54"/>
      <c r="BG61" s="52">
        <f>+SUM(BG62:BG62)</f>
        <v>3753.2743500000006</v>
      </c>
      <c r="BH61" s="96"/>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row>
    <row r="62" spans="2:84" ht="112.5" outlineLevel="1">
      <c r="B62" s="19"/>
      <c r="C62" s="97" t="s">
        <v>835</v>
      </c>
      <c r="D62" s="55">
        <v>99.15</v>
      </c>
      <c r="F62" s="56">
        <v>125.13</v>
      </c>
      <c r="G62" s="57">
        <f>+D62*F62</f>
        <v>12406.639500000001</v>
      </c>
      <c r="H62" s="28"/>
      <c r="I62" s="59" t="str">
        <f>+IF(OR($F62="",H62=""),"",$F62*H62)</f>
        <v/>
      </c>
      <c r="J62" s="60"/>
      <c r="K62" s="59" t="str">
        <f>+IF(OR($F62="",J62=""),"",$F62*J62)</f>
        <v/>
      </c>
      <c r="L62" s="60"/>
      <c r="M62" s="59" t="str">
        <f>+IF(OR($F62="",L62=""),"",$F62*L62)</f>
        <v/>
      </c>
      <c r="N62" s="60"/>
      <c r="O62" s="59" t="str">
        <f>+IF(OR($F62="",N62=""),"",$F62*N62)</f>
        <v/>
      </c>
      <c r="P62" s="60"/>
      <c r="Q62" s="59" t="str">
        <f>+IF(OR($F62="",P62=""),"",$F62*P62)</f>
        <v/>
      </c>
      <c r="R62" s="60"/>
      <c r="S62" s="59" t="str">
        <f>+IF(OR($F62="",R62=""),"",$F62*R62)</f>
        <v/>
      </c>
      <c r="T62" s="60"/>
      <c r="U62" s="59" t="str">
        <f>+IF(OR($F62="",T62=""),"",$F62*T62)</f>
        <v/>
      </c>
      <c r="V62" s="60"/>
      <c r="W62" s="59" t="str">
        <f>+IF(OR($F62="",V62=""),"",$F62*V62)</f>
        <v/>
      </c>
      <c r="X62" s="95"/>
      <c r="Y62" s="59" t="str">
        <f>+IF(OR($F62="",X62=""),"",$F62*X62)</f>
        <v/>
      </c>
      <c r="Z62" s="95"/>
      <c r="AA62" s="59" t="str">
        <f>+IF(OR($F62="",Z62=""),"",$F62*Z62)</f>
        <v/>
      </c>
      <c r="AB62" s="95">
        <f>0.25*D62</f>
        <v>24.787500000000001</v>
      </c>
      <c r="AC62" s="59">
        <f>+IF(OR($F62="",AB62=""),"",$F62*AB62)</f>
        <v>3101.6598750000003</v>
      </c>
      <c r="AD62" s="95">
        <f>0.25*D62</f>
        <v>24.787500000000001</v>
      </c>
      <c r="AE62" s="59">
        <f>+IF(OR($F62="",AD62=""),"",$F62*AD62)</f>
        <v>3101.6598750000003</v>
      </c>
      <c r="AF62" s="95"/>
      <c r="AG62" s="59" t="str">
        <f>+IF(OR($F62="",AF62=""),"",$F62*AF62)</f>
        <v/>
      </c>
      <c r="AH62" s="95">
        <v>19.579999999999998</v>
      </c>
      <c r="AI62" s="59">
        <f>+IF(OR($F62="",AH62=""),"",$F62*AH62)</f>
        <v>2450.0453999999995</v>
      </c>
      <c r="AJ62" s="60"/>
      <c r="AK62" s="59" t="str">
        <f>+IF(OR($F62="",AJ62=""),"",$F62*AJ62)</f>
        <v/>
      </c>
      <c r="AL62" s="60"/>
      <c r="AM62" s="59" t="str">
        <f>+IF(OR($F62="",AL62=""),"",$F62*AL62)</f>
        <v/>
      </c>
      <c r="AN62" s="60"/>
      <c r="AO62" s="59" t="str">
        <f>+IF(OR($F62="",AN62=""),"",$F62*AN62)</f>
        <v/>
      </c>
      <c r="AP62" s="60"/>
      <c r="AQ62" s="59" t="str">
        <f>+IF(OR($F62="",AP62=""),"",$F62*AP62)</f>
        <v/>
      </c>
      <c r="AR62" s="60"/>
      <c r="AS62" s="59" t="str">
        <f>+IF(OR($F62="",AR62=""),"",$F62*AR62)</f>
        <v/>
      </c>
      <c r="AT62" s="60"/>
      <c r="AU62" s="59" t="str">
        <f>+IF(OR($F62="",AT62=""),"",$F62*AT62)</f>
        <v/>
      </c>
      <c r="AV62" s="60"/>
      <c r="AW62" s="59" t="str">
        <f>+IF(OR($F62="",AV62=""),"",$F62*AV62)</f>
        <v/>
      </c>
      <c r="AX62" s="60"/>
      <c r="AY62" s="59" t="str">
        <f>+IF(OR($F62="",AX62=""),"",$F62*AX62)</f>
        <v/>
      </c>
      <c r="AZ62" s="60"/>
      <c r="BA62" s="59" t="str">
        <f>+IF(OR($F62="",AZ62=""),"",$F62*AZ62)</f>
        <v/>
      </c>
      <c r="BB62" s="60"/>
      <c r="BC62" s="59" t="str">
        <f>+IF(OR($F62="",BB62=""),"",$F62*BB62)</f>
        <v/>
      </c>
      <c r="BD62" s="61">
        <f>+SUM(BI62:CF62)</f>
        <v>69.155000000000001</v>
      </c>
      <c r="BE62" s="59">
        <f>+IF(OR($F62="",BD62=""),"",$F62*BD62)</f>
        <v>8653.3651499999996</v>
      </c>
      <c r="BF62" s="61">
        <f>+D62-BD62</f>
        <v>29.995000000000005</v>
      </c>
      <c r="BG62" s="59">
        <f>+IF(OR($F62="",BF62=""),"",$F62*BF62)</f>
        <v>3753.2743500000006</v>
      </c>
      <c r="BH62" s="191" t="s">
        <v>844</v>
      </c>
      <c r="BI62" s="1">
        <f>+H62</f>
        <v>0</v>
      </c>
      <c r="BJ62" s="1">
        <f>+J62</f>
        <v>0</v>
      </c>
      <c r="BK62" s="1">
        <f>+L62</f>
        <v>0</v>
      </c>
      <c r="BL62" s="1">
        <f>+N62</f>
        <v>0</v>
      </c>
      <c r="BM62" s="1">
        <f>+P62</f>
        <v>0</v>
      </c>
      <c r="BN62" s="1">
        <f>+R62</f>
        <v>0</v>
      </c>
      <c r="BO62" s="1">
        <f>+T62</f>
        <v>0</v>
      </c>
      <c r="BP62" s="1">
        <f>+V62</f>
        <v>0</v>
      </c>
      <c r="BQ62" s="1">
        <f>+X62</f>
        <v>0</v>
      </c>
      <c r="BR62" s="1">
        <f>+Z62</f>
        <v>0</v>
      </c>
      <c r="BS62" s="1">
        <f>+AB62</f>
        <v>24.787500000000001</v>
      </c>
      <c r="BT62" s="1">
        <f>+AD62</f>
        <v>24.787500000000001</v>
      </c>
      <c r="BU62" s="1">
        <f>+AF62</f>
        <v>0</v>
      </c>
      <c r="BV62" s="1">
        <f>+AH62</f>
        <v>19.579999999999998</v>
      </c>
      <c r="BW62" s="1">
        <f>+AJ62</f>
        <v>0</v>
      </c>
      <c r="BX62" s="1">
        <f>+AL62</f>
        <v>0</v>
      </c>
      <c r="BY62" s="1">
        <f>+AN62</f>
        <v>0</v>
      </c>
      <c r="BZ62" s="1">
        <f>+AP62</f>
        <v>0</v>
      </c>
      <c r="CA62" s="1">
        <f>+AR62</f>
        <v>0</v>
      </c>
      <c r="CB62" s="1">
        <f>+AT62</f>
        <v>0</v>
      </c>
      <c r="CC62" s="1">
        <f>+AV62</f>
        <v>0</v>
      </c>
      <c r="CD62" s="1">
        <f>+AX62</f>
        <v>0</v>
      </c>
      <c r="CE62" s="1">
        <f>+AZ62</f>
        <v>0</v>
      </c>
      <c r="CF62" s="1">
        <f>+BB62</f>
        <v>0</v>
      </c>
    </row>
    <row r="63" spans="2:84" s="6" customFormat="1" ht="18" customHeight="1">
      <c r="B63" s="62" t="s">
        <v>748</v>
      </c>
      <c r="C63" s="25" t="s">
        <v>749</v>
      </c>
      <c r="D63" s="49"/>
      <c r="E63" s="85"/>
      <c r="F63" s="50"/>
      <c r="G63" s="63">
        <f>+SUM(G64:G64)</f>
        <v>2587.1999999999998</v>
      </c>
      <c r="H63" s="51"/>
      <c r="I63" s="52" t="str">
        <f>+IF(SUM(I64:I64)=0,"",SUM(I64:I64))</f>
        <v/>
      </c>
      <c r="J63" s="53"/>
      <c r="K63" s="52" t="str">
        <f>+IF(SUM(K64:K64)=0,"",SUM(K64:K64))</f>
        <v/>
      </c>
      <c r="L63" s="53"/>
      <c r="M63" s="52" t="str">
        <f>+IF(SUM(M64:M64)=0,"",SUM(M64:M64))</f>
        <v/>
      </c>
      <c r="N63" s="53"/>
      <c r="O63" s="52" t="str">
        <f>+IF(SUM(O64:O64)=0,"",SUM(O64:O64))</f>
        <v/>
      </c>
      <c r="P63" s="53"/>
      <c r="Q63" s="52">
        <f>+IF(SUM(Q64:Q64)=0,"",SUM(Q64:Q64))</f>
        <v>1086.6239999999998</v>
      </c>
      <c r="R63" s="53"/>
      <c r="S63" s="52">
        <f>+IF(SUM(S64:S64)=0,"",SUM(S64:S64))</f>
        <v>517.43999999999994</v>
      </c>
      <c r="T63" s="53"/>
      <c r="U63" s="52">
        <f>+IF(SUM(U64:U64)=0,"",SUM(U64:U64))</f>
        <v>517.43999999999994</v>
      </c>
      <c r="V63" s="53"/>
      <c r="W63" s="52" t="str">
        <f>+IF(SUM(W64:W64)=0,"",SUM(W64:W64))</f>
        <v/>
      </c>
      <c r="X63" s="91"/>
      <c r="Y63" s="52">
        <f>+IF(SUM(Y64:Y64)=0,"",SUM(Y64:Y64))</f>
        <v>465.69599999999997</v>
      </c>
      <c r="Z63" s="91"/>
      <c r="AA63" s="52" t="str">
        <f>+IF(SUM(AA64:AA64)=0,"",SUM(AA64:AA64))</f>
        <v/>
      </c>
      <c r="AB63" s="91"/>
      <c r="AC63" s="52" t="str">
        <f>+IF(SUM(AC64:AC64)=0,"",SUM(AC64:AC64))</f>
        <v/>
      </c>
      <c r="AD63" s="91"/>
      <c r="AE63" s="52" t="str">
        <f>+IF(SUM(AE64:AE64)=0,"",SUM(AE64:AE64))</f>
        <v/>
      </c>
      <c r="AF63" s="91"/>
      <c r="AG63" s="52" t="str">
        <f>+IF(SUM(AG64:AG64)=0,"",SUM(AG64:AG64))</f>
        <v/>
      </c>
      <c r="AH63" s="91"/>
      <c r="AI63" s="52" t="str">
        <f>+IF(SUM(AI64:AI64)=0,"",SUM(AI64:AI64))</f>
        <v/>
      </c>
      <c r="AJ63" s="53"/>
      <c r="AK63" s="52" t="str">
        <f>+IF(SUM(AK64:AK64)=0,"",SUM(AK64:AK64))</f>
        <v/>
      </c>
      <c r="AL63" s="53"/>
      <c r="AM63" s="52" t="str">
        <f>+IF(SUM(AM64:AM64)=0,"",SUM(AM64:AM64))</f>
        <v/>
      </c>
      <c r="AN63" s="53"/>
      <c r="AO63" s="52" t="str">
        <f>+IF(SUM(AO64:AO64)=0,"",SUM(AO64:AO64))</f>
        <v/>
      </c>
      <c r="AP63" s="53"/>
      <c r="AQ63" s="52" t="str">
        <f>+IF(SUM(AQ64:AQ64)=0,"",SUM(AQ64:AQ64))</f>
        <v/>
      </c>
      <c r="AR63" s="53"/>
      <c r="AS63" s="52" t="str">
        <f>+IF(SUM(AS64:AS64)=0,"",SUM(AS64:AS64))</f>
        <v/>
      </c>
      <c r="AT63" s="53"/>
      <c r="AU63" s="52" t="str">
        <f>+IF(SUM(AU64:AU64)=0,"",SUM(AU64:AU64))</f>
        <v/>
      </c>
      <c r="AV63" s="53"/>
      <c r="AW63" s="52" t="str">
        <f>+IF(SUM(AW64:AW64)=0,"",SUM(AW64:AW64))</f>
        <v/>
      </c>
      <c r="AX63" s="53"/>
      <c r="AY63" s="52" t="str">
        <f>+IF(SUM(AY64:AY64)=0,"",SUM(AY64:AY64))</f>
        <v/>
      </c>
      <c r="AZ63" s="53"/>
      <c r="BA63" s="52" t="str">
        <f>+IF(SUM(BA64:BA64)=0,"",SUM(BA64:BA64))</f>
        <v/>
      </c>
      <c r="BB63" s="53"/>
      <c r="BC63" s="52" t="str">
        <f>+IF(SUM(BC64:BC64)=0,"",SUM(BC64:BC64))</f>
        <v/>
      </c>
      <c r="BD63" s="54"/>
      <c r="BE63" s="52">
        <f>+SUM(BE64:BE64)</f>
        <v>2587.1999999999998</v>
      </c>
      <c r="BF63" s="54"/>
      <c r="BG63" s="52">
        <f>+SUM(BG64:BG64)</f>
        <v>0</v>
      </c>
      <c r="BH63" s="96"/>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row>
    <row r="64" spans="2:84" ht="45" outlineLevel="1">
      <c r="B64" s="19"/>
      <c r="C64" s="26" t="s">
        <v>772</v>
      </c>
      <c r="D64" s="55">
        <v>1</v>
      </c>
      <c r="E64" s="88" t="s">
        <v>819</v>
      </c>
      <c r="F64" s="56">
        <v>2587.1999999999998</v>
      </c>
      <c r="G64" s="57">
        <f>+D64*F64</f>
        <v>2587.1999999999998</v>
      </c>
      <c r="H64" s="28"/>
      <c r="I64" s="59" t="str">
        <f>+IF(OR($F64="",H64=""),"",$F64*H64)</f>
        <v/>
      </c>
      <c r="J64" s="60"/>
      <c r="K64" s="59" t="str">
        <f>+IF(OR($F64="",J64=""),"",$F64*J64)</f>
        <v/>
      </c>
      <c r="L64" s="60"/>
      <c r="M64" s="59" t="str">
        <f>+IF(OR($F64="",L64=""),"",$F64*L64)</f>
        <v/>
      </c>
      <c r="N64" s="60"/>
      <c r="O64" s="59" t="str">
        <f>+IF(OR($F64="",N64=""),"",$F64*N64)</f>
        <v/>
      </c>
      <c r="P64" s="60">
        <v>0.42</v>
      </c>
      <c r="Q64" s="59">
        <f>+IF(OR($F64="",P64=""),"",$F64*P64)</f>
        <v>1086.6239999999998</v>
      </c>
      <c r="R64" s="60">
        <v>0.2</v>
      </c>
      <c r="S64" s="59">
        <f>+IF(OR($F64="",R64=""),"",$F64*R64)</f>
        <v>517.43999999999994</v>
      </c>
      <c r="T64" s="60">
        <v>0.2</v>
      </c>
      <c r="U64" s="59">
        <f>+IF(OR($F64="",T64=""),"",$F64*T64)</f>
        <v>517.43999999999994</v>
      </c>
      <c r="V64" s="60"/>
      <c r="W64" s="59" t="str">
        <f>+IF(OR($F64="",V64=""),"",$F64*V64)</f>
        <v/>
      </c>
      <c r="X64" s="95">
        <v>0.18</v>
      </c>
      <c r="Y64" s="59">
        <f>+IF(OR($F64="",X64=""),"",$F64*X64)</f>
        <v>465.69599999999997</v>
      </c>
      <c r="Z64" s="95"/>
      <c r="AA64" s="59" t="str">
        <f>+IF(OR($F64="",Z64=""),"",$F64*Z64)</f>
        <v/>
      </c>
      <c r="AB64" s="95"/>
      <c r="AC64" s="59" t="str">
        <f>+IF(OR($F64="",AB64=""),"",$F64*AB64)</f>
        <v/>
      </c>
      <c r="AD64" s="95"/>
      <c r="AE64" s="59" t="str">
        <f>+IF(OR($F64="",AD64=""),"",$F64*AD64)</f>
        <v/>
      </c>
      <c r="AF64" s="95"/>
      <c r="AG64" s="59" t="str">
        <f>+IF(OR($F64="",AF64=""),"",$F64*AF64)</f>
        <v/>
      </c>
      <c r="AH64" s="95"/>
      <c r="AI64" s="59" t="str">
        <f>+IF(OR($F64="",AH64=""),"",$F64*AH64)</f>
        <v/>
      </c>
      <c r="AJ64" s="60"/>
      <c r="AK64" s="59" t="str">
        <f>+IF(OR($F64="",AJ64=""),"",$F64*AJ64)</f>
        <v/>
      </c>
      <c r="AL64" s="60"/>
      <c r="AM64" s="59" t="str">
        <f>+IF(OR($F64="",AL64=""),"",$F64*AL64)</f>
        <v/>
      </c>
      <c r="AN64" s="60"/>
      <c r="AO64" s="59" t="str">
        <f>+IF(OR($F64="",AN64=""),"",$F64*AN64)</f>
        <v/>
      </c>
      <c r="AP64" s="60"/>
      <c r="AQ64" s="59" t="str">
        <f>+IF(OR($F64="",AP64=""),"",$F64*AP64)</f>
        <v/>
      </c>
      <c r="AR64" s="60"/>
      <c r="AS64" s="59" t="str">
        <f>+IF(OR($F64="",AR64=""),"",$F64*AR64)</f>
        <v/>
      </c>
      <c r="AT64" s="60"/>
      <c r="AU64" s="59" t="str">
        <f>+IF(OR($F64="",AT64=""),"",$F64*AT64)</f>
        <v/>
      </c>
      <c r="AV64" s="60"/>
      <c r="AW64" s="59" t="str">
        <f>+IF(OR($F64="",AV64=""),"",$F64*AV64)</f>
        <v/>
      </c>
      <c r="AX64" s="60"/>
      <c r="AY64" s="59" t="str">
        <f>+IF(OR($F64="",AX64=""),"",$F64*AX64)</f>
        <v/>
      </c>
      <c r="AZ64" s="60"/>
      <c r="BA64" s="59" t="str">
        <f>+IF(OR($F64="",AZ64=""),"",$F64*AZ64)</f>
        <v/>
      </c>
      <c r="BB64" s="60"/>
      <c r="BC64" s="59" t="str">
        <f>+IF(OR($F64="",BB64=""),"",$F64*BB64)</f>
        <v/>
      </c>
      <c r="BD64" s="61">
        <f>+SUM(BI64:CF64)</f>
        <v>1</v>
      </c>
      <c r="BE64" s="59">
        <f>+IF(OR($F64="",BD64=""),"",$F64*BD64)</f>
        <v>2587.1999999999998</v>
      </c>
      <c r="BF64" s="61">
        <f>+D64-BD64</f>
        <v>0</v>
      </c>
      <c r="BG64" s="59">
        <f>+IF(OR($F64="",BF64=""),"",$F64*BF64)</f>
        <v>0</v>
      </c>
      <c r="BH64" s="96"/>
      <c r="BI64" s="1">
        <f>+H64</f>
        <v>0</v>
      </c>
      <c r="BJ64" s="1">
        <f>+J64</f>
        <v>0</v>
      </c>
      <c r="BK64" s="1">
        <f>+L64</f>
        <v>0</v>
      </c>
      <c r="BL64" s="1">
        <f>+N64</f>
        <v>0</v>
      </c>
      <c r="BM64" s="1">
        <f>+P64</f>
        <v>0.42</v>
      </c>
      <c r="BN64" s="1">
        <f>+R64</f>
        <v>0.2</v>
      </c>
      <c r="BO64" s="1">
        <f>+T64</f>
        <v>0.2</v>
      </c>
      <c r="BP64" s="1">
        <f>+V64</f>
        <v>0</v>
      </c>
      <c r="BQ64" s="1">
        <f>+X64</f>
        <v>0.18</v>
      </c>
      <c r="BR64" s="1">
        <f>+Z64</f>
        <v>0</v>
      </c>
      <c r="BS64" s="1">
        <f>+AB64</f>
        <v>0</v>
      </c>
      <c r="BT64" s="1">
        <f>+AD64</f>
        <v>0</v>
      </c>
      <c r="BU64" s="1">
        <f>+AF64</f>
        <v>0</v>
      </c>
      <c r="BV64" s="1">
        <f>+AH64</f>
        <v>0</v>
      </c>
      <c r="BW64" s="1">
        <f>+AJ64</f>
        <v>0</v>
      </c>
      <c r="BX64" s="1">
        <f>+AL64</f>
        <v>0</v>
      </c>
      <c r="BY64" s="1">
        <f>+AN64</f>
        <v>0</v>
      </c>
      <c r="BZ64" s="1">
        <f>+AP64</f>
        <v>0</v>
      </c>
      <c r="CA64" s="1">
        <f>+AR64</f>
        <v>0</v>
      </c>
      <c r="CB64" s="1">
        <f>+AT64</f>
        <v>0</v>
      </c>
      <c r="CC64" s="1">
        <f>+AV64</f>
        <v>0</v>
      </c>
      <c r="CD64" s="1">
        <f>+AX64</f>
        <v>0</v>
      </c>
      <c r="CE64" s="1">
        <f>+AZ64</f>
        <v>0</v>
      </c>
      <c r="CF64" s="1">
        <f>+BB64</f>
        <v>0</v>
      </c>
    </row>
    <row r="65" spans="2:84" s="6" customFormat="1" ht="18" customHeight="1">
      <c r="B65" s="62" t="s">
        <v>750</v>
      </c>
      <c r="C65" s="25" t="s">
        <v>751</v>
      </c>
      <c r="D65" s="49"/>
      <c r="E65" s="85"/>
      <c r="F65" s="50"/>
      <c r="G65" s="63">
        <f>+SUM(G66:G67)</f>
        <v>912.78</v>
      </c>
      <c r="H65" s="51"/>
      <c r="I65" s="52" t="str">
        <f>+IF(SUM(I66:I67)=0,"",SUM(I66:I67))</f>
        <v/>
      </c>
      <c r="J65" s="53"/>
      <c r="K65" s="52" t="str">
        <f>+IF(SUM(K66:K67)=0,"",SUM(K66:K67))</f>
        <v/>
      </c>
      <c r="L65" s="53"/>
      <c r="M65" s="52" t="str">
        <f>+IF(SUM(M66:M67)=0,"",SUM(M66:M67))</f>
        <v/>
      </c>
      <c r="N65" s="53"/>
      <c r="O65" s="52" t="str">
        <f>+IF(SUM(O66:O67)=0,"",SUM(O66:O67))</f>
        <v/>
      </c>
      <c r="P65" s="53"/>
      <c r="Q65" s="52">
        <f>+IF(SUM(Q66:Q67)=0,"",SUM(Q66:Q67))</f>
        <v>912.78</v>
      </c>
      <c r="R65" s="53"/>
      <c r="S65" s="52" t="str">
        <f>+IF(SUM(S66:S67)=0,"",SUM(S66:S67))</f>
        <v/>
      </c>
      <c r="T65" s="53"/>
      <c r="U65" s="52" t="str">
        <f>+IF(SUM(U66:U67)=0,"",SUM(U66:U67))</f>
        <v/>
      </c>
      <c r="V65" s="53"/>
      <c r="W65" s="52" t="str">
        <f>+IF(SUM(W66:W67)=0,"",SUM(W66:W67))</f>
        <v/>
      </c>
      <c r="X65" s="91"/>
      <c r="Y65" s="52" t="str">
        <f>+IF(SUM(Y66:Y67)=0,"",SUM(Y66:Y67))</f>
        <v/>
      </c>
      <c r="Z65" s="91"/>
      <c r="AA65" s="52" t="str">
        <f>+IF(SUM(AA66:AA67)=0,"",SUM(AA66:AA67))</f>
        <v/>
      </c>
      <c r="AB65" s="91"/>
      <c r="AC65" s="52" t="str">
        <f>+IF(SUM(AC66:AC67)=0,"",SUM(AC66:AC67))</f>
        <v/>
      </c>
      <c r="AD65" s="91"/>
      <c r="AE65" s="52" t="str">
        <f>+IF(SUM(AE66:AE67)=0,"",SUM(AE66:AE67))</f>
        <v/>
      </c>
      <c r="AF65" s="91"/>
      <c r="AG65" s="52" t="str">
        <f>+IF(SUM(AG66:AG67)=0,"",SUM(AG66:AG67))</f>
        <v/>
      </c>
      <c r="AH65" s="91"/>
      <c r="AI65" s="52" t="str">
        <f>+IF(SUM(AI66:AI67)=0,"",SUM(AI66:AI67))</f>
        <v/>
      </c>
      <c r="AJ65" s="53"/>
      <c r="AK65" s="52" t="str">
        <f>+IF(SUM(AK66:AK67)=0,"",SUM(AK66:AK67))</f>
        <v/>
      </c>
      <c r="AL65" s="53"/>
      <c r="AM65" s="52" t="str">
        <f>+IF(SUM(AM66:AM67)=0,"",SUM(AM66:AM67))</f>
        <v/>
      </c>
      <c r="AN65" s="53"/>
      <c r="AO65" s="52" t="str">
        <f>+IF(SUM(AO66:AO67)=0,"",SUM(AO66:AO67))</f>
        <v/>
      </c>
      <c r="AP65" s="53"/>
      <c r="AQ65" s="52" t="str">
        <f>+IF(SUM(AQ66:AQ67)=0,"",SUM(AQ66:AQ67))</f>
        <v/>
      </c>
      <c r="AR65" s="53"/>
      <c r="AS65" s="52" t="str">
        <f>+IF(SUM(AS66:AS67)=0,"",SUM(AS66:AS67))</f>
        <v/>
      </c>
      <c r="AT65" s="53"/>
      <c r="AU65" s="52" t="str">
        <f>+IF(SUM(AU66:AU67)=0,"",SUM(AU66:AU67))</f>
        <v/>
      </c>
      <c r="AV65" s="53"/>
      <c r="AW65" s="52" t="str">
        <f>+IF(SUM(AW66:AW67)=0,"",SUM(AW66:AW67))</f>
        <v/>
      </c>
      <c r="AX65" s="53"/>
      <c r="AY65" s="52" t="str">
        <f>+IF(SUM(AY66:AY67)=0,"",SUM(AY66:AY67))</f>
        <v/>
      </c>
      <c r="AZ65" s="53"/>
      <c r="BA65" s="52" t="str">
        <f>+IF(SUM(BA66:BA67)=0,"",SUM(BA66:BA67))</f>
        <v/>
      </c>
      <c r="BB65" s="53"/>
      <c r="BC65" s="52" t="str">
        <f>+IF(SUM(BC66:BC67)=0,"",SUM(BC66:BC67))</f>
        <v/>
      </c>
      <c r="BD65" s="54"/>
      <c r="BE65" s="52">
        <f>+SUM(BE66:BE67)</f>
        <v>912.78</v>
      </c>
      <c r="BF65" s="54"/>
      <c r="BG65" s="52">
        <f>+SUM(BG66:BG67)</f>
        <v>0</v>
      </c>
      <c r="BH65" s="96"/>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row>
    <row r="66" spans="2:84" ht="33.75" outlineLevel="1">
      <c r="B66" s="19"/>
      <c r="C66" s="26" t="s">
        <v>802</v>
      </c>
      <c r="D66" s="55">
        <v>3</v>
      </c>
      <c r="E66" s="88" t="s">
        <v>819</v>
      </c>
      <c r="F66" s="56">
        <v>227.04</v>
      </c>
      <c r="G66" s="57">
        <f>+D66*F66</f>
        <v>681.12</v>
      </c>
      <c r="H66" s="28"/>
      <c r="I66" s="59" t="str">
        <f>+IF(OR($F66="",H66=""),"",$F66*H66)</f>
        <v/>
      </c>
      <c r="J66" s="60"/>
      <c r="K66" s="59" t="str">
        <f>+IF(OR($F66="",J66=""),"",$F66*J66)</f>
        <v/>
      </c>
      <c r="L66" s="60"/>
      <c r="M66" s="59" t="str">
        <f>+IF(OR($F66="",L66=""),"",$F66*L66)</f>
        <v/>
      </c>
      <c r="N66" s="60"/>
      <c r="O66" s="59" t="str">
        <f>+IF(OR($F66="",N66=""),"",$F66*N66)</f>
        <v/>
      </c>
      <c r="P66" s="60">
        <v>3</v>
      </c>
      <c r="Q66" s="59">
        <f>+IF(OR($F66="",P66=""),"",$F66*P66)</f>
        <v>681.12</v>
      </c>
      <c r="R66" s="60"/>
      <c r="S66" s="59" t="str">
        <f>+IF(OR($F66="",R66=""),"",$F66*R66)</f>
        <v/>
      </c>
      <c r="T66" s="60"/>
      <c r="U66" s="59" t="str">
        <f>+IF(OR($F66="",T66=""),"",$F66*T66)</f>
        <v/>
      </c>
      <c r="V66" s="60"/>
      <c r="W66" s="59" t="str">
        <f>+IF(OR($F66="",V66=""),"",$F66*V66)</f>
        <v/>
      </c>
      <c r="X66" s="95"/>
      <c r="Y66" s="59" t="str">
        <f>+IF(OR($F66="",X66=""),"",$F66*X66)</f>
        <v/>
      </c>
      <c r="Z66" s="95"/>
      <c r="AA66" s="59" t="str">
        <f>+IF(OR($F66="",Z66=""),"",$F66*Z66)</f>
        <v/>
      </c>
      <c r="AB66" s="95"/>
      <c r="AC66" s="59" t="str">
        <f>+IF(OR($F66="",AB66=""),"",$F66*AB66)</f>
        <v/>
      </c>
      <c r="AD66" s="95"/>
      <c r="AE66" s="59" t="str">
        <f>+IF(OR($F66="",AD66=""),"",$F66*AD66)</f>
        <v/>
      </c>
      <c r="AF66" s="95"/>
      <c r="AG66" s="59" t="str">
        <f>+IF(OR($F66="",AF66=""),"",$F66*AF66)</f>
        <v/>
      </c>
      <c r="AH66" s="95"/>
      <c r="AI66" s="59" t="str">
        <f>+IF(OR($F66="",AH66=""),"",$F66*AH66)</f>
        <v/>
      </c>
      <c r="AJ66" s="60"/>
      <c r="AK66" s="59" t="str">
        <f>+IF(OR($F66="",AJ66=""),"",$F66*AJ66)</f>
        <v/>
      </c>
      <c r="AL66" s="60"/>
      <c r="AM66" s="59" t="str">
        <f>+IF(OR($F66="",AL66=""),"",$F66*AL66)</f>
        <v/>
      </c>
      <c r="AN66" s="60"/>
      <c r="AO66" s="59" t="str">
        <f>+IF(OR($F66="",AN66=""),"",$F66*AN66)</f>
        <v/>
      </c>
      <c r="AP66" s="60"/>
      <c r="AQ66" s="59" t="str">
        <f>+IF(OR($F66="",AP66=""),"",$F66*AP66)</f>
        <v/>
      </c>
      <c r="AR66" s="60"/>
      <c r="AS66" s="59" t="str">
        <f>+IF(OR($F66="",AR66=""),"",$F66*AR66)</f>
        <v/>
      </c>
      <c r="AT66" s="60"/>
      <c r="AU66" s="59" t="str">
        <f>+IF(OR($F66="",AT66=""),"",$F66*AT66)</f>
        <v/>
      </c>
      <c r="AV66" s="60"/>
      <c r="AW66" s="59" t="str">
        <f>+IF(OR($F66="",AV66=""),"",$F66*AV66)</f>
        <v/>
      </c>
      <c r="AX66" s="60"/>
      <c r="AY66" s="59" t="str">
        <f>+IF(OR($F66="",AX66=""),"",$F66*AX66)</f>
        <v/>
      </c>
      <c r="AZ66" s="60"/>
      <c r="BA66" s="59" t="str">
        <f>+IF(OR($F66="",AZ66=""),"",$F66*AZ66)</f>
        <v/>
      </c>
      <c r="BB66" s="60"/>
      <c r="BC66" s="59" t="str">
        <f>+IF(OR($F66="",BB66=""),"",$F66*BB66)</f>
        <v/>
      </c>
      <c r="BD66" s="61">
        <f>+SUM(BI66:CF66)</f>
        <v>3</v>
      </c>
      <c r="BE66" s="59">
        <f>+IF(OR($F66="",BD66=""),"",$F66*BD66)</f>
        <v>681.12</v>
      </c>
      <c r="BF66" s="61">
        <f>+D66-BD66</f>
        <v>0</v>
      </c>
      <c r="BG66" s="59">
        <f>+IF(OR($F66="",BF66=""),"",$F66*BF66)</f>
        <v>0</v>
      </c>
      <c r="BH66" s="96"/>
      <c r="BI66" s="1">
        <f>+H66</f>
        <v>0</v>
      </c>
      <c r="BJ66" s="1">
        <f>+J66</f>
        <v>0</v>
      </c>
      <c r="BK66" s="1">
        <f>+L66</f>
        <v>0</v>
      </c>
      <c r="BL66" s="1">
        <f>+N66</f>
        <v>0</v>
      </c>
      <c r="BM66" s="1">
        <f>+P66</f>
        <v>3</v>
      </c>
      <c r="BN66" s="1">
        <f>+R66</f>
        <v>0</v>
      </c>
      <c r="BO66" s="1">
        <f>+T66</f>
        <v>0</v>
      </c>
      <c r="BP66" s="1">
        <f>+V66</f>
        <v>0</v>
      </c>
      <c r="BQ66" s="1">
        <f>+X66</f>
        <v>0</v>
      </c>
      <c r="BR66" s="1">
        <f>+Z66</f>
        <v>0</v>
      </c>
      <c r="BS66" s="1">
        <f>+AB66</f>
        <v>0</v>
      </c>
      <c r="BT66" s="1">
        <f>+AD66</f>
        <v>0</v>
      </c>
      <c r="BU66" s="1">
        <f>+AF66</f>
        <v>0</v>
      </c>
      <c r="BV66" s="1">
        <f>+AH66</f>
        <v>0</v>
      </c>
      <c r="BW66" s="1">
        <f>+AJ66</f>
        <v>0</v>
      </c>
      <c r="BX66" s="1">
        <f>+AL66</f>
        <v>0</v>
      </c>
      <c r="BY66" s="1">
        <f>+AN66</f>
        <v>0</v>
      </c>
      <c r="BZ66" s="1">
        <f>+AP66</f>
        <v>0</v>
      </c>
      <c r="CA66" s="1">
        <f>+AR66</f>
        <v>0</v>
      </c>
      <c r="CB66" s="1">
        <f>+AT66</f>
        <v>0</v>
      </c>
      <c r="CC66" s="1">
        <f>+AV66</f>
        <v>0</v>
      </c>
      <c r="CD66" s="1">
        <f>+AX66</f>
        <v>0</v>
      </c>
      <c r="CE66" s="1">
        <f>+AZ66</f>
        <v>0</v>
      </c>
      <c r="CF66" s="1">
        <f>+BB66</f>
        <v>0</v>
      </c>
    </row>
    <row r="67" spans="2:84" ht="30.75" customHeight="1" outlineLevel="1">
      <c r="C67" s="27" t="s">
        <v>773</v>
      </c>
      <c r="D67" s="55">
        <v>1</v>
      </c>
      <c r="E67" s="88" t="s">
        <v>819</v>
      </c>
      <c r="F67" s="56">
        <v>231.66</v>
      </c>
      <c r="G67" s="57">
        <f>+D67*F67</f>
        <v>231.66</v>
      </c>
      <c r="H67" s="28"/>
      <c r="I67" s="59" t="str">
        <f t="shared" ref="I67:BG67" si="299">+IF(OR($F67="",H67=""),"",$F67*H67)</f>
        <v/>
      </c>
      <c r="J67" s="64"/>
      <c r="K67" s="59" t="str">
        <f t="shared" si="299"/>
        <v/>
      </c>
      <c r="L67" s="64"/>
      <c r="M67" s="59" t="str">
        <f t="shared" ref="M67" si="300">+IF(OR($F67="",L67=""),"",$F67*L67)</f>
        <v/>
      </c>
      <c r="N67" s="64"/>
      <c r="O67" s="59" t="str">
        <f t="shared" ref="O67" si="301">+IF(OR($F67="",N67=""),"",$F67*N67)</f>
        <v/>
      </c>
      <c r="P67" s="64">
        <v>1</v>
      </c>
      <c r="Q67" s="59">
        <f t="shared" ref="Q67" si="302">+IF(OR($F67="",P67=""),"",$F67*P67)</f>
        <v>231.66</v>
      </c>
      <c r="R67" s="64"/>
      <c r="S67" s="59" t="str">
        <f t="shared" ref="S67" si="303">+IF(OR($F67="",R67=""),"",$F67*R67)</f>
        <v/>
      </c>
      <c r="T67" s="64"/>
      <c r="U67" s="59" t="str">
        <f t="shared" ref="U67" si="304">+IF(OR($F67="",T67=""),"",$F67*T67)</f>
        <v/>
      </c>
      <c r="V67" s="64"/>
      <c r="W67" s="59" t="str">
        <f t="shared" ref="W67" si="305">+IF(OR($F67="",V67=""),"",$F67*V67)</f>
        <v/>
      </c>
      <c r="X67" s="94"/>
      <c r="Y67" s="59" t="str">
        <f t="shared" ref="Y67" si="306">+IF(OR($F67="",X67=""),"",$F67*X67)</f>
        <v/>
      </c>
      <c r="Z67" s="94"/>
      <c r="AA67" s="59" t="str">
        <f t="shared" ref="AA67" si="307">+IF(OR($F67="",Z67=""),"",$F67*Z67)</f>
        <v/>
      </c>
      <c r="AB67" s="94"/>
      <c r="AC67" s="59" t="str">
        <f t="shared" ref="AC67" si="308">+IF(OR($F67="",AB67=""),"",$F67*AB67)</f>
        <v/>
      </c>
      <c r="AD67" s="94"/>
      <c r="AE67" s="59" t="str">
        <f t="shared" ref="AE67" si="309">+IF(OR($F67="",AD67=""),"",$F67*AD67)</f>
        <v/>
      </c>
      <c r="AF67" s="94"/>
      <c r="AG67" s="59" t="str">
        <f t="shared" ref="AG67:BC67" si="310">+IF(OR($F67="",AF67=""),"",$F67*AF67)</f>
        <v/>
      </c>
      <c r="AH67" s="94"/>
      <c r="AI67" s="59" t="str">
        <f t="shared" si="310"/>
        <v/>
      </c>
      <c r="AJ67" s="64"/>
      <c r="AK67" s="59" t="str">
        <f t="shared" si="310"/>
        <v/>
      </c>
      <c r="AL67" s="64"/>
      <c r="AM67" s="59" t="str">
        <f t="shared" si="310"/>
        <v/>
      </c>
      <c r="AN67" s="64"/>
      <c r="AO67" s="59" t="str">
        <f t="shared" si="310"/>
        <v/>
      </c>
      <c r="AP67" s="64"/>
      <c r="AQ67" s="59" t="str">
        <f t="shared" si="310"/>
        <v/>
      </c>
      <c r="AR67" s="64"/>
      <c r="AS67" s="59" t="str">
        <f t="shared" si="310"/>
        <v/>
      </c>
      <c r="AT67" s="64"/>
      <c r="AU67" s="59" t="str">
        <f t="shared" si="310"/>
        <v/>
      </c>
      <c r="AV67" s="64"/>
      <c r="AW67" s="59" t="str">
        <f t="shared" si="310"/>
        <v/>
      </c>
      <c r="AX67" s="64"/>
      <c r="AY67" s="59" t="str">
        <f t="shared" si="310"/>
        <v/>
      </c>
      <c r="AZ67" s="64"/>
      <c r="BA67" s="59" t="str">
        <f t="shared" si="310"/>
        <v/>
      </c>
      <c r="BB67" s="64"/>
      <c r="BC67" s="59" t="str">
        <f t="shared" si="310"/>
        <v/>
      </c>
      <c r="BD67" s="61">
        <f t="shared" ref="BD67" si="311">+SUM(BI67:CF67)</f>
        <v>1</v>
      </c>
      <c r="BE67" s="59">
        <f t="shared" si="299"/>
        <v>231.66</v>
      </c>
      <c r="BF67" s="61">
        <f>+D67-BD67</f>
        <v>0</v>
      </c>
      <c r="BG67" s="59">
        <f t="shared" si="299"/>
        <v>0</v>
      </c>
      <c r="BH67" s="96"/>
      <c r="BI67" s="1">
        <f>+H67</f>
        <v>0</v>
      </c>
      <c r="BJ67" s="1">
        <f>+J67</f>
        <v>0</v>
      </c>
      <c r="BK67" s="1">
        <f>+L67</f>
        <v>0</v>
      </c>
      <c r="BL67" s="1">
        <f>+N67</f>
        <v>0</v>
      </c>
      <c r="BM67" s="1">
        <f>+P67</f>
        <v>1</v>
      </c>
      <c r="BN67" s="1">
        <f>+R67</f>
        <v>0</v>
      </c>
      <c r="BO67" s="1">
        <f>+T67</f>
        <v>0</v>
      </c>
      <c r="BP67" s="1">
        <f>+V67</f>
        <v>0</v>
      </c>
      <c r="BQ67" s="1">
        <f>+X67</f>
        <v>0</v>
      </c>
      <c r="BR67" s="1">
        <f>+Z67</f>
        <v>0</v>
      </c>
      <c r="BS67" s="1">
        <f>+AB67</f>
        <v>0</v>
      </c>
      <c r="BT67" s="1">
        <f>+AD67</f>
        <v>0</v>
      </c>
      <c r="BU67" s="1">
        <f>+AF67</f>
        <v>0</v>
      </c>
      <c r="BV67" s="1">
        <f>+AH67</f>
        <v>0</v>
      </c>
      <c r="BW67" s="1">
        <f>+AJ67</f>
        <v>0</v>
      </c>
      <c r="BX67" s="1">
        <f>+AL67</f>
        <v>0</v>
      </c>
      <c r="BY67" s="1">
        <f>+AN67</f>
        <v>0</v>
      </c>
      <c r="BZ67" s="1">
        <f>+AP67</f>
        <v>0</v>
      </c>
      <c r="CA67" s="1">
        <f>+AR67</f>
        <v>0</v>
      </c>
      <c r="CB67" s="1">
        <f>+AT67</f>
        <v>0</v>
      </c>
      <c r="CC67" s="1">
        <f>+AV67</f>
        <v>0</v>
      </c>
      <c r="CD67" s="1">
        <f>+AX67</f>
        <v>0</v>
      </c>
      <c r="CE67" s="1">
        <f>+AZ67</f>
        <v>0</v>
      </c>
      <c r="CF67" s="1">
        <f>+BB67</f>
        <v>0</v>
      </c>
    </row>
    <row r="68" spans="2:84" s="6" customFormat="1" ht="18" customHeight="1">
      <c r="B68" s="62" t="s">
        <v>762</v>
      </c>
      <c r="C68" s="25" t="s">
        <v>752</v>
      </c>
      <c r="D68" s="49"/>
      <c r="E68" s="85"/>
      <c r="F68" s="50"/>
      <c r="G68" s="63">
        <f>+SUM(G69:G104)</f>
        <v>13049.450000000004</v>
      </c>
      <c r="H68" s="51"/>
      <c r="I68" s="52" t="str">
        <f>+IF(SUM(I69:I104)=0,"",SUM(I69:I104))</f>
        <v/>
      </c>
      <c r="J68" s="53"/>
      <c r="K68" s="52" t="str">
        <f>+IF(SUM(K69:K104)=0,"",SUM(K69:K104))</f>
        <v/>
      </c>
      <c r="L68" s="53"/>
      <c r="M68" s="52" t="str">
        <f>+IF(SUM(M69:M104)=0,"",SUM(M69:M104))</f>
        <v/>
      </c>
      <c r="N68" s="53"/>
      <c r="O68" s="52" t="str">
        <f>+IF(SUM(O69:O104)=0,"",SUM(O69:O104))</f>
        <v/>
      </c>
      <c r="P68" s="53"/>
      <c r="Q68" s="52" t="str">
        <f>+IF(SUM(Q69:Q104)=0,"",SUM(Q69:Q104))</f>
        <v/>
      </c>
      <c r="R68" s="53"/>
      <c r="S68" s="52" t="str">
        <f>+IF(SUM(S69:S104)=0,"",SUM(S69:S104))</f>
        <v/>
      </c>
      <c r="T68" s="53"/>
      <c r="U68" s="52" t="str">
        <f>+IF(SUM(U69:U104)=0,"",SUM(U69:U104))</f>
        <v/>
      </c>
      <c r="V68" s="53"/>
      <c r="W68" s="52">
        <f>+IF(SUM(W69:W104)=0,"",SUM(W69:W104))</f>
        <v>-121.37150000000202</v>
      </c>
      <c r="X68" s="91"/>
      <c r="Y68" s="52">
        <f>+IF(SUM(Y69:Y104)=0,"",SUM(Y69:Y104))</f>
        <v>8605.9115000000002</v>
      </c>
      <c r="Z68" s="91"/>
      <c r="AA68" s="52">
        <f>+IF(SUM(AA69:AA104)=0,"",SUM(AA69:AA104))</f>
        <v>2966.4700000000003</v>
      </c>
      <c r="AB68" s="91"/>
      <c r="AC68" s="52">
        <f>+IF(SUM(AC69:AC104)=0,"",SUM(AC69:AC104))</f>
        <v>1593.92</v>
      </c>
      <c r="AD68" s="91"/>
      <c r="AE68" s="52">
        <f>+IF(SUM(AE69:AE104)=0,"",SUM(AE69:AE104))</f>
        <v>963.24999999999989</v>
      </c>
      <c r="AF68" s="91"/>
      <c r="AG68" s="52">
        <f>+IF(SUM(AG69:AG104)=0,"",SUM(AG69:AG104))</f>
        <v>-958.72999999999968</v>
      </c>
      <c r="AH68" s="91"/>
      <c r="AI68" s="52" t="str">
        <f>+IF(SUM(AI69:AI104)=0,"",SUM(AI69:AI104))</f>
        <v/>
      </c>
      <c r="AJ68" s="53"/>
      <c r="AK68" s="52" t="str">
        <f>+IF(SUM(AK69:AK104)=0,"",SUM(AK69:AK104))</f>
        <v/>
      </c>
      <c r="AL68" s="53"/>
      <c r="AM68" s="52" t="str">
        <f>+IF(SUM(AM69:AM104)=0,"",SUM(AM69:AM104))</f>
        <v/>
      </c>
      <c r="AN68" s="53"/>
      <c r="AO68" s="52" t="str">
        <f>+IF(SUM(AO69:AO104)=0,"",SUM(AO69:AO104))</f>
        <v/>
      </c>
      <c r="AP68" s="53"/>
      <c r="AQ68" s="52" t="str">
        <f>+IF(SUM(AQ69:AQ104)=0,"",SUM(AQ69:AQ104))</f>
        <v/>
      </c>
      <c r="AR68" s="53"/>
      <c r="AS68" s="52" t="str">
        <f>+IF(SUM(AS69:AS104)=0,"",SUM(AS69:AS104))</f>
        <v/>
      </c>
      <c r="AT68" s="53"/>
      <c r="AU68" s="52" t="str">
        <f>+IF(SUM(AU69:AU104)=0,"",SUM(AU69:AU104))</f>
        <v/>
      </c>
      <c r="AV68" s="53"/>
      <c r="AW68" s="52" t="str">
        <f>+IF(SUM(AW69:AW104)=0,"",SUM(AW69:AW104))</f>
        <v/>
      </c>
      <c r="AX68" s="53"/>
      <c r="AY68" s="52" t="str">
        <f>+IF(SUM(AY69:AY104)=0,"",SUM(AY69:AY104))</f>
        <v/>
      </c>
      <c r="AZ68" s="53"/>
      <c r="BA68" s="52" t="str">
        <f>+IF(SUM(BA69:BA104)=0,"",SUM(BA69:BA104))</f>
        <v/>
      </c>
      <c r="BB68" s="53"/>
      <c r="BC68" s="52" t="str">
        <f>+IF(SUM(BC69:BC104)=0,"",SUM(BC69:BC104))</f>
        <v/>
      </c>
      <c r="BD68" s="54"/>
      <c r="BE68" s="52">
        <f>+SUM(BE69:BE104)</f>
        <v>13049.450000000004</v>
      </c>
      <c r="BF68" s="54"/>
      <c r="BG68" s="52">
        <f>+SUM(BG69:BG104)</f>
        <v>0</v>
      </c>
      <c r="BH68" s="96"/>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row>
    <row r="69" spans="2:84" ht="35.65" customHeight="1" outlineLevel="1">
      <c r="B69" s="19"/>
      <c r="C69" s="26" t="s">
        <v>774</v>
      </c>
      <c r="G69" s="57"/>
      <c r="H69" s="28"/>
      <c r="J69" s="60"/>
      <c r="L69" s="60"/>
      <c r="N69" s="60"/>
      <c r="P69" s="60"/>
      <c r="R69" s="60"/>
      <c r="T69" s="60"/>
      <c r="V69" s="60"/>
      <c r="X69" s="95"/>
      <c r="Z69" s="95"/>
      <c r="AB69" s="95"/>
      <c r="AD69" s="95"/>
      <c r="AF69" s="95"/>
      <c r="AH69" s="95"/>
      <c r="AJ69" s="60"/>
      <c r="AL69" s="60"/>
      <c r="AN69" s="60"/>
      <c r="AP69" s="60"/>
      <c r="AR69" s="60"/>
      <c r="AT69" s="60"/>
      <c r="AV69" s="60"/>
      <c r="AX69" s="60"/>
      <c r="AZ69" s="60"/>
      <c r="BB69" s="60"/>
      <c r="BD69" s="61"/>
      <c r="BF69" s="61"/>
      <c r="BH69" s="96"/>
    </row>
    <row r="70" spans="2:84" ht="16.149999999999999" customHeight="1" outlineLevel="1">
      <c r="C70" s="27" t="s">
        <v>64</v>
      </c>
      <c r="D70" s="55">
        <v>-8</v>
      </c>
      <c r="F70" s="56">
        <v>1184.67</v>
      </c>
      <c r="G70" s="57">
        <f>+D70*F70</f>
        <v>-9477.36</v>
      </c>
      <c r="H70" s="28"/>
      <c r="I70" s="59" t="str">
        <f t="shared" ref="I70:I93" si="312">+IF(OR($F70="",H70=""),"",$F70*H70)</f>
        <v/>
      </c>
      <c r="J70" s="64"/>
      <c r="K70" s="59" t="str">
        <f t="shared" ref="K70:K93" si="313">+IF(OR($F70="",J70=""),"",$F70*J70)</f>
        <v/>
      </c>
      <c r="L70" s="64"/>
      <c r="M70" s="59" t="str">
        <f t="shared" ref="M70:M73" si="314">+IF(OR($F70="",L70=""),"",$F70*L70)</f>
        <v/>
      </c>
      <c r="N70" s="64"/>
      <c r="O70" s="59" t="str">
        <f t="shared" ref="O70:O73" si="315">+IF(OR($F70="",N70=""),"",$F70*N70)</f>
        <v/>
      </c>
      <c r="P70" s="64"/>
      <c r="Q70" s="59" t="str">
        <f t="shared" ref="Q70:Q73" si="316">+IF(OR($F70="",P70=""),"",$F70*P70)</f>
        <v/>
      </c>
      <c r="R70" s="64"/>
      <c r="S70" s="59" t="str">
        <f t="shared" ref="S70:S73" si="317">+IF(OR($F70="",R70=""),"",$F70*R70)</f>
        <v/>
      </c>
      <c r="T70" s="64"/>
      <c r="U70" s="59" t="str">
        <f t="shared" ref="U70:U73" si="318">+IF(OR($F70="",T70=""),"",$F70*T70)</f>
        <v/>
      </c>
      <c r="V70" s="89">
        <f>0.85*D70</f>
        <v>-6.8</v>
      </c>
      <c r="W70" s="59">
        <f t="shared" ref="W70:W73" si="319">+IF(OR($F70="",V70=""),"",$F70*V70)</f>
        <v>-8055.7560000000003</v>
      </c>
      <c r="X70" s="94">
        <v>-1.2</v>
      </c>
      <c r="Y70" s="59">
        <f t="shared" ref="Y70:Y73" si="320">+IF(OR($F70="",X70=""),"",$F70*X70)</f>
        <v>-1421.604</v>
      </c>
      <c r="Z70" s="94"/>
      <c r="AA70" s="59" t="str">
        <f t="shared" ref="AA70:AA73" si="321">+IF(OR($F70="",Z70=""),"",$F70*Z70)</f>
        <v/>
      </c>
      <c r="AB70" s="94"/>
      <c r="AC70" s="59" t="str">
        <f t="shared" ref="AC70:AC73" si="322">+IF(OR($F70="",AB70=""),"",$F70*AB70)</f>
        <v/>
      </c>
      <c r="AD70" s="94"/>
      <c r="AE70" s="59" t="str">
        <f t="shared" ref="AE70:AE73" si="323">+IF(OR($F70="",AD70=""),"",$F70*AD70)</f>
        <v/>
      </c>
      <c r="AF70" s="94"/>
      <c r="AG70" s="59" t="str">
        <f t="shared" ref="AG70:BC73" si="324">+IF(OR($F70="",AF70=""),"",$F70*AF70)</f>
        <v/>
      </c>
      <c r="AH70" s="94"/>
      <c r="AI70" s="59" t="str">
        <f t="shared" si="324"/>
        <v/>
      </c>
      <c r="AJ70" s="64"/>
      <c r="AK70" s="59" t="str">
        <f t="shared" si="324"/>
        <v/>
      </c>
      <c r="AL70" s="64"/>
      <c r="AM70" s="59" t="str">
        <f t="shared" si="324"/>
        <v/>
      </c>
      <c r="AN70" s="64"/>
      <c r="AO70" s="59" t="str">
        <f t="shared" si="324"/>
        <v/>
      </c>
      <c r="AP70" s="64"/>
      <c r="AQ70" s="59" t="str">
        <f t="shared" si="324"/>
        <v/>
      </c>
      <c r="AR70" s="64"/>
      <c r="AS70" s="59" t="str">
        <f t="shared" si="324"/>
        <v/>
      </c>
      <c r="AT70" s="64"/>
      <c r="AU70" s="59" t="str">
        <f t="shared" si="324"/>
        <v/>
      </c>
      <c r="AV70" s="64"/>
      <c r="AW70" s="59" t="str">
        <f t="shared" si="324"/>
        <v/>
      </c>
      <c r="AX70" s="64"/>
      <c r="AY70" s="59" t="str">
        <f t="shared" si="324"/>
        <v/>
      </c>
      <c r="AZ70" s="64"/>
      <c r="BA70" s="59" t="str">
        <f t="shared" si="324"/>
        <v/>
      </c>
      <c r="BB70" s="64"/>
      <c r="BC70" s="59" t="str">
        <f t="shared" si="324"/>
        <v/>
      </c>
      <c r="BD70" s="61">
        <f t="shared" ref="BD70:BD93" si="325">+SUM(BI70:CF70)</f>
        <v>-8</v>
      </c>
      <c r="BE70" s="59">
        <f t="shared" ref="BE70:BE93" si="326">+IF(OR($F70="",BD70=""),"",$F70*BD70)</f>
        <v>-9477.36</v>
      </c>
      <c r="BF70" s="61">
        <f>+D70-BD70</f>
        <v>0</v>
      </c>
      <c r="BG70" s="59">
        <f t="shared" ref="BG70:BG93" si="327">+IF(OR($F70="",BF70=""),"",$F70*BF70)</f>
        <v>0</v>
      </c>
      <c r="BH70" s="96"/>
      <c r="BI70" s="1">
        <f>+H70</f>
        <v>0</v>
      </c>
      <c r="BJ70" s="1">
        <f>+J70</f>
        <v>0</v>
      </c>
      <c r="BK70" s="1">
        <f>+L70</f>
        <v>0</v>
      </c>
      <c r="BL70" s="1">
        <f>+N70</f>
        <v>0</v>
      </c>
      <c r="BM70" s="1">
        <f>+P70</f>
        <v>0</v>
      </c>
      <c r="BN70" s="1">
        <f>+R70</f>
        <v>0</v>
      </c>
      <c r="BO70" s="1">
        <f>+T70</f>
        <v>0</v>
      </c>
      <c r="BP70" s="1">
        <f>+V70</f>
        <v>-6.8</v>
      </c>
      <c r="BQ70" s="1">
        <f>+X70</f>
        <v>-1.2</v>
      </c>
      <c r="BR70" s="1">
        <f>+Z70</f>
        <v>0</v>
      </c>
      <c r="BS70" s="1">
        <f>+AB70</f>
        <v>0</v>
      </c>
      <c r="BT70" s="1">
        <f>+AD70</f>
        <v>0</v>
      </c>
      <c r="BU70" s="1">
        <f>+AF70</f>
        <v>0</v>
      </c>
      <c r="BV70" s="1">
        <f>+AH70</f>
        <v>0</v>
      </c>
      <c r="BW70" s="1">
        <f>+AJ70</f>
        <v>0</v>
      </c>
      <c r="BX70" s="1">
        <f>+AL70</f>
        <v>0</v>
      </c>
      <c r="BY70" s="1">
        <f>+AN70</f>
        <v>0</v>
      </c>
      <c r="BZ70" s="1">
        <f>+AP70</f>
        <v>0</v>
      </c>
      <c r="CA70" s="1">
        <f>+AR70</f>
        <v>0</v>
      </c>
      <c r="CB70" s="1">
        <f>+AT70</f>
        <v>0</v>
      </c>
      <c r="CC70" s="1">
        <f>+AV70</f>
        <v>0</v>
      </c>
      <c r="CD70" s="1">
        <f>+AX70</f>
        <v>0</v>
      </c>
      <c r="CE70" s="1">
        <f>+AZ70</f>
        <v>0</v>
      </c>
      <c r="CF70" s="1">
        <f>+BB70</f>
        <v>0</v>
      </c>
    </row>
    <row r="71" spans="2:84" ht="16.149999999999999" customHeight="1" outlineLevel="1">
      <c r="C71" s="27" t="s">
        <v>65</v>
      </c>
      <c r="D71" s="55">
        <v>-1</v>
      </c>
      <c r="F71" s="56">
        <v>1290.25</v>
      </c>
      <c r="G71" s="57">
        <f>+D71*F71</f>
        <v>-1290.25</v>
      </c>
      <c r="H71" s="28"/>
      <c r="I71" s="59" t="str">
        <f t="shared" ref="I71:I88" si="328">+IF(OR($F71="",H71=""),"",$F71*H71)</f>
        <v/>
      </c>
      <c r="J71" s="64"/>
      <c r="K71" s="59" t="str">
        <f t="shared" ref="K71:K88" si="329">+IF(OR($F71="",J71=""),"",$F71*J71)</f>
        <v/>
      </c>
      <c r="L71" s="64"/>
      <c r="M71" s="59" t="str">
        <f t="shared" si="314"/>
        <v/>
      </c>
      <c r="N71" s="64"/>
      <c r="O71" s="59" t="str">
        <f t="shared" si="315"/>
        <v/>
      </c>
      <c r="P71" s="64"/>
      <c r="Q71" s="59" t="str">
        <f t="shared" si="316"/>
        <v/>
      </c>
      <c r="R71" s="64"/>
      <c r="S71" s="59" t="str">
        <f t="shared" si="317"/>
        <v/>
      </c>
      <c r="T71" s="64"/>
      <c r="U71" s="59" t="str">
        <f t="shared" si="318"/>
        <v/>
      </c>
      <c r="V71" s="89">
        <f t="shared" ref="V71:V73" si="330">0.85*D71</f>
        <v>-0.85</v>
      </c>
      <c r="W71" s="59">
        <f t="shared" si="319"/>
        <v>-1096.7124999999999</v>
      </c>
      <c r="X71" s="94">
        <v>-0.15</v>
      </c>
      <c r="Y71" s="59">
        <f t="shared" si="320"/>
        <v>-193.53749999999999</v>
      </c>
      <c r="Z71" s="94"/>
      <c r="AA71" s="59" t="str">
        <f t="shared" si="321"/>
        <v/>
      </c>
      <c r="AB71" s="94"/>
      <c r="AC71" s="59" t="str">
        <f t="shared" si="322"/>
        <v/>
      </c>
      <c r="AD71" s="94"/>
      <c r="AE71" s="59" t="str">
        <f t="shared" si="323"/>
        <v/>
      </c>
      <c r="AF71" s="94"/>
      <c r="AG71" s="59" t="str">
        <f t="shared" si="324"/>
        <v/>
      </c>
      <c r="AH71" s="94"/>
      <c r="AI71" s="59" t="str">
        <f t="shared" si="324"/>
        <v/>
      </c>
      <c r="AJ71" s="64"/>
      <c r="AK71" s="59" t="str">
        <f t="shared" si="324"/>
        <v/>
      </c>
      <c r="AL71" s="64"/>
      <c r="AM71" s="59" t="str">
        <f t="shared" si="324"/>
        <v/>
      </c>
      <c r="AN71" s="64"/>
      <c r="AO71" s="59" t="str">
        <f t="shared" si="324"/>
        <v/>
      </c>
      <c r="AP71" s="64"/>
      <c r="AQ71" s="59" t="str">
        <f t="shared" si="324"/>
        <v/>
      </c>
      <c r="AR71" s="64"/>
      <c r="AS71" s="59" t="str">
        <f t="shared" si="324"/>
        <v/>
      </c>
      <c r="AT71" s="64"/>
      <c r="AU71" s="59" t="str">
        <f t="shared" si="324"/>
        <v/>
      </c>
      <c r="AV71" s="64"/>
      <c r="AW71" s="59" t="str">
        <f t="shared" si="324"/>
        <v/>
      </c>
      <c r="AX71" s="64"/>
      <c r="AY71" s="59" t="str">
        <f t="shared" si="324"/>
        <v/>
      </c>
      <c r="AZ71" s="64"/>
      <c r="BA71" s="59" t="str">
        <f t="shared" si="324"/>
        <v/>
      </c>
      <c r="BB71" s="64"/>
      <c r="BC71" s="59" t="str">
        <f t="shared" si="324"/>
        <v/>
      </c>
      <c r="BD71" s="61">
        <f t="shared" ref="BD71:BD88" si="331">+SUM(BI71:CF71)</f>
        <v>-1</v>
      </c>
      <c r="BE71" s="59">
        <f t="shared" ref="BE71:BE88" si="332">+IF(OR($F71="",BD71=""),"",$F71*BD71)</f>
        <v>-1290.25</v>
      </c>
      <c r="BF71" s="61">
        <f>+D71-BD71</f>
        <v>0</v>
      </c>
      <c r="BG71" s="59">
        <f t="shared" ref="BG71:BG88" si="333">+IF(OR($F71="",BF71=""),"",$F71*BF71)</f>
        <v>0</v>
      </c>
      <c r="BH71" s="96"/>
      <c r="BI71" s="1">
        <f t="shared" ref="BI71:BI88" si="334">+H71</f>
        <v>0</v>
      </c>
      <c r="BJ71" s="1">
        <f t="shared" ref="BJ71:BJ88" si="335">+J71</f>
        <v>0</v>
      </c>
      <c r="BK71" s="1">
        <f t="shared" ref="BK71:BK88" si="336">+L71</f>
        <v>0</v>
      </c>
      <c r="BL71" s="1">
        <f t="shared" ref="BL71:BL88" si="337">+N71</f>
        <v>0</v>
      </c>
      <c r="BM71" s="1">
        <f t="shared" ref="BM71:BM88" si="338">+P71</f>
        <v>0</v>
      </c>
      <c r="BN71" s="1">
        <f t="shared" ref="BN71:BN88" si="339">+R71</f>
        <v>0</v>
      </c>
      <c r="BO71" s="1">
        <f t="shared" ref="BO71:BO88" si="340">+T71</f>
        <v>0</v>
      </c>
      <c r="BP71" s="1">
        <f t="shared" ref="BP71:BP88" si="341">+V71</f>
        <v>-0.85</v>
      </c>
      <c r="BQ71" s="1">
        <f t="shared" ref="BQ71:BQ88" si="342">+X71</f>
        <v>-0.15</v>
      </c>
      <c r="BR71" s="1">
        <f t="shared" ref="BR71:BR88" si="343">+Z71</f>
        <v>0</v>
      </c>
      <c r="BS71" s="1">
        <f t="shared" ref="BS71:BS88" si="344">+AB71</f>
        <v>0</v>
      </c>
      <c r="BT71" s="1">
        <f t="shared" ref="BT71:BT88" si="345">+AD71</f>
        <v>0</v>
      </c>
      <c r="BU71" s="1">
        <f t="shared" ref="BU71:BU88" si="346">+AF71</f>
        <v>0</v>
      </c>
      <c r="BV71" s="1">
        <f t="shared" ref="BV71:BV88" si="347">+AH71</f>
        <v>0</v>
      </c>
      <c r="BW71" s="1">
        <f t="shared" ref="BW71:BW88" si="348">+AJ71</f>
        <v>0</v>
      </c>
      <c r="BX71" s="1">
        <f t="shared" ref="BX71:BX88" si="349">+AL71</f>
        <v>0</v>
      </c>
      <c r="BY71" s="1">
        <f t="shared" ref="BY71:BY88" si="350">+AN71</f>
        <v>0</v>
      </c>
      <c r="BZ71" s="1">
        <f t="shared" ref="BZ71:BZ88" si="351">+AP71</f>
        <v>0</v>
      </c>
      <c r="CA71" s="1">
        <f t="shared" ref="CA71:CA88" si="352">+AR71</f>
        <v>0</v>
      </c>
      <c r="CB71" s="1">
        <f t="shared" ref="CB71:CB88" si="353">+AT71</f>
        <v>0</v>
      </c>
      <c r="CC71" s="1">
        <f t="shared" ref="CC71:CC88" si="354">+AV71</f>
        <v>0</v>
      </c>
      <c r="CD71" s="1">
        <f t="shared" ref="CD71:CD88" si="355">+AX71</f>
        <v>0</v>
      </c>
      <c r="CE71" s="1">
        <f t="shared" ref="CE71:CE88" si="356">+AZ71</f>
        <v>0</v>
      </c>
      <c r="CF71" s="1">
        <f t="shared" ref="CF71:CF88" si="357">+BB71</f>
        <v>0</v>
      </c>
    </row>
    <row r="72" spans="2:84" ht="16.149999999999999" customHeight="1" outlineLevel="1">
      <c r="C72" s="27" t="s">
        <v>66</v>
      </c>
      <c r="D72" s="55">
        <v>-3</v>
      </c>
      <c r="F72" s="56">
        <v>1332.49</v>
      </c>
      <c r="G72" s="57">
        <f>+D72*F72</f>
        <v>-3997.4700000000003</v>
      </c>
      <c r="H72" s="28"/>
      <c r="I72" s="59" t="str">
        <f t="shared" si="328"/>
        <v/>
      </c>
      <c r="J72" s="64"/>
      <c r="K72" s="59" t="str">
        <f t="shared" si="329"/>
        <v/>
      </c>
      <c r="L72" s="64"/>
      <c r="M72" s="59" t="str">
        <f t="shared" si="314"/>
        <v/>
      </c>
      <c r="N72" s="64"/>
      <c r="O72" s="59" t="str">
        <f t="shared" si="315"/>
        <v/>
      </c>
      <c r="P72" s="64"/>
      <c r="Q72" s="59" t="str">
        <f t="shared" si="316"/>
        <v/>
      </c>
      <c r="R72" s="64"/>
      <c r="S72" s="59" t="str">
        <f t="shared" si="317"/>
        <v/>
      </c>
      <c r="T72" s="64"/>
      <c r="U72" s="59" t="str">
        <f t="shared" si="318"/>
        <v/>
      </c>
      <c r="V72" s="89">
        <f t="shared" si="330"/>
        <v>-2.5499999999999998</v>
      </c>
      <c r="W72" s="59">
        <f t="shared" si="319"/>
        <v>-3397.8494999999998</v>
      </c>
      <c r="X72" s="94">
        <v>-0.45</v>
      </c>
      <c r="Y72" s="59">
        <f t="shared" si="320"/>
        <v>-599.62049999999999</v>
      </c>
      <c r="Z72" s="94"/>
      <c r="AA72" s="59" t="str">
        <f t="shared" si="321"/>
        <v/>
      </c>
      <c r="AB72" s="94"/>
      <c r="AC72" s="59" t="str">
        <f t="shared" si="322"/>
        <v/>
      </c>
      <c r="AD72" s="94"/>
      <c r="AE72" s="59" t="str">
        <f t="shared" si="323"/>
        <v/>
      </c>
      <c r="AF72" s="94"/>
      <c r="AG72" s="59" t="str">
        <f t="shared" si="324"/>
        <v/>
      </c>
      <c r="AH72" s="94"/>
      <c r="AI72" s="59" t="str">
        <f t="shared" si="324"/>
        <v/>
      </c>
      <c r="AJ72" s="64"/>
      <c r="AK72" s="59" t="str">
        <f t="shared" si="324"/>
        <v/>
      </c>
      <c r="AL72" s="64"/>
      <c r="AM72" s="59" t="str">
        <f t="shared" si="324"/>
        <v/>
      </c>
      <c r="AN72" s="64"/>
      <c r="AO72" s="59" t="str">
        <f t="shared" si="324"/>
        <v/>
      </c>
      <c r="AP72" s="64"/>
      <c r="AQ72" s="59" t="str">
        <f t="shared" si="324"/>
        <v/>
      </c>
      <c r="AR72" s="64"/>
      <c r="AS72" s="59" t="str">
        <f t="shared" si="324"/>
        <v/>
      </c>
      <c r="AT72" s="64"/>
      <c r="AU72" s="59" t="str">
        <f t="shared" si="324"/>
        <v/>
      </c>
      <c r="AV72" s="64"/>
      <c r="AW72" s="59" t="str">
        <f t="shared" si="324"/>
        <v/>
      </c>
      <c r="AX72" s="64"/>
      <c r="AY72" s="59" t="str">
        <f t="shared" si="324"/>
        <v/>
      </c>
      <c r="AZ72" s="64"/>
      <c r="BA72" s="59" t="str">
        <f t="shared" si="324"/>
        <v/>
      </c>
      <c r="BB72" s="64"/>
      <c r="BC72" s="59" t="str">
        <f t="shared" si="324"/>
        <v/>
      </c>
      <c r="BD72" s="61">
        <f t="shared" si="331"/>
        <v>-3</v>
      </c>
      <c r="BE72" s="59">
        <f t="shared" si="332"/>
        <v>-3997.4700000000003</v>
      </c>
      <c r="BF72" s="61">
        <f>+D72-BD72</f>
        <v>0</v>
      </c>
      <c r="BG72" s="59">
        <f t="shared" si="333"/>
        <v>0</v>
      </c>
      <c r="BH72" s="96"/>
      <c r="BI72" s="1">
        <f t="shared" si="334"/>
        <v>0</v>
      </c>
      <c r="BJ72" s="1">
        <f t="shared" si="335"/>
        <v>0</v>
      </c>
      <c r="BK72" s="1">
        <f t="shared" si="336"/>
        <v>0</v>
      </c>
      <c r="BL72" s="1">
        <f t="shared" si="337"/>
        <v>0</v>
      </c>
      <c r="BM72" s="1">
        <f t="shared" si="338"/>
        <v>0</v>
      </c>
      <c r="BN72" s="1">
        <f t="shared" si="339"/>
        <v>0</v>
      </c>
      <c r="BO72" s="1">
        <f t="shared" si="340"/>
        <v>0</v>
      </c>
      <c r="BP72" s="1">
        <f t="shared" si="341"/>
        <v>-2.5499999999999998</v>
      </c>
      <c r="BQ72" s="1">
        <f t="shared" si="342"/>
        <v>-0.45</v>
      </c>
      <c r="BR72" s="1">
        <f t="shared" si="343"/>
        <v>0</v>
      </c>
      <c r="BS72" s="1">
        <f t="shared" si="344"/>
        <v>0</v>
      </c>
      <c r="BT72" s="1">
        <f t="shared" si="345"/>
        <v>0</v>
      </c>
      <c r="BU72" s="1">
        <f t="shared" si="346"/>
        <v>0</v>
      </c>
      <c r="BV72" s="1">
        <f t="shared" si="347"/>
        <v>0</v>
      </c>
      <c r="BW72" s="1">
        <f t="shared" si="348"/>
        <v>0</v>
      </c>
      <c r="BX72" s="1">
        <f t="shared" si="349"/>
        <v>0</v>
      </c>
      <c r="BY72" s="1">
        <f t="shared" si="350"/>
        <v>0</v>
      </c>
      <c r="BZ72" s="1">
        <f t="shared" si="351"/>
        <v>0</v>
      </c>
      <c r="CA72" s="1">
        <f t="shared" si="352"/>
        <v>0</v>
      </c>
      <c r="CB72" s="1">
        <f t="shared" si="353"/>
        <v>0</v>
      </c>
      <c r="CC72" s="1">
        <f t="shared" si="354"/>
        <v>0</v>
      </c>
      <c r="CD72" s="1">
        <f t="shared" si="355"/>
        <v>0</v>
      </c>
      <c r="CE72" s="1">
        <f t="shared" si="356"/>
        <v>0</v>
      </c>
      <c r="CF72" s="1">
        <f t="shared" si="357"/>
        <v>0</v>
      </c>
    </row>
    <row r="73" spans="2:84" ht="22.5" outlineLevel="1">
      <c r="C73" s="27" t="s">
        <v>414</v>
      </c>
      <c r="D73" s="55">
        <v>-2</v>
      </c>
      <c r="F73" s="56">
        <v>1184.67</v>
      </c>
      <c r="G73" s="57">
        <f>+D73*F73</f>
        <v>-2369.34</v>
      </c>
      <c r="H73" s="28"/>
      <c r="I73" s="59" t="str">
        <f t="shared" si="328"/>
        <v/>
      </c>
      <c r="J73" s="64"/>
      <c r="K73" s="59" t="str">
        <f t="shared" si="329"/>
        <v/>
      </c>
      <c r="L73" s="64"/>
      <c r="M73" s="59" t="str">
        <f t="shared" si="314"/>
        <v/>
      </c>
      <c r="N73" s="64"/>
      <c r="O73" s="59" t="str">
        <f t="shared" si="315"/>
        <v/>
      </c>
      <c r="P73" s="64"/>
      <c r="Q73" s="59" t="str">
        <f t="shared" si="316"/>
        <v/>
      </c>
      <c r="R73" s="64"/>
      <c r="S73" s="59" t="str">
        <f t="shared" si="317"/>
        <v/>
      </c>
      <c r="T73" s="64"/>
      <c r="U73" s="59" t="str">
        <f t="shared" si="318"/>
        <v/>
      </c>
      <c r="V73" s="89">
        <f t="shared" si="330"/>
        <v>-1.7</v>
      </c>
      <c r="W73" s="59">
        <f t="shared" si="319"/>
        <v>-2013.9390000000001</v>
      </c>
      <c r="X73" s="94">
        <v>-0.3</v>
      </c>
      <c r="Y73" s="59">
        <f t="shared" si="320"/>
        <v>-355.40100000000001</v>
      </c>
      <c r="Z73" s="94"/>
      <c r="AA73" s="59" t="str">
        <f t="shared" si="321"/>
        <v/>
      </c>
      <c r="AB73" s="94"/>
      <c r="AC73" s="59" t="str">
        <f t="shared" si="322"/>
        <v/>
      </c>
      <c r="AD73" s="94"/>
      <c r="AE73" s="59" t="str">
        <f t="shared" si="323"/>
        <v/>
      </c>
      <c r="AF73" s="94"/>
      <c r="AG73" s="59" t="str">
        <f t="shared" si="324"/>
        <v/>
      </c>
      <c r="AH73" s="94"/>
      <c r="AI73" s="59" t="str">
        <f t="shared" si="324"/>
        <v/>
      </c>
      <c r="AJ73" s="64"/>
      <c r="AK73" s="59" t="str">
        <f t="shared" si="324"/>
        <v/>
      </c>
      <c r="AL73" s="64"/>
      <c r="AM73" s="59" t="str">
        <f t="shared" si="324"/>
        <v/>
      </c>
      <c r="AN73" s="64"/>
      <c r="AO73" s="59" t="str">
        <f t="shared" si="324"/>
        <v/>
      </c>
      <c r="AP73" s="64"/>
      <c r="AQ73" s="59" t="str">
        <f t="shared" si="324"/>
        <v/>
      </c>
      <c r="AR73" s="64"/>
      <c r="AS73" s="59" t="str">
        <f t="shared" si="324"/>
        <v/>
      </c>
      <c r="AT73" s="64"/>
      <c r="AU73" s="59" t="str">
        <f t="shared" si="324"/>
        <v/>
      </c>
      <c r="AV73" s="64"/>
      <c r="AW73" s="59" t="str">
        <f t="shared" si="324"/>
        <v/>
      </c>
      <c r="AX73" s="64"/>
      <c r="AY73" s="59" t="str">
        <f t="shared" si="324"/>
        <v/>
      </c>
      <c r="AZ73" s="64"/>
      <c r="BA73" s="59" t="str">
        <f t="shared" si="324"/>
        <v/>
      </c>
      <c r="BB73" s="64"/>
      <c r="BC73" s="59" t="str">
        <f t="shared" si="324"/>
        <v/>
      </c>
      <c r="BD73" s="61">
        <f t="shared" si="331"/>
        <v>-2</v>
      </c>
      <c r="BE73" s="59">
        <f t="shared" si="332"/>
        <v>-2369.34</v>
      </c>
      <c r="BF73" s="61">
        <f>+D73-BD73</f>
        <v>0</v>
      </c>
      <c r="BG73" s="59">
        <f t="shared" si="333"/>
        <v>0</v>
      </c>
      <c r="BH73" s="96"/>
      <c r="BI73" s="1">
        <f t="shared" si="334"/>
        <v>0</v>
      </c>
      <c r="BJ73" s="1">
        <f t="shared" si="335"/>
        <v>0</v>
      </c>
      <c r="BK73" s="1">
        <f t="shared" si="336"/>
        <v>0</v>
      </c>
      <c r="BL73" s="1">
        <f t="shared" si="337"/>
        <v>0</v>
      </c>
      <c r="BM73" s="1">
        <f t="shared" si="338"/>
        <v>0</v>
      </c>
      <c r="BN73" s="1">
        <f t="shared" si="339"/>
        <v>0</v>
      </c>
      <c r="BO73" s="1">
        <f t="shared" si="340"/>
        <v>0</v>
      </c>
      <c r="BP73" s="1">
        <f t="shared" si="341"/>
        <v>-1.7</v>
      </c>
      <c r="BQ73" s="1">
        <f t="shared" si="342"/>
        <v>-0.3</v>
      </c>
      <c r="BR73" s="1">
        <f t="shared" si="343"/>
        <v>0</v>
      </c>
      <c r="BS73" s="1">
        <f t="shared" si="344"/>
        <v>0</v>
      </c>
      <c r="BT73" s="1">
        <f t="shared" si="345"/>
        <v>0</v>
      </c>
      <c r="BU73" s="1">
        <f t="shared" si="346"/>
        <v>0</v>
      </c>
      <c r="BV73" s="1">
        <f t="shared" si="347"/>
        <v>0</v>
      </c>
      <c r="BW73" s="1">
        <f t="shared" si="348"/>
        <v>0</v>
      </c>
      <c r="BX73" s="1">
        <f t="shared" si="349"/>
        <v>0</v>
      </c>
      <c r="BY73" s="1">
        <f t="shared" si="350"/>
        <v>0</v>
      </c>
      <c r="BZ73" s="1">
        <f t="shared" si="351"/>
        <v>0</v>
      </c>
      <c r="CA73" s="1">
        <f t="shared" si="352"/>
        <v>0</v>
      </c>
      <c r="CB73" s="1">
        <f t="shared" si="353"/>
        <v>0</v>
      </c>
      <c r="CC73" s="1">
        <f t="shared" si="354"/>
        <v>0</v>
      </c>
      <c r="CD73" s="1">
        <f t="shared" si="355"/>
        <v>0</v>
      </c>
      <c r="CE73" s="1">
        <f t="shared" si="356"/>
        <v>0</v>
      </c>
      <c r="CF73" s="1">
        <f t="shared" si="357"/>
        <v>0</v>
      </c>
    </row>
    <row r="74" spans="2:84" ht="16.149999999999999" customHeight="1" outlineLevel="1">
      <c r="C74" s="27" t="s">
        <v>784</v>
      </c>
      <c r="G74" s="57"/>
      <c r="H74" s="28"/>
      <c r="J74" s="64"/>
      <c r="L74" s="64"/>
      <c r="N74" s="64"/>
      <c r="P74" s="64"/>
      <c r="R74" s="64"/>
      <c r="T74" s="64"/>
      <c r="V74" s="64"/>
      <c r="X74" s="94"/>
      <c r="Z74" s="94"/>
      <c r="AB74" s="94"/>
      <c r="AD74" s="94"/>
      <c r="AF74" s="94"/>
      <c r="AH74" s="94"/>
      <c r="AJ74" s="64"/>
      <c r="AL74" s="64"/>
      <c r="AN74" s="64"/>
      <c r="AP74" s="64"/>
      <c r="AR74" s="64"/>
      <c r="AT74" s="64"/>
      <c r="AV74" s="64"/>
      <c r="AX74" s="64"/>
      <c r="AZ74" s="64"/>
      <c r="BB74" s="64"/>
      <c r="BD74" s="61"/>
      <c r="BF74" s="61"/>
      <c r="BH74" s="96"/>
    </row>
    <row r="75" spans="2:84" ht="16.149999999999999" customHeight="1" outlineLevel="1">
      <c r="C75" s="27" t="s">
        <v>72</v>
      </c>
      <c r="D75" s="55">
        <v>-16</v>
      </c>
      <c r="F75" s="56">
        <v>101.6</v>
      </c>
      <c r="G75" s="57">
        <f>+D75*F75</f>
        <v>-1625.6</v>
      </c>
      <c r="H75" s="28"/>
      <c r="I75" s="59" t="str">
        <f t="shared" si="328"/>
        <v/>
      </c>
      <c r="J75" s="64"/>
      <c r="K75" s="59" t="str">
        <f t="shared" si="329"/>
        <v/>
      </c>
      <c r="L75" s="64"/>
      <c r="M75" s="59" t="str">
        <f t="shared" ref="M75:M77" si="358">+IF(OR($F75="",L75=""),"",$F75*L75)</f>
        <v/>
      </c>
      <c r="N75" s="64"/>
      <c r="O75" s="59" t="str">
        <f t="shared" ref="O75:O77" si="359">+IF(OR($F75="",N75=""),"",$F75*N75)</f>
        <v/>
      </c>
      <c r="P75" s="64"/>
      <c r="Q75" s="59" t="str">
        <f t="shared" ref="Q75:Q77" si="360">+IF(OR($F75="",P75=""),"",$F75*P75)</f>
        <v/>
      </c>
      <c r="R75" s="64"/>
      <c r="S75" s="59" t="str">
        <f t="shared" ref="S75:S77" si="361">+IF(OR($F75="",R75=""),"",$F75*R75)</f>
        <v/>
      </c>
      <c r="T75" s="64"/>
      <c r="U75" s="59" t="str">
        <f t="shared" ref="U75:U77" si="362">+IF(OR($F75="",T75=""),"",$F75*T75)</f>
        <v/>
      </c>
      <c r="V75" s="64"/>
      <c r="W75" s="59" t="str">
        <f t="shared" ref="W75:W77" si="363">+IF(OR($F75="",V75=""),"",$F75*V75)</f>
        <v/>
      </c>
      <c r="X75" s="94"/>
      <c r="Y75" s="59" t="str">
        <f t="shared" ref="Y75:Y77" si="364">+IF(OR($F75="",X75=""),"",$F75*X75)</f>
        <v/>
      </c>
      <c r="Z75" s="94">
        <v>-6</v>
      </c>
      <c r="AA75" s="59">
        <f t="shared" ref="AA75:AA77" si="365">+IF(OR($F75="",Z75=""),"",$F75*Z75)</f>
        <v>-609.59999999999991</v>
      </c>
      <c r="AB75" s="94"/>
      <c r="AC75" s="59" t="str">
        <f t="shared" ref="AC75:AC77" si="366">+IF(OR($F75="",AB75=""),"",$F75*AB75)</f>
        <v/>
      </c>
      <c r="AD75" s="94"/>
      <c r="AE75" s="59" t="str">
        <f t="shared" ref="AE75:AE77" si="367">+IF(OR($F75="",AD75=""),"",$F75*AD75)</f>
        <v/>
      </c>
      <c r="AF75" s="94">
        <v>-10</v>
      </c>
      <c r="AG75" s="59">
        <f t="shared" ref="AG75:BC77" si="368">+IF(OR($F75="",AF75=""),"",$F75*AF75)</f>
        <v>-1016</v>
      </c>
      <c r="AH75" s="94"/>
      <c r="AI75" s="59" t="str">
        <f t="shared" si="368"/>
        <v/>
      </c>
      <c r="AJ75" s="64"/>
      <c r="AK75" s="59" t="str">
        <f t="shared" si="368"/>
        <v/>
      </c>
      <c r="AL75" s="64"/>
      <c r="AM75" s="59" t="str">
        <f t="shared" si="368"/>
        <v/>
      </c>
      <c r="AN75" s="64"/>
      <c r="AO75" s="59" t="str">
        <f t="shared" si="368"/>
        <v/>
      </c>
      <c r="AP75" s="64"/>
      <c r="AQ75" s="59" t="str">
        <f t="shared" si="368"/>
        <v/>
      </c>
      <c r="AR75" s="64"/>
      <c r="AS75" s="59" t="str">
        <f t="shared" si="368"/>
        <v/>
      </c>
      <c r="AT75" s="64"/>
      <c r="AU75" s="59" t="str">
        <f t="shared" si="368"/>
        <v/>
      </c>
      <c r="AV75" s="64"/>
      <c r="AW75" s="59" t="str">
        <f t="shared" si="368"/>
        <v/>
      </c>
      <c r="AX75" s="64"/>
      <c r="AY75" s="59" t="str">
        <f t="shared" si="368"/>
        <v/>
      </c>
      <c r="AZ75" s="64"/>
      <c r="BA75" s="59" t="str">
        <f t="shared" si="368"/>
        <v/>
      </c>
      <c r="BB75" s="64"/>
      <c r="BC75" s="59" t="str">
        <f t="shared" si="368"/>
        <v/>
      </c>
      <c r="BD75" s="61">
        <f t="shared" si="331"/>
        <v>-16</v>
      </c>
      <c r="BE75" s="59">
        <f t="shared" si="332"/>
        <v>-1625.6</v>
      </c>
      <c r="BF75" s="61">
        <f>+D75-BD75</f>
        <v>0</v>
      </c>
      <c r="BG75" s="59">
        <f t="shared" si="333"/>
        <v>0</v>
      </c>
      <c r="BH75" s="96"/>
      <c r="BI75" s="1">
        <f t="shared" si="334"/>
        <v>0</v>
      </c>
      <c r="BJ75" s="1">
        <f t="shared" si="335"/>
        <v>0</v>
      </c>
      <c r="BK75" s="1">
        <f t="shared" si="336"/>
        <v>0</v>
      </c>
      <c r="BL75" s="1">
        <f t="shared" si="337"/>
        <v>0</v>
      </c>
      <c r="BM75" s="1">
        <f t="shared" si="338"/>
        <v>0</v>
      </c>
      <c r="BN75" s="1">
        <f t="shared" si="339"/>
        <v>0</v>
      </c>
      <c r="BO75" s="1">
        <f t="shared" si="340"/>
        <v>0</v>
      </c>
      <c r="BP75" s="1">
        <f t="shared" si="341"/>
        <v>0</v>
      </c>
      <c r="BQ75" s="1">
        <f t="shared" si="342"/>
        <v>0</v>
      </c>
      <c r="BR75" s="1">
        <f t="shared" si="343"/>
        <v>-6</v>
      </c>
      <c r="BS75" s="1">
        <f t="shared" si="344"/>
        <v>0</v>
      </c>
      <c r="BT75" s="1">
        <f t="shared" si="345"/>
        <v>0</v>
      </c>
      <c r="BU75" s="1">
        <f t="shared" si="346"/>
        <v>-10</v>
      </c>
      <c r="BV75" s="1">
        <f t="shared" si="347"/>
        <v>0</v>
      </c>
      <c r="BW75" s="1">
        <f t="shared" si="348"/>
        <v>0</v>
      </c>
      <c r="BX75" s="1">
        <f t="shared" si="349"/>
        <v>0</v>
      </c>
      <c r="BY75" s="1">
        <f t="shared" si="350"/>
        <v>0</v>
      </c>
      <c r="BZ75" s="1">
        <f t="shared" si="351"/>
        <v>0</v>
      </c>
      <c r="CA75" s="1">
        <f t="shared" si="352"/>
        <v>0</v>
      </c>
      <c r="CB75" s="1">
        <f t="shared" si="353"/>
        <v>0</v>
      </c>
      <c r="CC75" s="1">
        <f t="shared" si="354"/>
        <v>0</v>
      </c>
      <c r="CD75" s="1">
        <f t="shared" si="355"/>
        <v>0</v>
      </c>
      <c r="CE75" s="1">
        <f t="shared" si="356"/>
        <v>0</v>
      </c>
      <c r="CF75" s="1">
        <f t="shared" si="357"/>
        <v>0</v>
      </c>
    </row>
    <row r="76" spans="2:84" ht="16.149999999999999" customHeight="1" outlineLevel="1">
      <c r="C76" s="27" t="s">
        <v>73</v>
      </c>
      <c r="D76" s="55">
        <v>-4</v>
      </c>
      <c r="F76" s="56">
        <v>129.72999999999999</v>
      </c>
      <c r="G76" s="57">
        <f>+D76*F76</f>
        <v>-518.91999999999996</v>
      </c>
      <c r="H76" s="28"/>
      <c r="I76" s="59" t="str">
        <f t="shared" si="328"/>
        <v/>
      </c>
      <c r="J76" s="64"/>
      <c r="K76" s="59" t="str">
        <f t="shared" si="329"/>
        <v/>
      </c>
      <c r="L76" s="64"/>
      <c r="M76" s="59" t="str">
        <f t="shared" si="358"/>
        <v/>
      </c>
      <c r="N76" s="64"/>
      <c r="O76" s="59" t="str">
        <f t="shared" si="359"/>
        <v/>
      </c>
      <c r="P76" s="64"/>
      <c r="Q76" s="59" t="str">
        <f t="shared" si="360"/>
        <v/>
      </c>
      <c r="R76" s="64"/>
      <c r="S76" s="59" t="str">
        <f t="shared" si="361"/>
        <v/>
      </c>
      <c r="T76" s="64"/>
      <c r="U76" s="59" t="str">
        <f t="shared" si="362"/>
        <v/>
      </c>
      <c r="V76" s="64"/>
      <c r="W76" s="59" t="str">
        <f t="shared" si="363"/>
        <v/>
      </c>
      <c r="X76" s="94"/>
      <c r="Y76" s="59" t="str">
        <f t="shared" si="364"/>
        <v/>
      </c>
      <c r="Z76" s="94">
        <v>-2</v>
      </c>
      <c r="AA76" s="59">
        <f t="shared" si="365"/>
        <v>-259.45999999999998</v>
      </c>
      <c r="AB76" s="94"/>
      <c r="AC76" s="59" t="str">
        <f t="shared" si="366"/>
        <v/>
      </c>
      <c r="AD76" s="94"/>
      <c r="AE76" s="59" t="str">
        <f t="shared" si="367"/>
        <v/>
      </c>
      <c r="AF76" s="94">
        <v>-2</v>
      </c>
      <c r="AG76" s="59">
        <f t="shared" si="368"/>
        <v>-259.45999999999998</v>
      </c>
      <c r="AH76" s="94"/>
      <c r="AI76" s="59" t="str">
        <f t="shared" si="368"/>
        <v/>
      </c>
      <c r="AJ76" s="64"/>
      <c r="AK76" s="59" t="str">
        <f t="shared" si="368"/>
        <v/>
      </c>
      <c r="AL76" s="64"/>
      <c r="AM76" s="59" t="str">
        <f t="shared" si="368"/>
        <v/>
      </c>
      <c r="AN76" s="64"/>
      <c r="AO76" s="59" t="str">
        <f t="shared" si="368"/>
        <v/>
      </c>
      <c r="AP76" s="64"/>
      <c r="AQ76" s="59" t="str">
        <f t="shared" si="368"/>
        <v/>
      </c>
      <c r="AR76" s="64"/>
      <c r="AS76" s="59" t="str">
        <f t="shared" si="368"/>
        <v/>
      </c>
      <c r="AT76" s="64"/>
      <c r="AU76" s="59" t="str">
        <f t="shared" si="368"/>
        <v/>
      </c>
      <c r="AV76" s="64"/>
      <c r="AW76" s="59" t="str">
        <f t="shared" si="368"/>
        <v/>
      </c>
      <c r="AX76" s="64"/>
      <c r="AY76" s="59" t="str">
        <f t="shared" si="368"/>
        <v/>
      </c>
      <c r="AZ76" s="64"/>
      <c r="BA76" s="59" t="str">
        <f t="shared" si="368"/>
        <v/>
      </c>
      <c r="BB76" s="64"/>
      <c r="BC76" s="59" t="str">
        <f t="shared" si="368"/>
        <v/>
      </c>
      <c r="BD76" s="61">
        <f t="shared" si="331"/>
        <v>-4</v>
      </c>
      <c r="BE76" s="59">
        <f t="shared" si="332"/>
        <v>-518.91999999999996</v>
      </c>
      <c r="BF76" s="61">
        <f>+D76-BD76</f>
        <v>0</v>
      </c>
      <c r="BG76" s="59">
        <f t="shared" si="333"/>
        <v>0</v>
      </c>
      <c r="BH76" s="96"/>
      <c r="BI76" s="1">
        <f t="shared" si="334"/>
        <v>0</v>
      </c>
      <c r="BJ76" s="1">
        <f t="shared" si="335"/>
        <v>0</v>
      </c>
      <c r="BK76" s="1">
        <f t="shared" si="336"/>
        <v>0</v>
      </c>
      <c r="BL76" s="1">
        <f t="shared" si="337"/>
        <v>0</v>
      </c>
      <c r="BM76" s="1">
        <f t="shared" si="338"/>
        <v>0</v>
      </c>
      <c r="BN76" s="1">
        <f t="shared" si="339"/>
        <v>0</v>
      </c>
      <c r="BO76" s="1">
        <f t="shared" si="340"/>
        <v>0</v>
      </c>
      <c r="BP76" s="1">
        <f t="shared" si="341"/>
        <v>0</v>
      </c>
      <c r="BQ76" s="1">
        <f t="shared" si="342"/>
        <v>0</v>
      </c>
      <c r="BR76" s="1">
        <f t="shared" si="343"/>
        <v>-2</v>
      </c>
      <c r="BS76" s="1">
        <f t="shared" si="344"/>
        <v>0</v>
      </c>
      <c r="BT76" s="1">
        <f t="shared" si="345"/>
        <v>0</v>
      </c>
      <c r="BU76" s="1">
        <f t="shared" si="346"/>
        <v>-2</v>
      </c>
      <c r="BV76" s="1">
        <f t="shared" si="347"/>
        <v>0</v>
      </c>
      <c r="BW76" s="1">
        <f t="shared" si="348"/>
        <v>0</v>
      </c>
      <c r="BX76" s="1">
        <f t="shared" si="349"/>
        <v>0</v>
      </c>
      <c r="BY76" s="1">
        <f t="shared" si="350"/>
        <v>0</v>
      </c>
      <c r="BZ76" s="1">
        <f t="shared" si="351"/>
        <v>0</v>
      </c>
      <c r="CA76" s="1">
        <f t="shared" si="352"/>
        <v>0</v>
      </c>
      <c r="CB76" s="1">
        <f t="shared" si="353"/>
        <v>0</v>
      </c>
      <c r="CC76" s="1">
        <f t="shared" si="354"/>
        <v>0</v>
      </c>
      <c r="CD76" s="1">
        <f t="shared" si="355"/>
        <v>0</v>
      </c>
      <c r="CE76" s="1">
        <f t="shared" si="356"/>
        <v>0</v>
      </c>
      <c r="CF76" s="1">
        <f t="shared" si="357"/>
        <v>0</v>
      </c>
    </row>
    <row r="77" spans="2:84" ht="22.5" outlineLevel="1">
      <c r="C77" s="27" t="s">
        <v>420</v>
      </c>
      <c r="D77" s="55">
        <v>-2</v>
      </c>
      <c r="F77" s="56">
        <v>117.36</v>
      </c>
      <c r="G77" s="57">
        <f>+D77*F77</f>
        <v>-234.72</v>
      </c>
      <c r="H77" s="28"/>
      <c r="I77" s="59" t="str">
        <f t="shared" si="328"/>
        <v/>
      </c>
      <c r="J77" s="64"/>
      <c r="K77" s="59" t="str">
        <f t="shared" si="329"/>
        <v/>
      </c>
      <c r="L77" s="64"/>
      <c r="M77" s="59" t="str">
        <f t="shared" si="358"/>
        <v/>
      </c>
      <c r="N77" s="64"/>
      <c r="O77" s="59" t="str">
        <f t="shared" si="359"/>
        <v/>
      </c>
      <c r="P77" s="64"/>
      <c r="Q77" s="59" t="str">
        <f t="shared" si="360"/>
        <v/>
      </c>
      <c r="R77" s="64"/>
      <c r="S77" s="59" t="str">
        <f t="shared" si="361"/>
        <v/>
      </c>
      <c r="T77" s="64"/>
      <c r="U77" s="59" t="str">
        <f t="shared" si="362"/>
        <v/>
      </c>
      <c r="V77" s="64"/>
      <c r="W77" s="59" t="str">
        <f t="shared" si="363"/>
        <v/>
      </c>
      <c r="X77" s="94"/>
      <c r="Y77" s="59" t="str">
        <f t="shared" si="364"/>
        <v/>
      </c>
      <c r="Z77" s="94">
        <v>-1</v>
      </c>
      <c r="AA77" s="59">
        <f t="shared" si="365"/>
        <v>-117.36</v>
      </c>
      <c r="AB77" s="94"/>
      <c r="AC77" s="59" t="str">
        <f t="shared" si="366"/>
        <v/>
      </c>
      <c r="AD77" s="94"/>
      <c r="AE77" s="59" t="str">
        <f t="shared" si="367"/>
        <v/>
      </c>
      <c r="AF77" s="94">
        <v>-1</v>
      </c>
      <c r="AG77" s="59">
        <f t="shared" si="368"/>
        <v>-117.36</v>
      </c>
      <c r="AH77" s="94"/>
      <c r="AI77" s="59" t="str">
        <f t="shared" si="368"/>
        <v/>
      </c>
      <c r="AJ77" s="64"/>
      <c r="AK77" s="59" t="str">
        <f t="shared" si="368"/>
        <v/>
      </c>
      <c r="AL77" s="64"/>
      <c r="AM77" s="59" t="str">
        <f t="shared" si="368"/>
        <v/>
      </c>
      <c r="AN77" s="64"/>
      <c r="AO77" s="59" t="str">
        <f t="shared" si="368"/>
        <v/>
      </c>
      <c r="AP77" s="64"/>
      <c r="AQ77" s="59" t="str">
        <f t="shared" si="368"/>
        <v/>
      </c>
      <c r="AR77" s="64"/>
      <c r="AS77" s="59" t="str">
        <f t="shared" si="368"/>
        <v/>
      </c>
      <c r="AT77" s="64"/>
      <c r="AU77" s="59" t="str">
        <f t="shared" si="368"/>
        <v/>
      </c>
      <c r="AV77" s="64"/>
      <c r="AW77" s="59" t="str">
        <f t="shared" si="368"/>
        <v/>
      </c>
      <c r="AX77" s="64"/>
      <c r="AY77" s="59" t="str">
        <f t="shared" si="368"/>
        <v/>
      </c>
      <c r="AZ77" s="64"/>
      <c r="BA77" s="59" t="str">
        <f t="shared" si="368"/>
        <v/>
      </c>
      <c r="BB77" s="64"/>
      <c r="BC77" s="59" t="str">
        <f t="shared" si="368"/>
        <v/>
      </c>
      <c r="BD77" s="61">
        <f t="shared" si="331"/>
        <v>-2</v>
      </c>
      <c r="BE77" s="59">
        <f t="shared" si="332"/>
        <v>-234.72</v>
      </c>
      <c r="BF77" s="61">
        <f>+D77-BD77</f>
        <v>0</v>
      </c>
      <c r="BG77" s="59">
        <f t="shared" si="333"/>
        <v>0</v>
      </c>
      <c r="BH77" s="96"/>
      <c r="BI77" s="1">
        <f t="shared" si="334"/>
        <v>0</v>
      </c>
      <c r="BJ77" s="1">
        <f t="shared" si="335"/>
        <v>0</v>
      </c>
      <c r="BK77" s="1">
        <f t="shared" si="336"/>
        <v>0</v>
      </c>
      <c r="BL77" s="1">
        <f t="shared" si="337"/>
        <v>0</v>
      </c>
      <c r="BM77" s="1">
        <f t="shared" si="338"/>
        <v>0</v>
      </c>
      <c r="BN77" s="1">
        <f t="shared" si="339"/>
        <v>0</v>
      </c>
      <c r="BO77" s="1">
        <f t="shared" si="340"/>
        <v>0</v>
      </c>
      <c r="BP77" s="1">
        <f t="shared" si="341"/>
        <v>0</v>
      </c>
      <c r="BQ77" s="1">
        <f t="shared" si="342"/>
        <v>0</v>
      </c>
      <c r="BR77" s="1">
        <f t="shared" si="343"/>
        <v>-1</v>
      </c>
      <c r="BS77" s="1">
        <f t="shared" si="344"/>
        <v>0</v>
      </c>
      <c r="BT77" s="1">
        <f t="shared" si="345"/>
        <v>0</v>
      </c>
      <c r="BU77" s="1">
        <f t="shared" si="346"/>
        <v>-1</v>
      </c>
      <c r="BV77" s="1">
        <f t="shared" si="347"/>
        <v>0</v>
      </c>
      <c r="BW77" s="1">
        <f t="shared" si="348"/>
        <v>0</v>
      </c>
      <c r="BX77" s="1">
        <f t="shared" si="349"/>
        <v>0</v>
      </c>
      <c r="BY77" s="1">
        <f t="shared" si="350"/>
        <v>0</v>
      </c>
      <c r="BZ77" s="1">
        <f t="shared" si="351"/>
        <v>0</v>
      </c>
      <c r="CA77" s="1">
        <f t="shared" si="352"/>
        <v>0</v>
      </c>
      <c r="CB77" s="1">
        <f t="shared" si="353"/>
        <v>0</v>
      </c>
      <c r="CC77" s="1">
        <f t="shared" si="354"/>
        <v>0</v>
      </c>
      <c r="CD77" s="1">
        <f t="shared" si="355"/>
        <v>0</v>
      </c>
      <c r="CE77" s="1">
        <f t="shared" si="356"/>
        <v>0</v>
      </c>
      <c r="CF77" s="1">
        <f t="shared" si="357"/>
        <v>0</v>
      </c>
    </row>
    <row r="78" spans="2:84" ht="33.75" outlineLevel="1">
      <c r="C78" s="27" t="s">
        <v>777</v>
      </c>
      <c r="G78" s="57"/>
      <c r="H78" s="28"/>
      <c r="J78" s="64"/>
      <c r="L78" s="64"/>
      <c r="N78" s="64"/>
      <c r="P78" s="64"/>
      <c r="R78" s="64"/>
      <c r="T78" s="64"/>
      <c r="V78" s="64"/>
      <c r="X78" s="94"/>
      <c r="Z78" s="94"/>
      <c r="AB78" s="94"/>
      <c r="AD78" s="94"/>
      <c r="AF78" s="94"/>
      <c r="AH78" s="94"/>
      <c r="AJ78" s="64"/>
      <c r="AL78" s="64"/>
      <c r="AN78" s="64"/>
      <c r="AP78" s="64"/>
      <c r="AR78" s="64"/>
      <c r="AT78" s="64"/>
      <c r="AV78" s="64"/>
      <c r="AX78" s="64"/>
      <c r="AZ78" s="64"/>
      <c r="BB78" s="64"/>
      <c r="BD78" s="61"/>
      <c r="BF78" s="61"/>
      <c r="BH78" s="96"/>
    </row>
    <row r="79" spans="2:84" ht="22.5" outlineLevel="1">
      <c r="C79" s="27" t="s">
        <v>421</v>
      </c>
      <c r="D79" s="55">
        <v>-16</v>
      </c>
      <c r="F79" s="56">
        <v>96.1</v>
      </c>
      <c r="G79" s="57">
        <f>+D79*F79</f>
        <v>-1537.6</v>
      </c>
      <c r="H79" s="28"/>
      <c r="I79" s="59" t="str">
        <f t="shared" ref="I79" si="369">+IF(OR($F79="",H79=""),"",$F79*H79)</f>
        <v/>
      </c>
      <c r="J79" s="64"/>
      <c r="K79" s="59" t="str">
        <f t="shared" ref="K79" si="370">+IF(OR($F79="",J79=""),"",$F79*J79)</f>
        <v/>
      </c>
      <c r="L79" s="64"/>
      <c r="M79" s="59" t="str">
        <f t="shared" ref="M79" si="371">+IF(OR($F79="",L79=""),"",$F79*L79)</f>
        <v/>
      </c>
      <c r="N79" s="64"/>
      <c r="O79" s="59" t="str">
        <f t="shared" ref="O79" si="372">+IF(OR($F79="",N79=""),"",$F79*N79)</f>
        <v/>
      </c>
      <c r="P79" s="64"/>
      <c r="Q79" s="59" t="str">
        <f t="shared" ref="Q79" si="373">+IF(OR($F79="",P79=""),"",$F79*P79)</f>
        <v/>
      </c>
      <c r="R79" s="64"/>
      <c r="S79" s="59" t="str">
        <f t="shared" ref="S79" si="374">+IF(OR($F79="",R79=""),"",$F79*R79)</f>
        <v/>
      </c>
      <c r="T79" s="64"/>
      <c r="U79" s="59" t="str">
        <f t="shared" ref="U79" si="375">+IF(OR($F79="",T79=""),"",$F79*T79)</f>
        <v/>
      </c>
      <c r="V79" s="64"/>
      <c r="W79" s="59" t="str">
        <f t="shared" ref="W79" si="376">+IF(OR($F79="",V79=""),"",$F79*V79)</f>
        <v/>
      </c>
      <c r="X79" s="94">
        <v>-10</v>
      </c>
      <c r="Y79" s="59">
        <f t="shared" ref="Y79" si="377">+IF(OR($F79="",X79=""),"",$F79*X79)</f>
        <v>-961</v>
      </c>
      <c r="Z79" s="94">
        <v>-3</v>
      </c>
      <c r="AA79" s="59">
        <f t="shared" ref="AA79" si="378">+IF(OR($F79="",Z79=""),"",$F79*Z79)</f>
        <v>-288.29999999999995</v>
      </c>
      <c r="AB79" s="94">
        <v>-1</v>
      </c>
      <c r="AC79" s="59">
        <f t="shared" ref="AC79" si="379">+IF(OR($F79="",AB79=""),"",$F79*AB79)</f>
        <v>-96.1</v>
      </c>
      <c r="AD79" s="94">
        <v>-1</v>
      </c>
      <c r="AE79" s="59">
        <f t="shared" ref="AE79" si="380">+IF(OR($F79="",AD79=""),"",$F79*AD79)</f>
        <v>-96.1</v>
      </c>
      <c r="AF79" s="94">
        <v>-1</v>
      </c>
      <c r="AG79" s="59">
        <f t="shared" ref="AG79:BC79" si="381">+IF(OR($F79="",AF79=""),"",$F79*AF79)</f>
        <v>-96.1</v>
      </c>
      <c r="AH79" s="94"/>
      <c r="AI79" s="59" t="str">
        <f t="shared" si="381"/>
        <v/>
      </c>
      <c r="AJ79" s="64"/>
      <c r="AK79" s="59" t="str">
        <f t="shared" si="381"/>
        <v/>
      </c>
      <c r="AL79" s="64"/>
      <c r="AM79" s="59" t="str">
        <f t="shared" si="381"/>
        <v/>
      </c>
      <c r="AN79" s="64"/>
      <c r="AO79" s="59" t="str">
        <f t="shared" si="381"/>
        <v/>
      </c>
      <c r="AP79" s="64"/>
      <c r="AQ79" s="59" t="str">
        <f t="shared" si="381"/>
        <v/>
      </c>
      <c r="AR79" s="64"/>
      <c r="AS79" s="59" t="str">
        <f t="shared" si="381"/>
        <v/>
      </c>
      <c r="AT79" s="64"/>
      <c r="AU79" s="59" t="str">
        <f t="shared" si="381"/>
        <v/>
      </c>
      <c r="AV79" s="64"/>
      <c r="AW79" s="59" t="str">
        <f t="shared" si="381"/>
        <v/>
      </c>
      <c r="AX79" s="64"/>
      <c r="AY79" s="59" t="str">
        <f t="shared" si="381"/>
        <v/>
      </c>
      <c r="AZ79" s="64"/>
      <c r="BA79" s="59" t="str">
        <f t="shared" si="381"/>
        <v/>
      </c>
      <c r="BB79" s="64"/>
      <c r="BC79" s="59" t="str">
        <f t="shared" si="381"/>
        <v/>
      </c>
      <c r="BD79" s="61">
        <f t="shared" ref="BD79" si="382">+SUM(BI79:CF79)</f>
        <v>-16</v>
      </c>
      <c r="BE79" s="59">
        <f t="shared" ref="BE79" si="383">+IF(OR($F79="",BD79=""),"",$F79*BD79)</f>
        <v>-1537.6</v>
      </c>
      <c r="BF79" s="61">
        <f>+D79-BD79</f>
        <v>0</v>
      </c>
      <c r="BG79" s="59">
        <f t="shared" ref="BG79" si="384">+IF(OR($F79="",BF79=""),"",$F79*BF79)</f>
        <v>0</v>
      </c>
      <c r="BH79" s="96"/>
      <c r="BI79" s="1">
        <f t="shared" ref="BI79" si="385">+H79</f>
        <v>0</v>
      </c>
      <c r="BJ79" s="1">
        <f t="shared" ref="BJ79" si="386">+J79</f>
        <v>0</v>
      </c>
      <c r="BK79" s="1">
        <f t="shared" ref="BK79" si="387">+L79</f>
        <v>0</v>
      </c>
      <c r="BL79" s="1">
        <f t="shared" ref="BL79" si="388">+N79</f>
        <v>0</v>
      </c>
      <c r="BM79" s="1">
        <f t="shared" ref="BM79" si="389">+P79</f>
        <v>0</v>
      </c>
      <c r="BN79" s="1">
        <f t="shared" ref="BN79" si="390">+R79</f>
        <v>0</v>
      </c>
      <c r="BO79" s="1">
        <f t="shared" ref="BO79" si="391">+T79</f>
        <v>0</v>
      </c>
      <c r="BP79" s="1">
        <f t="shared" ref="BP79" si="392">+V79</f>
        <v>0</v>
      </c>
      <c r="BQ79" s="1">
        <f t="shared" ref="BQ79" si="393">+X79</f>
        <v>-10</v>
      </c>
      <c r="BR79" s="1">
        <f t="shared" ref="BR79" si="394">+Z79</f>
        <v>-3</v>
      </c>
      <c r="BS79" s="1">
        <f t="shared" ref="BS79" si="395">+AB79</f>
        <v>-1</v>
      </c>
      <c r="BT79" s="1">
        <f t="shared" ref="BT79" si="396">+AD79</f>
        <v>-1</v>
      </c>
      <c r="BU79" s="1">
        <f t="shared" ref="BU79" si="397">+AF79</f>
        <v>-1</v>
      </c>
      <c r="BV79" s="1">
        <f t="shared" ref="BV79" si="398">+AH79</f>
        <v>0</v>
      </c>
      <c r="BW79" s="1">
        <f t="shared" ref="BW79" si="399">+AJ79</f>
        <v>0</v>
      </c>
      <c r="BX79" s="1">
        <f t="shared" ref="BX79" si="400">+AL79</f>
        <v>0</v>
      </c>
      <c r="BY79" s="1">
        <f t="shared" ref="BY79" si="401">+AN79</f>
        <v>0</v>
      </c>
      <c r="BZ79" s="1">
        <f t="shared" ref="BZ79" si="402">+AP79</f>
        <v>0</v>
      </c>
      <c r="CA79" s="1">
        <f t="shared" ref="CA79" si="403">+AR79</f>
        <v>0</v>
      </c>
      <c r="CB79" s="1">
        <f t="shared" ref="CB79" si="404">+AT79</f>
        <v>0</v>
      </c>
      <c r="CC79" s="1">
        <f t="shared" ref="CC79" si="405">+AV79</f>
        <v>0</v>
      </c>
      <c r="CD79" s="1">
        <f t="shared" ref="CD79" si="406">+AX79</f>
        <v>0</v>
      </c>
      <c r="CE79" s="1">
        <f t="shared" ref="CE79" si="407">+AZ79</f>
        <v>0</v>
      </c>
      <c r="CF79" s="1">
        <f t="shared" ref="CF79" si="408">+BB79</f>
        <v>0</v>
      </c>
    </row>
    <row r="80" spans="2:84" ht="33.75" outlineLevel="1">
      <c r="C80" s="27" t="s">
        <v>423</v>
      </c>
      <c r="D80" s="55">
        <v>-23</v>
      </c>
      <c r="F80" s="56">
        <v>12.32</v>
      </c>
      <c r="G80" s="57">
        <f>+D80*F80</f>
        <v>-283.36</v>
      </c>
      <c r="H80" s="28"/>
      <c r="I80" s="59" t="str">
        <f t="shared" si="328"/>
        <v/>
      </c>
      <c r="J80" s="64"/>
      <c r="K80" s="59" t="str">
        <f t="shared" si="329"/>
        <v/>
      </c>
      <c r="L80" s="64"/>
      <c r="M80" s="59" t="str">
        <f t="shared" ref="M80" si="409">+IF(OR($F80="",L80=""),"",$F80*L80)</f>
        <v/>
      </c>
      <c r="N80" s="64"/>
      <c r="O80" s="59" t="str">
        <f t="shared" ref="O80" si="410">+IF(OR($F80="",N80=""),"",$F80*N80)</f>
        <v/>
      </c>
      <c r="P80" s="64"/>
      <c r="Q80" s="59" t="str">
        <f t="shared" ref="Q80" si="411">+IF(OR($F80="",P80=""),"",$F80*P80)</f>
        <v/>
      </c>
      <c r="R80" s="64"/>
      <c r="S80" s="59" t="str">
        <f t="shared" ref="S80" si="412">+IF(OR($F80="",R80=""),"",$F80*R80)</f>
        <v/>
      </c>
      <c r="T80" s="64"/>
      <c r="U80" s="59" t="str">
        <f t="shared" ref="U80" si="413">+IF(OR($F80="",T80=""),"",$F80*T80)</f>
        <v/>
      </c>
      <c r="V80" s="64"/>
      <c r="W80" s="59" t="str">
        <f t="shared" ref="W80" si="414">+IF(OR($F80="",V80=""),"",$F80*V80)</f>
        <v/>
      </c>
      <c r="X80" s="94">
        <v>-15</v>
      </c>
      <c r="Y80" s="59">
        <f t="shared" ref="Y80" si="415">+IF(OR($F80="",X80=""),"",$F80*X80)</f>
        <v>-184.8</v>
      </c>
      <c r="Z80" s="94"/>
      <c r="AA80" s="59" t="str">
        <f t="shared" ref="AA80" si="416">+IF(OR($F80="",Z80=""),"",$F80*Z80)</f>
        <v/>
      </c>
      <c r="AB80" s="94">
        <v>-3</v>
      </c>
      <c r="AC80" s="59">
        <f t="shared" ref="AC80" si="417">+IF(OR($F80="",AB80=""),"",$F80*AB80)</f>
        <v>-36.96</v>
      </c>
      <c r="AD80" s="94">
        <v>-2</v>
      </c>
      <c r="AE80" s="59">
        <f t="shared" ref="AE80" si="418">+IF(OR($F80="",AD80=""),"",$F80*AD80)</f>
        <v>-24.64</v>
      </c>
      <c r="AF80" s="94">
        <v>-3</v>
      </c>
      <c r="AG80" s="59">
        <f t="shared" ref="AG80:BC80" si="419">+IF(OR($F80="",AF80=""),"",$F80*AF80)</f>
        <v>-36.96</v>
      </c>
      <c r="AH80" s="94"/>
      <c r="AI80" s="59" t="str">
        <f t="shared" si="419"/>
        <v/>
      </c>
      <c r="AJ80" s="64"/>
      <c r="AK80" s="59" t="str">
        <f t="shared" si="419"/>
        <v/>
      </c>
      <c r="AL80" s="64"/>
      <c r="AM80" s="59" t="str">
        <f t="shared" si="419"/>
        <v/>
      </c>
      <c r="AN80" s="64"/>
      <c r="AO80" s="59" t="str">
        <f t="shared" si="419"/>
        <v/>
      </c>
      <c r="AP80" s="64"/>
      <c r="AQ80" s="59" t="str">
        <f t="shared" si="419"/>
        <v/>
      </c>
      <c r="AR80" s="64"/>
      <c r="AS80" s="59" t="str">
        <f t="shared" si="419"/>
        <v/>
      </c>
      <c r="AT80" s="64"/>
      <c r="AU80" s="59" t="str">
        <f t="shared" si="419"/>
        <v/>
      </c>
      <c r="AV80" s="64"/>
      <c r="AW80" s="59" t="str">
        <f t="shared" si="419"/>
        <v/>
      </c>
      <c r="AX80" s="64"/>
      <c r="AY80" s="59" t="str">
        <f t="shared" si="419"/>
        <v/>
      </c>
      <c r="AZ80" s="64"/>
      <c r="BA80" s="59" t="str">
        <f t="shared" si="419"/>
        <v/>
      </c>
      <c r="BB80" s="64"/>
      <c r="BC80" s="59" t="str">
        <f t="shared" si="419"/>
        <v/>
      </c>
      <c r="BD80" s="61">
        <f t="shared" si="331"/>
        <v>-23</v>
      </c>
      <c r="BE80" s="59">
        <f t="shared" si="332"/>
        <v>-283.36</v>
      </c>
      <c r="BF80" s="61">
        <f>+D80-BD80</f>
        <v>0</v>
      </c>
      <c r="BG80" s="59">
        <f t="shared" si="333"/>
        <v>0</v>
      </c>
      <c r="BH80" s="96"/>
      <c r="BI80" s="1">
        <f t="shared" si="334"/>
        <v>0</v>
      </c>
      <c r="BJ80" s="1">
        <f t="shared" si="335"/>
        <v>0</v>
      </c>
      <c r="BK80" s="1">
        <f t="shared" si="336"/>
        <v>0</v>
      </c>
      <c r="BL80" s="1">
        <f t="shared" si="337"/>
        <v>0</v>
      </c>
      <c r="BM80" s="1">
        <f t="shared" si="338"/>
        <v>0</v>
      </c>
      <c r="BN80" s="1">
        <f t="shared" si="339"/>
        <v>0</v>
      </c>
      <c r="BO80" s="1">
        <f t="shared" si="340"/>
        <v>0</v>
      </c>
      <c r="BP80" s="1">
        <f t="shared" si="341"/>
        <v>0</v>
      </c>
      <c r="BQ80" s="1">
        <f t="shared" si="342"/>
        <v>-15</v>
      </c>
      <c r="BR80" s="1">
        <f t="shared" si="343"/>
        <v>0</v>
      </c>
      <c r="BS80" s="1">
        <f t="shared" si="344"/>
        <v>-3</v>
      </c>
      <c r="BT80" s="1">
        <f t="shared" si="345"/>
        <v>-2</v>
      </c>
      <c r="BU80" s="1">
        <f t="shared" si="346"/>
        <v>-3</v>
      </c>
      <c r="BV80" s="1">
        <f t="shared" si="347"/>
        <v>0</v>
      </c>
      <c r="BW80" s="1">
        <f t="shared" si="348"/>
        <v>0</v>
      </c>
      <c r="BX80" s="1">
        <f t="shared" si="349"/>
        <v>0</v>
      </c>
      <c r="BY80" s="1">
        <f t="shared" si="350"/>
        <v>0</v>
      </c>
      <c r="BZ80" s="1">
        <f t="shared" si="351"/>
        <v>0</v>
      </c>
      <c r="CA80" s="1">
        <f t="shared" si="352"/>
        <v>0</v>
      </c>
      <c r="CB80" s="1">
        <f t="shared" si="353"/>
        <v>0</v>
      </c>
      <c r="CC80" s="1">
        <f t="shared" si="354"/>
        <v>0</v>
      </c>
      <c r="CD80" s="1">
        <f t="shared" si="355"/>
        <v>0</v>
      </c>
      <c r="CE80" s="1">
        <f t="shared" si="356"/>
        <v>0</v>
      </c>
      <c r="CF80" s="1">
        <f t="shared" si="357"/>
        <v>0</v>
      </c>
    </row>
    <row r="81" spans="3:84" ht="35.65" customHeight="1" outlineLevel="1">
      <c r="C81" s="27" t="s">
        <v>775</v>
      </c>
      <c r="G81" s="57"/>
      <c r="H81" s="28"/>
      <c r="J81" s="64"/>
      <c r="L81" s="64"/>
      <c r="N81" s="64"/>
      <c r="P81" s="64"/>
      <c r="R81" s="64"/>
      <c r="T81" s="64"/>
      <c r="V81" s="64"/>
      <c r="X81" s="94"/>
      <c r="Z81" s="94"/>
      <c r="AB81" s="94"/>
      <c r="AD81" s="94"/>
      <c r="AF81" s="94"/>
      <c r="AH81" s="94"/>
      <c r="AJ81" s="64"/>
      <c r="AL81" s="64"/>
      <c r="AN81" s="64"/>
      <c r="AP81" s="64"/>
      <c r="AR81" s="64"/>
      <c r="AT81" s="64"/>
      <c r="AV81" s="64"/>
      <c r="AX81" s="64"/>
      <c r="AZ81" s="64"/>
      <c r="BB81" s="64"/>
      <c r="BD81" s="61"/>
      <c r="BF81" s="61"/>
      <c r="BH81" s="96"/>
    </row>
    <row r="82" spans="3:84" ht="16.149999999999999" customHeight="1" outlineLevel="1">
      <c r="C82" s="27" t="s">
        <v>84</v>
      </c>
      <c r="D82" s="55">
        <v>-60</v>
      </c>
      <c r="F82" s="56">
        <v>9.36</v>
      </c>
      <c r="G82" s="57">
        <f>+D82*F82</f>
        <v>-561.59999999999991</v>
      </c>
      <c r="H82" s="28"/>
      <c r="I82" s="59" t="str">
        <f t="shared" si="328"/>
        <v/>
      </c>
      <c r="J82" s="64"/>
      <c r="K82" s="59" t="str">
        <f t="shared" si="329"/>
        <v/>
      </c>
      <c r="L82" s="64"/>
      <c r="M82" s="59" t="str">
        <f t="shared" ref="M82:M85" si="420">+IF(OR($F82="",L82=""),"",$F82*L82)</f>
        <v/>
      </c>
      <c r="N82" s="64"/>
      <c r="O82" s="59" t="str">
        <f t="shared" ref="O82:O85" si="421">+IF(OR($F82="",N82=""),"",$F82*N82)</f>
        <v/>
      </c>
      <c r="P82" s="64"/>
      <c r="Q82" s="59" t="str">
        <f t="shared" ref="Q82:Q85" si="422">+IF(OR($F82="",P82=""),"",$F82*P82)</f>
        <v/>
      </c>
      <c r="R82" s="64"/>
      <c r="S82" s="59" t="str">
        <f t="shared" ref="S82:S85" si="423">+IF(OR($F82="",R82=""),"",$F82*R82)</f>
        <v/>
      </c>
      <c r="T82" s="64"/>
      <c r="U82" s="59" t="str">
        <f t="shared" ref="U82:U85" si="424">+IF(OR($F82="",T82=""),"",$F82*T82)</f>
        <v/>
      </c>
      <c r="V82" s="64"/>
      <c r="W82" s="59" t="str">
        <f t="shared" ref="W82:W85" si="425">+IF(OR($F82="",V82=""),"",$F82*V82)</f>
        <v/>
      </c>
      <c r="X82" s="94">
        <v>-25</v>
      </c>
      <c r="Y82" s="59">
        <f t="shared" ref="Y82:Y85" si="426">+IF(OR($F82="",X82=""),"",$F82*X82)</f>
        <v>-234</v>
      </c>
      <c r="Z82" s="94">
        <v>-15</v>
      </c>
      <c r="AA82" s="59">
        <f t="shared" ref="AA82:AA85" si="427">+IF(OR($F82="",Z82=""),"",$F82*Z82)</f>
        <v>-140.39999999999998</v>
      </c>
      <c r="AB82" s="94">
        <v>-10</v>
      </c>
      <c r="AC82" s="59">
        <f t="shared" ref="AC82:AC85" si="428">+IF(OR($F82="",AB82=""),"",$F82*AB82)</f>
        <v>-93.6</v>
      </c>
      <c r="AD82" s="94">
        <v>-5</v>
      </c>
      <c r="AE82" s="59">
        <f t="shared" ref="AE82:AE85" si="429">+IF(OR($F82="",AD82=""),"",$F82*AD82)</f>
        <v>-46.8</v>
      </c>
      <c r="AF82" s="94">
        <v>-5</v>
      </c>
      <c r="AG82" s="59">
        <f t="shared" ref="AG82:BC85" si="430">+IF(OR($F82="",AF82=""),"",$F82*AF82)</f>
        <v>-46.8</v>
      </c>
      <c r="AH82" s="94"/>
      <c r="AI82" s="59" t="str">
        <f t="shared" si="430"/>
        <v/>
      </c>
      <c r="AJ82" s="64"/>
      <c r="AK82" s="59" t="str">
        <f t="shared" si="430"/>
        <v/>
      </c>
      <c r="AL82" s="64"/>
      <c r="AM82" s="59" t="str">
        <f t="shared" si="430"/>
        <v/>
      </c>
      <c r="AN82" s="64"/>
      <c r="AO82" s="59" t="str">
        <f t="shared" si="430"/>
        <v/>
      </c>
      <c r="AP82" s="64"/>
      <c r="AQ82" s="59" t="str">
        <f t="shared" si="430"/>
        <v/>
      </c>
      <c r="AR82" s="64"/>
      <c r="AS82" s="59" t="str">
        <f t="shared" si="430"/>
        <v/>
      </c>
      <c r="AT82" s="64"/>
      <c r="AU82" s="59" t="str">
        <f t="shared" si="430"/>
        <v/>
      </c>
      <c r="AV82" s="64"/>
      <c r="AW82" s="59" t="str">
        <f t="shared" si="430"/>
        <v/>
      </c>
      <c r="AX82" s="64"/>
      <c r="AY82" s="59" t="str">
        <f t="shared" si="430"/>
        <v/>
      </c>
      <c r="AZ82" s="64"/>
      <c r="BA82" s="59" t="str">
        <f t="shared" si="430"/>
        <v/>
      </c>
      <c r="BB82" s="64"/>
      <c r="BC82" s="59" t="str">
        <f t="shared" si="430"/>
        <v/>
      </c>
      <c r="BD82" s="61">
        <f t="shared" si="331"/>
        <v>-60</v>
      </c>
      <c r="BE82" s="59">
        <f t="shared" si="332"/>
        <v>-561.59999999999991</v>
      </c>
      <c r="BF82" s="61">
        <f>+D82-BD82</f>
        <v>0</v>
      </c>
      <c r="BG82" s="59">
        <f t="shared" si="333"/>
        <v>0</v>
      </c>
      <c r="BH82" s="96"/>
      <c r="BI82" s="1">
        <f t="shared" si="334"/>
        <v>0</v>
      </c>
      <c r="BJ82" s="1">
        <f t="shared" si="335"/>
        <v>0</v>
      </c>
      <c r="BK82" s="1">
        <f t="shared" si="336"/>
        <v>0</v>
      </c>
      <c r="BL82" s="1">
        <f t="shared" si="337"/>
        <v>0</v>
      </c>
      <c r="BM82" s="1">
        <f t="shared" si="338"/>
        <v>0</v>
      </c>
      <c r="BN82" s="1">
        <f t="shared" si="339"/>
        <v>0</v>
      </c>
      <c r="BO82" s="1">
        <f t="shared" si="340"/>
        <v>0</v>
      </c>
      <c r="BP82" s="1">
        <f t="shared" si="341"/>
        <v>0</v>
      </c>
      <c r="BQ82" s="1">
        <f t="shared" si="342"/>
        <v>-25</v>
      </c>
      <c r="BR82" s="1">
        <f t="shared" si="343"/>
        <v>-15</v>
      </c>
      <c r="BS82" s="1">
        <f t="shared" si="344"/>
        <v>-10</v>
      </c>
      <c r="BT82" s="1">
        <f t="shared" si="345"/>
        <v>-5</v>
      </c>
      <c r="BU82" s="1">
        <f t="shared" si="346"/>
        <v>-5</v>
      </c>
      <c r="BV82" s="1">
        <f t="shared" si="347"/>
        <v>0</v>
      </c>
      <c r="BW82" s="1">
        <f t="shared" si="348"/>
        <v>0</v>
      </c>
      <c r="BX82" s="1">
        <f t="shared" si="349"/>
        <v>0</v>
      </c>
      <c r="BY82" s="1">
        <f t="shared" si="350"/>
        <v>0</v>
      </c>
      <c r="BZ82" s="1">
        <f t="shared" si="351"/>
        <v>0</v>
      </c>
      <c r="CA82" s="1">
        <f t="shared" si="352"/>
        <v>0</v>
      </c>
      <c r="CB82" s="1">
        <f t="shared" si="353"/>
        <v>0</v>
      </c>
      <c r="CC82" s="1">
        <f t="shared" si="354"/>
        <v>0</v>
      </c>
      <c r="CD82" s="1">
        <f t="shared" si="355"/>
        <v>0</v>
      </c>
      <c r="CE82" s="1">
        <f t="shared" si="356"/>
        <v>0</v>
      </c>
      <c r="CF82" s="1">
        <f t="shared" si="357"/>
        <v>0</v>
      </c>
    </row>
    <row r="83" spans="3:84" ht="16.149999999999999" customHeight="1" outlineLevel="1">
      <c r="C83" s="27" t="s">
        <v>80</v>
      </c>
      <c r="D83" s="55">
        <v>-111</v>
      </c>
      <c r="F83" s="56">
        <v>10.64</v>
      </c>
      <c r="G83" s="57">
        <f>+D83*F83</f>
        <v>-1181.04</v>
      </c>
      <c r="H83" s="28"/>
      <c r="I83" s="59" t="str">
        <f t="shared" si="328"/>
        <v/>
      </c>
      <c r="J83" s="64"/>
      <c r="K83" s="59" t="str">
        <f t="shared" si="329"/>
        <v/>
      </c>
      <c r="L83" s="64"/>
      <c r="M83" s="59" t="str">
        <f t="shared" si="420"/>
        <v/>
      </c>
      <c r="N83" s="64"/>
      <c r="O83" s="59" t="str">
        <f t="shared" si="421"/>
        <v/>
      </c>
      <c r="P83" s="64"/>
      <c r="Q83" s="59" t="str">
        <f t="shared" si="422"/>
        <v/>
      </c>
      <c r="R83" s="64"/>
      <c r="S83" s="59" t="str">
        <f t="shared" si="423"/>
        <v/>
      </c>
      <c r="T83" s="64"/>
      <c r="U83" s="59" t="str">
        <f t="shared" si="424"/>
        <v/>
      </c>
      <c r="V83" s="64"/>
      <c r="W83" s="59" t="str">
        <f t="shared" si="425"/>
        <v/>
      </c>
      <c r="X83" s="94">
        <v>-61</v>
      </c>
      <c r="Y83" s="59">
        <f t="shared" si="426"/>
        <v>-649.04000000000008</v>
      </c>
      <c r="Z83" s="94">
        <v>-25</v>
      </c>
      <c r="AA83" s="59">
        <f t="shared" si="427"/>
        <v>-266</v>
      </c>
      <c r="AB83" s="94">
        <v>-15</v>
      </c>
      <c r="AC83" s="59">
        <f t="shared" si="428"/>
        <v>-159.60000000000002</v>
      </c>
      <c r="AD83" s="94">
        <v>-5</v>
      </c>
      <c r="AE83" s="59">
        <f t="shared" si="429"/>
        <v>-53.2</v>
      </c>
      <c r="AF83" s="94">
        <v>-5</v>
      </c>
      <c r="AG83" s="59">
        <f t="shared" si="430"/>
        <v>-53.2</v>
      </c>
      <c r="AH83" s="94"/>
      <c r="AI83" s="59" t="str">
        <f t="shared" si="430"/>
        <v/>
      </c>
      <c r="AJ83" s="64"/>
      <c r="AK83" s="59" t="str">
        <f t="shared" si="430"/>
        <v/>
      </c>
      <c r="AL83" s="64"/>
      <c r="AM83" s="59" t="str">
        <f t="shared" si="430"/>
        <v/>
      </c>
      <c r="AN83" s="64"/>
      <c r="AO83" s="59" t="str">
        <f t="shared" si="430"/>
        <v/>
      </c>
      <c r="AP83" s="64"/>
      <c r="AQ83" s="59" t="str">
        <f t="shared" si="430"/>
        <v/>
      </c>
      <c r="AR83" s="64"/>
      <c r="AS83" s="59" t="str">
        <f t="shared" si="430"/>
        <v/>
      </c>
      <c r="AT83" s="64"/>
      <c r="AU83" s="59" t="str">
        <f t="shared" si="430"/>
        <v/>
      </c>
      <c r="AV83" s="64"/>
      <c r="AW83" s="59" t="str">
        <f t="shared" si="430"/>
        <v/>
      </c>
      <c r="AX83" s="64"/>
      <c r="AY83" s="59" t="str">
        <f t="shared" si="430"/>
        <v/>
      </c>
      <c r="AZ83" s="64"/>
      <c r="BA83" s="59" t="str">
        <f t="shared" si="430"/>
        <v/>
      </c>
      <c r="BB83" s="64"/>
      <c r="BC83" s="59" t="str">
        <f t="shared" si="430"/>
        <v/>
      </c>
      <c r="BD83" s="61">
        <f t="shared" si="331"/>
        <v>-111</v>
      </c>
      <c r="BE83" s="59">
        <f t="shared" si="332"/>
        <v>-1181.04</v>
      </c>
      <c r="BF83" s="61">
        <f>+D83-BD83</f>
        <v>0</v>
      </c>
      <c r="BG83" s="59">
        <f t="shared" si="333"/>
        <v>0</v>
      </c>
      <c r="BH83" s="96"/>
      <c r="BI83" s="1">
        <f t="shared" si="334"/>
        <v>0</v>
      </c>
      <c r="BJ83" s="1">
        <f t="shared" si="335"/>
        <v>0</v>
      </c>
      <c r="BK83" s="1">
        <f t="shared" si="336"/>
        <v>0</v>
      </c>
      <c r="BL83" s="1">
        <f t="shared" si="337"/>
        <v>0</v>
      </c>
      <c r="BM83" s="1">
        <f t="shared" si="338"/>
        <v>0</v>
      </c>
      <c r="BN83" s="1">
        <f t="shared" si="339"/>
        <v>0</v>
      </c>
      <c r="BO83" s="1">
        <f t="shared" si="340"/>
        <v>0</v>
      </c>
      <c r="BP83" s="1">
        <f t="shared" si="341"/>
        <v>0</v>
      </c>
      <c r="BQ83" s="1">
        <f t="shared" si="342"/>
        <v>-61</v>
      </c>
      <c r="BR83" s="1">
        <f t="shared" si="343"/>
        <v>-25</v>
      </c>
      <c r="BS83" s="1">
        <f t="shared" si="344"/>
        <v>-15</v>
      </c>
      <c r="BT83" s="1">
        <f t="shared" si="345"/>
        <v>-5</v>
      </c>
      <c r="BU83" s="1">
        <f t="shared" si="346"/>
        <v>-5</v>
      </c>
      <c r="BV83" s="1">
        <f t="shared" si="347"/>
        <v>0</v>
      </c>
      <c r="BW83" s="1">
        <f t="shared" si="348"/>
        <v>0</v>
      </c>
      <c r="BX83" s="1">
        <f t="shared" si="349"/>
        <v>0</v>
      </c>
      <c r="BY83" s="1">
        <f t="shared" si="350"/>
        <v>0</v>
      </c>
      <c r="BZ83" s="1">
        <f t="shared" si="351"/>
        <v>0</v>
      </c>
      <c r="CA83" s="1">
        <f t="shared" si="352"/>
        <v>0</v>
      </c>
      <c r="CB83" s="1">
        <f t="shared" si="353"/>
        <v>0</v>
      </c>
      <c r="CC83" s="1">
        <f t="shared" si="354"/>
        <v>0</v>
      </c>
      <c r="CD83" s="1">
        <f t="shared" si="355"/>
        <v>0</v>
      </c>
      <c r="CE83" s="1">
        <f t="shared" si="356"/>
        <v>0</v>
      </c>
      <c r="CF83" s="1">
        <f t="shared" si="357"/>
        <v>0</v>
      </c>
    </row>
    <row r="84" spans="3:84" ht="16.149999999999999" customHeight="1" outlineLevel="1">
      <c r="C84" s="27" t="s">
        <v>85</v>
      </c>
      <c r="D84" s="55">
        <v>-15</v>
      </c>
      <c r="F84" s="56">
        <v>13.04</v>
      </c>
      <c r="G84" s="57">
        <f>+D84*F84</f>
        <v>-195.6</v>
      </c>
      <c r="H84" s="28"/>
      <c r="I84" s="59" t="str">
        <f t="shared" si="328"/>
        <v/>
      </c>
      <c r="J84" s="64"/>
      <c r="K84" s="59" t="str">
        <f t="shared" si="329"/>
        <v/>
      </c>
      <c r="L84" s="64"/>
      <c r="M84" s="59" t="str">
        <f t="shared" si="420"/>
        <v/>
      </c>
      <c r="N84" s="64"/>
      <c r="O84" s="59" t="str">
        <f t="shared" si="421"/>
        <v/>
      </c>
      <c r="P84" s="64"/>
      <c r="Q84" s="59" t="str">
        <f t="shared" si="422"/>
        <v/>
      </c>
      <c r="R84" s="64"/>
      <c r="S84" s="59" t="str">
        <f t="shared" si="423"/>
        <v/>
      </c>
      <c r="T84" s="64"/>
      <c r="U84" s="59" t="str">
        <f t="shared" si="424"/>
        <v/>
      </c>
      <c r="V84" s="64"/>
      <c r="W84" s="59" t="str">
        <f t="shared" si="425"/>
        <v/>
      </c>
      <c r="X84" s="94">
        <v>-5</v>
      </c>
      <c r="Y84" s="59">
        <f t="shared" si="426"/>
        <v>-65.199999999999989</v>
      </c>
      <c r="Z84" s="94">
        <v>-5</v>
      </c>
      <c r="AA84" s="59">
        <f t="shared" si="427"/>
        <v>-65.199999999999989</v>
      </c>
      <c r="AB84" s="94">
        <v>-2.5</v>
      </c>
      <c r="AC84" s="59">
        <f t="shared" si="428"/>
        <v>-32.599999999999994</v>
      </c>
      <c r="AD84" s="94"/>
      <c r="AE84" s="59" t="str">
        <f t="shared" si="429"/>
        <v/>
      </c>
      <c r="AF84" s="94">
        <v>-2.5</v>
      </c>
      <c r="AG84" s="59">
        <f t="shared" si="430"/>
        <v>-32.599999999999994</v>
      </c>
      <c r="AH84" s="94"/>
      <c r="AI84" s="59" t="str">
        <f t="shared" si="430"/>
        <v/>
      </c>
      <c r="AJ84" s="64"/>
      <c r="AK84" s="59" t="str">
        <f t="shared" si="430"/>
        <v/>
      </c>
      <c r="AL84" s="64"/>
      <c r="AM84" s="59" t="str">
        <f t="shared" si="430"/>
        <v/>
      </c>
      <c r="AN84" s="64"/>
      <c r="AO84" s="59" t="str">
        <f t="shared" si="430"/>
        <v/>
      </c>
      <c r="AP84" s="64"/>
      <c r="AQ84" s="59" t="str">
        <f t="shared" si="430"/>
        <v/>
      </c>
      <c r="AR84" s="64"/>
      <c r="AS84" s="59" t="str">
        <f t="shared" si="430"/>
        <v/>
      </c>
      <c r="AT84" s="64"/>
      <c r="AU84" s="59" t="str">
        <f t="shared" si="430"/>
        <v/>
      </c>
      <c r="AV84" s="64"/>
      <c r="AW84" s="59" t="str">
        <f t="shared" si="430"/>
        <v/>
      </c>
      <c r="AX84" s="64"/>
      <c r="AY84" s="59" t="str">
        <f t="shared" si="430"/>
        <v/>
      </c>
      <c r="AZ84" s="64"/>
      <c r="BA84" s="59" t="str">
        <f t="shared" si="430"/>
        <v/>
      </c>
      <c r="BB84" s="64"/>
      <c r="BC84" s="59" t="str">
        <f t="shared" si="430"/>
        <v/>
      </c>
      <c r="BD84" s="61">
        <f t="shared" si="331"/>
        <v>-15</v>
      </c>
      <c r="BE84" s="59">
        <f t="shared" si="332"/>
        <v>-195.6</v>
      </c>
      <c r="BF84" s="61">
        <f>+D84-BD84</f>
        <v>0</v>
      </c>
      <c r="BG84" s="59">
        <f t="shared" si="333"/>
        <v>0</v>
      </c>
      <c r="BH84" s="96"/>
      <c r="BI84" s="1">
        <f t="shared" si="334"/>
        <v>0</v>
      </c>
      <c r="BJ84" s="1">
        <f t="shared" si="335"/>
        <v>0</v>
      </c>
      <c r="BK84" s="1">
        <f t="shared" si="336"/>
        <v>0</v>
      </c>
      <c r="BL84" s="1">
        <f t="shared" si="337"/>
        <v>0</v>
      </c>
      <c r="BM84" s="1">
        <f t="shared" si="338"/>
        <v>0</v>
      </c>
      <c r="BN84" s="1">
        <f t="shared" si="339"/>
        <v>0</v>
      </c>
      <c r="BO84" s="1">
        <f t="shared" si="340"/>
        <v>0</v>
      </c>
      <c r="BP84" s="1">
        <f t="shared" si="341"/>
        <v>0</v>
      </c>
      <c r="BQ84" s="1">
        <f t="shared" si="342"/>
        <v>-5</v>
      </c>
      <c r="BR84" s="1">
        <f t="shared" si="343"/>
        <v>-5</v>
      </c>
      <c r="BS84" s="1">
        <f t="shared" si="344"/>
        <v>-2.5</v>
      </c>
      <c r="BT84" s="1">
        <f t="shared" si="345"/>
        <v>0</v>
      </c>
      <c r="BU84" s="1">
        <f t="shared" si="346"/>
        <v>-2.5</v>
      </c>
      <c r="BV84" s="1">
        <f t="shared" si="347"/>
        <v>0</v>
      </c>
      <c r="BW84" s="1">
        <f t="shared" si="348"/>
        <v>0</v>
      </c>
      <c r="BX84" s="1">
        <f t="shared" si="349"/>
        <v>0</v>
      </c>
      <c r="BY84" s="1">
        <f t="shared" si="350"/>
        <v>0</v>
      </c>
      <c r="BZ84" s="1">
        <f t="shared" si="351"/>
        <v>0</v>
      </c>
      <c r="CA84" s="1">
        <f t="shared" si="352"/>
        <v>0</v>
      </c>
      <c r="CB84" s="1">
        <f t="shared" si="353"/>
        <v>0</v>
      </c>
      <c r="CC84" s="1">
        <f t="shared" si="354"/>
        <v>0</v>
      </c>
      <c r="CD84" s="1">
        <f t="shared" si="355"/>
        <v>0</v>
      </c>
      <c r="CE84" s="1">
        <f t="shared" si="356"/>
        <v>0</v>
      </c>
      <c r="CF84" s="1">
        <f t="shared" si="357"/>
        <v>0</v>
      </c>
    </row>
    <row r="85" spans="3:84" ht="22.5" outlineLevel="1">
      <c r="C85" s="27" t="s">
        <v>430</v>
      </c>
      <c r="D85" s="55">
        <v>-31</v>
      </c>
      <c r="F85" s="56">
        <v>18.55</v>
      </c>
      <c r="G85" s="57">
        <f>+D85*F85</f>
        <v>-575.05000000000007</v>
      </c>
      <c r="H85" s="28"/>
      <c r="I85" s="59" t="str">
        <f t="shared" si="328"/>
        <v/>
      </c>
      <c r="J85" s="64"/>
      <c r="K85" s="59" t="str">
        <f t="shared" si="329"/>
        <v/>
      </c>
      <c r="L85" s="64"/>
      <c r="M85" s="59" t="str">
        <f t="shared" si="420"/>
        <v/>
      </c>
      <c r="N85" s="64"/>
      <c r="O85" s="59" t="str">
        <f t="shared" si="421"/>
        <v/>
      </c>
      <c r="P85" s="64"/>
      <c r="Q85" s="59" t="str">
        <f t="shared" si="422"/>
        <v/>
      </c>
      <c r="R85" s="64"/>
      <c r="S85" s="59" t="str">
        <f t="shared" si="423"/>
        <v/>
      </c>
      <c r="T85" s="64"/>
      <c r="U85" s="59" t="str">
        <f t="shared" si="424"/>
        <v/>
      </c>
      <c r="V85" s="64"/>
      <c r="W85" s="59" t="str">
        <f t="shared" si="425"/>
        <v/>
      </c>
      <c r="X85" s="94">
        <v>-21</v>
      </c>
      <c r="Y85" s="59">
        <f t="shared" si="426"/>
        <v>-389.55</v>
      </c>
      <c r="Z85" s="94">
        <v>-5</v>
      </c>
      <c r="AA85" s="59">
        <f t="shared" si="427"/>
        <v>-92.75</v>
      </c>
      <c r="AB85" s="94">
        <v>-2.5</v>
      </c>
      <c r="AC85" s="59">
        <f t="shared" si="428"/>
        <v>-46.375</v>
      </c>
      <c r="AD85" s="94"/>
      <c r="AE85" s="59" t="str">
        <f t="shared" si="429"/>
        <v/>
      </c>
      <c r="AF85" s="94">
        <v>-2.5</v>
      </c>
      <c r="AG85" s="59">
        <f t="shared" si="430"/>
        <v>-46.375</v>
      </c>
      <c r="AH85" s="94"/>
      <c r="AI85" s="59" t="str">
        <f t="shared" si="430"/>
        <v/>
      </c>
      <c r="AJ85" s="64"/>
      <c r="AK85" s="59" t="str">
        <f t="shared" si="430"/>
        <v/>
      </c>
      <c r="AL85" s="64"/>
      <c r="AM85" s="59" t="str">
        <f t="shared" si="430"/>
        <v/>
      </c>
      <c r="AN85" s="64"/>
      <c r="AO85" s="59" t="str">
        <f t="shared" si="430"/>
        <v/>
      </c>
      <c r="AP85" s="64"/>
      <c r="AQ85" s="59" t="str">
        <f t="shared" si="430"/>
        <v/>
      </c>
      <c r="AR85" s="64"/>
      <c r="AS85" s="59" t="str">
        <f t="shared" si="430"/>
        <v/>
      </c>
      <c r="AT85" s="64"/>
      <c r="AU85" s="59" t="str">
        <f t="shared" si="430"/>
        <v/>
      </c>
      <c r="AV85" s="64"/>
      <c r="AW85" s="59" t="str">
        <f t="shared" si="430"/>
        <v/>
      </c>
      <c r="AX85" s="64"/>
      <c r="AY85" s="59" t="str">
        <f t="shared" si="430"/>
        <v/>
      </c>
      <c r="AZ85" s="64"/>
      <c r="BA85" s="59" t="str">
        <f t="shared" si="430"/>
        <v/>
      </c>
      <c r="BB85" s="64"/>
      <c r="BC85" s="59" t="str">
        <f t="shared" si="430"/>
        <v/>
      </c>
      <c r="BD85" s="61">
        <f t="shared" si="331"/>
        <v>-31</v>
      </c>
      <c r="BE85" s="59">
        <f t="shared" si="332"/>
        <v>-575.05000000000007</v>
      </c>
      <c r="BF85" s="61">
        <f>+D85-BD85</f>
        <v>0</v>
      </c>
      <c r="BG85" s="59">
        <f t="shared" si="333"/>
        <v>0</v>
      </c>
      <c r="BH85" s="96"/>
      <c r="BI85" s="1">
        <f t="shared" si="334"/>
        <v>0</v>
      </c>
      <c r="BJ85" s="1">
        <f t="shared" si="335"/>
        <v>0</v>
      </c>
      <c r="BK85" s="1">
        <f t="shared" si="336"/>
        <v>0</v>
      </c>
      <c r="BL85" s="1">
        <f t="shared" si="337"/>
        <v>0</v>
      </c>
      <c r="BM85" s="1">
        <f t="shared" si="338"/>
        <v>0</v>
      </c>
      <c r="BN85" s="1">
        <f t="shared" si="339"/>
        <v>0</v>
      </c>
      <c r="BO85" s="1">
        <f t="shared" si="340"/>
        <v>0</v>
      </c>
      <c r="BP85" s="1">
        <f t="shared" si="341"/>
        <v>0</v>
      </c>
      <c r="BQ85" s="1">
        <f t="shared" si="342"/>
        <v>-21</v>
      </c>
      <c r="BR85" s="1">
        <f t="shared" si="343"/>
        <v>-5</v>
      </c>
      <c r="BS85" s="1">
        <f t="shared" si="344"/>
        <v>-2.5</v>
      </c>
      <c r="BT85" s="1">
        <f t="shared" si="345"/>
        <v>0</v>
      </c>
      <c r="BU85" s="1">
        <f t="shared" si="346"/>
        <v>-2.5</v>
      </c>
      <c r="BV85" s="1">
        <f t="shared" si="347"/>
        <v>0</v>
      </c>
      <c r="BW85" s="1">
        <f t="shared" si="348"/>
        <v>0</v>
      </c>
      <c r="BX85" s="1">
        <f t="shared" si="349"/>
        <v>0</v>
      </c>
      <c r="BY85" s="1">
        <f t="shared" si="350"/>
        <v>0</v>
      </c>
      <c r="BZ85" s="1">
        <f t="shared" si="351"/>
        <v>0</v>
      </c>
      <c r="CA85" s="1">
        <f t="shared" si="352"/>
        <v>0</v>
      </c>
      <c r="CB85" s="1">
        <f t="shared" si="353"/>
        <v>0</v>
      </c>
      <c r="CC85" s="1">
        <f t="shared" si="354"/>
        <v>0</v>
      </c>
      <c r="CD85" s="1">
        <f t="shared" si="355"/>
        <v>0</v>
      </c>
      <c r="CE85" s="1">
        <f t="shared" si="356"/>
        <v>0</v>
      </c>
      <c r="CF85" s="1">
        <f t="shared" si="357"/>
        <v>0</v>
      </c>
    </row>
    <row r="86" spans="3:84" ht="16.149999999999999" customHeight="1" outlineLevel="1">
      <c r="C86" s="27" t="s">
        <v>86</v>
      </c>
      <c r="G86" s="57"/>
      <c r="H86" s="28"/>
      <c r="J86" s="64"/>
      <c r="L86" s="64"/>
      <c r="N86" s="64"/>
      <c r="P86" s="64"/>
      <c r="R86" s="64"/>
      <c r="T86" s="64"/>
      <c r="V86" s="64"/>
      <c r="X86" s="94"/>
      <c r="Z86" s="94"/>
      <c r="AB86" s="94"/>
      <c r="AD86" s="94"/>
      <c r="AF86" s="94"/>
      <c r="AH86" s="94"/>
      <c r="AJ86" s="64"/>
      <c r="AL86" s="64"/>
      <c r="AN86" s="64"/>
      <c r="AP86" s="64"/>
      <c r="AR86" s="64"/>
      <c r="AT86" s="64"/>
      <c r="AV86" s="64"/>
      <c r="AX86" s="64"/>
      <c r="AZ86" s="64"/>
      <c r="BB86" s="64"/>
      <c r="BD86" s="61"/>
      <c r="BF86" s="61"/>
      <c r="BH86" s="96"/>
    </row>
    <row r="87" spans="3:84" ht="22.5" outlineLevel="1">
      <c r="C87" s="27" t="s">
        <v>431</v>
      </c>
      <c r="D87" s="55">
        <v>-87</v>
      </c>
      <c r="F87" s="56">
        <v>7.59</v>
      </c>
      <c r="G87" s="57">
        <f>+D87*F87</f>
        <v>-660.33</v>
      </c>
      <c r="H87" s="28"/>
      <c r="I87" s="59" t="str">
        <f t="shared" si="328"/>
        <v/>
      </c>
      <c r="J87" s="64"/>
      <c r="K87" s="59" t="str">
        <f t="shared" si="329"/>
        <v/>
      </c>
      <c r="L87" s="64"/>
      <c r="M87" s="59" t="str">
        <f t="shared" ref="M87:M88" si="431">+IF(OR($F87="",L87=""),"",$F87*L87)</f>
        <v/>
      </c>
      <c r="N87" s="64"/>
      <c r="O87" s="59" t="str">
        <f t="shared" ref="O87:O88" si="432">+IF(OR($F87="",N87=""),"",$F87*N87)</f>
        <v/>
      </c>
      <c r="P87" s="64"/>
      <c r="Q87" s="59" t="str">
        <f t="shared" ref="Q87:Q88" si="433">+IF(OR($F87="",P87=""),"",$F87*P87)</f>
        <v/>
      </c>
      <c r="R87" s="64"/>
      <c r="S87" s="59" t="str">
        <f t="shared" ref="S87:S88" si="434">+IF(OR($F87="",R87=""),"",$F87*R87)</f>
        <v/>
      </c>
      <c r="T87" s="64"/>
      <c r="U87" s="59" t="str">
        <f t="shared" ref="U87:U88" si="435">+IF(OR($F87="",T87=""),"",$F87*T87)</f>
        <v/>
      </c>
      <c r="V87" s="64"/>
      <c r="W87" s="59" t="str">
        <f t="shared" ref="W87:W88" si="436">+IF(OR($F87="",V87=""),"",$F87*V87)</f>
        <v/>
      </c>
      <c r="X87" s="94">
        <v>-27</v>
      </c>
      <c r="Y87" s="59">
        <f t="shared" ref="Y87:Y88" si="437">+IF(OR($F87="",X87=""),"",$F87*X87)</f>
        <v>-204.93</v>
      </c>
      <c r="Z87" s="94">
        <v>-30</v>
      </c>
      <c r="AA87" s="59">
        <f t="shared" ref="AA87:AA88" si="438">+IF(OR($F87="",Z87=""),"",$F87*Z87)</f>
        <v>-227.7</v>
      </c>
      <c r="AB87" s="94">
        <v>-15</v>
      </c>
      <c r="AC87" s="59">
        <f t="shared" ref="AC87:AC88" si="439">+IF(OR($F87="",AB87=""),"",$F87*AB87)</f>
        <v>-113.85</v>
      </c>
      <c r="AD87" s="94">
        <v>-10</v>
      </c>
      <c r="AE87" s="59">
        <f t="shared" ref="AE87:AE88" si="440">+IF(OR($F87="",AD87=""),"",$F87*AD87)</f>
        <v>-75.900000000000006</v>
      </c>
      <c r="AF87" s="94">
        <v>-5</v>
      </c>
      <c r="AG87" s="59">
        <f t="shared" ref="AG87:BC88" si="441">+IF(OR($F87="",AF87=""),"",$F87*AF87)</f>
        <v>-37.950000000000003</v>
      </c>
      <c r="AH87" s="94"/>
      <c r="AI87" s="59" t="str">
        <f t="shared" si="441"/>
        <v/>
      </c>
      <c r="AJ87" s="64"/>
      <c r="AK87" s="59" t="str">
        <f t="shared" si="441"/>
        <v/>
      </c>
      <c r="AL87" s="64"/>
      <c r="AM87" s="59" t="str">
        <f t="shared" si="441"/>
        <v/>
      </c>
      <c r="AN87" s="64"/>
      <c r="AO87" s="59" t="str">
        <f t="shared" si="441"/>
        <v/>
      </c>
      <c r="AP87" s="64"/>
      <c r="AQ87" s="59" t="str">
        <f t="shared" si="441"/>
        <v/>
      </c>
      <c r="AR87" s="64"/>
      <c r="AS87" s="59" t="str">
        <f t="shared" si="441"/>
        <v/>
      </c>
      <c r="AT87" s="64"/>
      <c r="AU87" s="59" t="str">
        <f t="shared" si="441"/>
        <v/>
      </c>
      <c r="AV87" s="64"/>
      <c r="AW87" s="59" t="str">
        <f t="shared" si="441"/>
        <v/>
      </c>
      <c r="AX87" s="64"/>
      <c r="AY87" s="59" t="str">
        <f t="shared" si="441"/>
        <v/>
      </c>
      <c r="AZ87" s="64"/>
      <c r="BA87" s="59" t="str">
        <f t="shared" si="441"/>
        <v/>
      </c>
      <c r="BB87" s="64"/>
      <c r="BC87" s="59" t="str">
        <f t="shared" si="441"/>
        <v/>
      </c>
      <c r="BD87" s="61">
        <f t="shared" si="331"/>
        <v>-87</v>
      </c>
      <c r="BE87" s="59">
        <f t="shared" si="332"/>
        <v>-660.33</v>
      </c>
      <c r="BF87" s="61">
        <f>+D87-BD87</f>
        <v>0</v>
      </c>
      <c r="BG87" s="59">
        <f t="shared" si="333"/>
        <v>0</v>
      </c>
      <c r="BH87" s="96"/>
      <c r="BI87" s="1">
        <f t="shared" si="334"/>
        <v>0</v>
      </c>
      <c r="BJ87" s="1">
        <f t="shared" si="335"/>
        <v>0</v>
      </c>
      <c r="BK87" s="1">
        <f t="shared" si="336"/>
        <v>0</v>
      </c>
      <c r="BL87" s="1">
        <f t="shared" si="337"/>
        <v>0</v>
      </c>
      <c r="BM87" s="1">
        <f t="shared" si="338"/>
        <v>0</v>
      </c>
      <c r="BN87" s="1">
        <f t="shared" si="339"/>
        <v>0</v>
      </c>
      <c r="BO87" s="1">
        <f t="shared" si="340"/>
        <v>0</v>
      </c>
      <c r="BP87" s="1">
        <f t="shared" si="341"/>
        <v>0</v>
      </c>
      <c r="BQ87" s="1">
        <f t="shared" si="342"/>
        <v>-27</v>
      </c>
      <c r="BR87" s="1">
        <f t="shared" si="343"/>
        <v>-30</v>
      </c>
      <c r="BS87" s="1">
        <f t="shared" si="344"/>
        <v>-15</v>
      </c>
      <c r="BT87" s="1">
        <f t="shared" si="345"/>
        <v>-10</v>
      </c>
      <c r="BU87" s="1">
        <f t="shared" si="346"/>
        <v>-5</v>
      </c>
      <c r="BV87" s="1">
        <f t="shared" si="347"/>
        <v>0</v>
      </c>
      <c r="BW87" s="1">
        <f t="shared" si="348"/>
        <v>0</v>
      </c>
      <c r="BX87" s="1">
        <f t="shared" si="349"/>
        <v>0</v>
      </c>
      <c r="BY87" s="1">
        <f t="shared" si="350"/>
        <v>0</v>
      </c>
      <c r="BZ87" s="1">
        <f t="shared" si="351"/>
        <v>0</v>
      </c>
      <c r="CA87" s="1">
        <f t="shared" si="352"/>
        <v>0</v>
      </c>
      <c r="CB87" s="1">
        <f t="shared" si="353"/>
        <v>0</v>
      </c>
      <c r="CC87" s="1">
        <f t="shared" si="354"/>
        <v>0</v>
      </c>
      <c r="CD87" s="1">
        <f t="shared" si="355"/>
        <v>0</v>
      </c>
      <c r="CE87" s="1">
        <f t="shared" si="356"/>
        <v>0</v>
      </c>
      <c r="CF87" s="1">
        <f t="shared" si="357"/>
        <v>0</v>
      </c>
    </row>
    <row r="88" spans="3:84" ht="22.5" outlineLevel="1">
      <c r="C88" s="27" t="s">
        <v>778</v>
      </c>
      <c r="D88" s="55">
        <v>-10</v>
      </c>
      <c r="F88" s="56">
        <v>107.76</v>
      </c>
      <c r="G88" s="57">
        <f>+D88*F88</f>
        <v>-1077.6000000000001</v>
      </c>
      <c r="H88" s="28"/>
      <c r="I88" s="59" t="str">
        <f t="shared" si="328"/>
        <v/>
      </c>
      <c r="J88" s="64"/>
      <c r="K88" s="59" t="str">
        <f t="shared" si="329"/>
        <v/>
      </c>
      <c r="L88" s="64"/>
      <c r="M88" s="59" t="str">
        <f t="shared" si="431"/>
        <v/>
      </c>
      <c r="N88" s="64"/>
      <c r="O88" s="59" t="str">
        <f t="shared" si="432"/>
        <v/>
      </c>
      <c r="P88" s="64"/>
      <c r="Q88" s="59" t="str">
        <f t="shared" si="433"/>
        <v/>
      </c>
      <c r="R88" s="64"/>
      <c r="S88" s="59" t="str">
        <f t="shared" si="434"/>
        <v/>
      </c>
      <c r="T88" s="64"/>
      <c r="U88" s="59" t="str">
        <f t="shared" si="435"/>
        <v/>
      </c>
      <c r="V88" s="64"/>
      <c r="W88" s="59" t="str">
        <f t="shared" si="436"/>
        <v/>
      </c>
      <c r="X88" s="94">
        <v>-6</v>
      </c>
      <c r="Y88" s="59">
        <f t="shared" si="437"/>
        <v>-646.56000000000006</v>
      </c>
      <c r="Z88" s="94">
        <v>-2</v>
      </c>
      <c r="AA88" s="59">
        <f t="shared" si="438"/>
        <v>-215.52</v>
      </c>
      <c r="AB88" s="94">
        <v>-0.5</v>
      </c>
      <c r="AC88" s="59">
        <f t="shared" si="439"/>
        <v>-53.88</v>
      </c>
      <c r="AD88" s="94"/>
      <c r="AE88" s="59" t="str">
        <f t="shared" si="440"/>
        <v/>
      </c>
      <c r="AF88" s="94">
        <v>-1.5</v>
      </c>
      <c r="AG88" s="59">
        <f t="shared" si="441"/>
        <v>-161.64000000000001</v>
      </c>
      <c r="AH88" s="94"/>
      <c r="AI88" s="59" t="str">
        <f t="shared" si="441"/>
        <v/>
      </c>
      <c r="AJ88" s="64"/>
      <c r="AK88" s="59" t="str">
        <f t="shared" si="441"/>
        <v/>
      </c>
      <c r="AL88" s="64"/>
      <c r="AM88" s="59" t="str">
        <f t="shared" si="441"/>
        <v/>
      </c>
      <c r="AN88" s="64"/>
      <c r="AO88" s="59" t="str">
        <f t="shared" si="441"/>
        <v/>
      </c>
      <c r="AP88" s="64"/>
      <c r="AQ88" s="59" t="str">
        <f t="shared" si="441"/>
        <v/>
      </c>
      <c r="AR88" s="64"/>
      <c r="AS88" s="59" t="str">
        <f t="shared" si="441"/>
        <v/>
      </c>
      <c r="AT88" s="64"/>
      <c r="AU88" s="59" t="str">
        <f t="shared" si="441"/>
        <v/>
      </c>
      <c r="AV88" s="64"/>
      <c r="AW88" s="59" t="str">
        <f t="shared" si="441"/>
        <v/>
      </c>
      <c r="AX88" s="64"/>
      <c r="AY88" s="59" t="str">
        <f t="shared" si="441"/>
        <v/>
      </c>
      <c r="AZ88" s="64"/>
      <c r="BA88" s="59" t="str">
        <f t="shared" si="441"/>
        <v/>
      </c>
      <c r="BB88" s="64"/>
      <c r="BC88" s="59" t="str">
        <f t="shared" si="441"/>
        <v/>
      </c>
      <c r="BD88" s="61">
        <f t="shared" si="331"/>
        <v>-10</v>
      </c>
      <c r="BE88" s="59">
        <f t="shared" si="332"/>
        <v>-1077.6000000000001</v>
      </c>
      <c r="BF88" s="61">
        <f>+D88-BD88</f>
        <v>0</v>
      </c>
      <c r="BG88" s="59">
        <f t="shared" si="333"/>
        <v>0</v>
      </c>
      <c r="BH88" s="96"/>
      <c r="BI88" s="1">
        <f t="shared" si="334"/>
        <v>0</v>
      </c>
      <c r="BJ88" s="1">
        <f t="shared" si="335"/>
        <v>0</v>
      </c>
      <c r="BK88" s="1">
        <f t="shared" si="336"/>
        <v>0</v>
      </c>
      <c r="BL88" s="1">
        <f t="shared" si="337"/>
        <v>0</v>
      </c>
      <c r="BM88" s="1">
        <f t="shared" si="338"/>
        <v>0</v>
      </c>
      <c r="BN88" s="1">
        <f t="shared" si="339"/>
        <v>0</v>
      </c>
      <c r="BO88" s="1">
        <f t="shared" si="340"/>
        <v>0</v>
      </c>
      <c r="BP88" s="1">
        <f t="shared" si="341"/>
        <v>0</v>
      </c>
      <c r="BQ88" s="1">
        <f t="shared" si="342"/>
        <v>-6</v>
      </c>
      <c r="BR88" s="1">
        <f t="shared" si="343"/>
        <v>-2</v>
      </c>
      <c r="BS88" s="1">
        <f t="shared" si="344"/>
        <v>-0.5</v>
      </c>
      <c r="BT88" s="1">
        <f t="shared" si="345"/>
        <v>0</v>
      </c>
      <c r="BU88" s="1">
        <f t="shared" si="346"/>
        <v>-1.5</v>
      </c>
      <c r="BV88" s="1">
        <f t="shared" si="347"/>
        <v>0</v>
      </c>
      <c r="BW88" s="1">
        <f t="shared" si="348"/>
        <v>0</v>
      </c>
      <c r="BX88" s="1">
        <f t="shared" si="349"/>
        <v>0</v>
      </c>
      <c r="BY88" s="1">
        <f t="shared" si="350"/>
        <v>0</v>
      </c>
      <c r="BZ88" s="1">
        <f t="shared" si="351"/>
        <v>0</v>
      </c>
      <c r="CA88" s="1">
        <f t="shared" si="352"/>
        <v>0</v>
      </c>
      <c r="CB88" s="1">
        <f t="shared" si="353"/>
        <v>0</v>
      </c>
      <c r="CC88" s="1">
        <f t="shared" si="354"/>
        <v>0</v>
      </c>
      <c r="CD88" s="1">
        <f t="shared" si="355"/>
        <v>0</v>
      </c>
      <c r="CE88" s="1">
        <f t="shared" si="356"/>
        <v>0</v>
      </c>
      <c r="CF88" s="1">
        <f t="shared" si="357"/>
        <v>0</v>
      </c>
    </row>
    <row r="89" spans="3:84" ht="44.65" customHeight="1" outlineLevel="1">
      <c r="C89" s="27" t="s">
        <v>779</v>
      </c>
      <c r="G89" s="57"/>
      <c r="H89" s="28"/>
      <c r="J89" s="64"/>
      <c r="L89" s="64"/>
      <c r="N89" s="64"/>
      <c r="P89" s="64"/>
      <c r="R89" s="64"/>
      <c r="T89" s="64"/>
      <c r="V89" s="64"/>
      <c r="X89" s="94"/>
      <c r="Z89" s="94"/>
      <c r="AB89" s="94"/>
      <c r="AD89" s="94"/>
      <c r="AF89" s="94"/>
      <c r="AH89" s="94"/>
      <c r="AJ89" s="64"/>
      <c r="AL89" s="64"/>
      <c r="AN89" s="64"/>
      <c r="AP89" s="64"/>
      <c r="AR89" s="64"/>
      <c r="AT89" s="64"/>
      <c r="AV89" s="64"/>
      <c r="AX89" s="64"/>
      <c r="AZ89" s="64"/>
      <c r="BB89" s="64"/>
      <c r="BD89" s="61"/>
      <c r="BF89" s="61"/>
      <c r="BH89" s="96"/>
    </row>
    <row r="90" spans="3:84" ht="16.149999999999999" customHeight="1" outlineLevel="1">
      <c r="C90" s="27" t="s">
        <v>780</v>
      </c>
      <c r="D90" s="55">
        <v>2</v>
      </c>
      <c r="F90" s="56">
        <v>1504.57</v>
      </c>
      <c r="G90" s="57">
        <f>+D90*F90</f>
        <v>3009.14</v>
      </c>
      <c r="H90" s="28"/>
      <c r="I90" s="59" t="str">
        <f t="shared" si="312"/>
        <v/>
      </c>
      <c r="J90" s="64"/>
      <c r="K90" s="59" t="str">
        <f t="shared" si="313"/>
        <v/>
      </c>
      <c r="L90" s="64"/>
      <c r="M90" s="59" t="str">
        <f t="shared" ref="M90:M94" si="442">+IF(OR($F90="",L90=""),"",$F90*L90)</f>
        <v/>
      </c>
      <c r="N90" s="64"/>
      <c r="O90" s="59" t="str">
        <f t="shared" ref="O90:O94" si="443">+IF(OR($F90="",N90=""),"",$F90*N90)</f>
        <v/>
      </c>
      <c r="P90" s="64"/>
      <c r="Q90" s="59" t="str">
        <f t="shared" ref="Q90:Q94" si="444">+IF(OR($F90="",P90=""),"",$F90*P90)</f>
        <v/>
      </c>
      <c r="R90" s="64"/>
      <c r="S90" s="59" t="str">
        <f t="shared" ref="S90:S94" si="445">+IF(OR($F90="",R90=""),"",$F90*R90)</f>
        <v/>
      </c>
      <c r="T90" s="64"/>
      <c r="U90" s="59" t="str">
        <f t="shared" ref="U90:U94" si="446">+IF(OR($F90="",T90=""),"",$F90*T90)</f>
        <v/>
      </c>
      <c r="V90" s="89">
        <f>0.85*D90</f>
        <v>1.7</v>
      </c>
      <c r="W90" s="59">
        <f t="shared" ref="W90:W94" si="447">+IF(OR($F90="",V90=""),"",$F90*V90)</f>
        <v>2557.7689999999998</v>
      </c>
      <c r="X90" s="94">
        <v>0.3</v>
      </c>
      <c r="Y90" s="59">
        <f t="shared" ref="Y90:Y94" si="448">+IF(OR($F90="",X90=""),"",$F90*X90)</f>
        <v>451.37099999999998</v>
      </c>
      <c r="Z90" s="94"/>
      <c r="AA90" s="59" t="str">
        <f t="shared" ref="AA90:AA94" si="449">+IF(OR($F90="",Z90=""),"",$F90*Z90)</f>
        <v/>
      </c>
      <c r="AB90" s="94"/>
      <c r="AC90" s="59" t="str">
        <f t="shared" ref="AC90:AC94" si="450">+IF(OR($F90="",AB90=""),"",$F90*AB90)</f>
        <v/>
      </c>
      <c r="AD90" s="94"/>
      <c r="AE90" s="59" t="str">
        <f t="shared" ref="AE90:AE94" si="451">+IF(OR($F90="",AD90=""),"",$F90*AD90)</f>
        <v/>
      </c>
      <c r="AF90" s="94"/>
      <c r="AG90" s="59" t="str">
        <f t="shared" ref="AG90:BC94" si="452">+IF(OR($F90="",AF90=""),"",$F90*AF90)</f>
        <v/>
      </c>
      <c r="AH90" s="94"/>
      <c r="AI90" s="59" t="str">
        <f t="shared" si="452"/>
        <v/>
      </c>
      <c r="AJ90" s="64"/>
      <c r="AK90" s="59" t="str">
        <f t="shared" si="452"/>
        <v/>
      </c>
      <c r="AL90" s="64"/>
      <c r="AM90" s="59" t="str">
        <f t="shared" si="452"/>
        <v/>
      </c>
      <c r="AN90" s="64"/>
      <c r="AO90" s="59" t="str">
        <f t="shared" si="452"/>
        <v/>
      </c>
      <c r="AP90" s="64"/>
      <c r="AQ90" s="59" t="str">
        <f t="shared" si="452"/>
        <v/>
      </c>
      <c r="AR90" s="64"/>
      <c r="AS90" s="59" t="str">
        <f t="shared" si="452"/>
        <v/>
      </c>
      <c r="AT90" s="64"/>
      <c r="AU90" s="59" t="str">
        <f t="shared" si="452"/>
        <v/>
      </c>
      <c r="AV90" s="64"/>
      <c r="AW90" s="59" t="str">
        <f t="shared" si="452"/>
        <v/>
      </c>
      <c r="AX90" s="64"/>
      <c r="AY90" s="59" t="str">
        <f t="shared" si="452"/>
        <v/>
      </c>
      <c r="AZ90" s="64"/>
      <c r="BA90" s="59" t="str">
        <f t="shared" si="452"/>
        <v/>
      </c>
      <c r="BB90" s="64"/>
      <c r="BC90" s="59" t="str">
        <f t="shared" si="452"/>
        <v/>
      </c>
      <c r="BD90" s="61">
        <f t="shared" si="325"/>
        <v>2</v>
      </c>
      <c r="BE90" s="59">
        <f t="shared" si="326"/>
        <v>3009.14</v>
      </c>
      <c r="BF90" s="61">
        <f>+D90-BD90</f>
        <v>0</v>
      </c>
      <c r="BG90" s="59">
        <f t="shared" si="327"/>
        <v>0</v>
      </c>
      <c r="BH90" s="96"/>
      <c r="BI90" s="1">
        <f>+H90</f>
        <v>0</v>
      </c>
      <c r="BJ90" s="1">
        <f>+J90</f>
        <v>0</v>
      </c>
      <c r="BK90" s="1">
        <f>+L90</f>
        <v>0</v>
      </c>
      <c r="BL90" s="1">
        <f>+N90</f>
        <v>0</v>
      </c>
      <c r="BM90" s="1">
        <f>+P90</f>
        <v>0</v>
      </c>
      <c r="BN90" s="1">
        <f>+R90</f>
        <v>0</v>
      </c>
      <c r="BO90" s="1">
        <f>+T90</f>
        <v>0</v>
      </c>
      <c r="BP90" s="1">
        <f>+V90</f>
        <v>1.7</v>
      </c>
      <c r="BQ90" s="1">
        <f>+X90</f>
        <v>0.3</v>
      </c>
      <c r="BR90" s="1">
        <f>+Z90</f>
        <v>0</v>
      </c>
      <c r="BS90" s="1">
        <f>+AB90</f>
        <v>0</v>
      </c>
      <c r="BT90" s="1">
        <f>+AD90</f>
        <v>0</v>
      </c>
      <c r="BU90" s="1">
        <f>+AF90</f>
        <v>0</v>
      </c>
      <c r="BV90" s="1">
        <f>+AH90</f>
        <v>0</v>
      </c>
      <c r="BW90" s="1">
        <f>+AJ90</f>
        <v>0</v>
      </c>
      <c r="BX90" s="1">
        <f>+AL90</f>
        <v>0</v>
      </c>
      <c r="BY90" s="1">
        <f>+AN90</f>
        <v>0</v>
      </c>
      <c r="BZ90" s="1">
        <f>+AP90</f>
        <v>0</v>
      </c>
      <c r="CA90" s="1">
        <f>+AR90</f>
        <v>0</v>
      </c>
      <c r="CB90" s="1">
        <f>+AT90</f>
        <v>0</v>
      </c>
      <c r="CC90" s="1">
        <f>+AV90</f>
        <v>0</v>
      </c>
      <c r="CD90" s="1">
        <f>+AX90</f>
        <v>0</v>
      </c>
      <c r="CE90" s="1">
        <f>+AZ90</f>
        <v>0</v>
      </c>
      <c r="CF90" s="1">
        <f>+BB90</f>
        <v>0</v>
      </c>
    </row>
    <row r="91" spans="3:84" ht="16.149999999999999" customHeight="1" outlineLevel="1">
      <c r="C91" s="27" t="s">
        <v>781</v>
      </c>
      <c r="D91" s="55">
        <v>3</v>
      </c>
      <c r="F91" s="56">
        <v>1703.7</v>
      </c>
      <c r="G91" s="57">
        <f>+D91*F91</f>
        <v>5111.1000000000004</v>
      </c>
      <c r="H91" s="28"/>
      <c r="I91" s="59" t="str">
        <f t="shared" si="312"/>
        <v/>
      </c>
      <c r="J91" s="64"/>
      <c r="K91" s="59" t="str">
        <f t="shared" si="313"/>
        <v/>
      </c>
      <c r="L91" s="64"/>
      <c r="M91" s="59" t="str">
        <f t="shared" si="442"/>
        <v/>
      </c>
      <c r="N91" s="64"/>
      <c r="O91" s="59" t="str">
        <f t="shared" si="443"/>
        <v/>
      </c>
      <c r="P91" s="64"/>
      <c r="Q91" s="59" t="str">
        <f t="shared" si="444"/>
        <v/>
      </c>
      <c r="R91" s="64"/>
      <c r="S91" s="59" t="str">
        <f t="shared" si="445"/>
        <v/>
      </c>
      <c r="T91" s="64"/>
      <c r="U91" s="59" t="str">
        <f t="shared" si="446"/>
        <v/>
      </c>
      <c r="V91" s="89">
        <f t="shared" ref="V91:V93" si="453">0.85*D91</f>
        <v>2.5499999999999998</v>
      </c>
      <c r="W91" s="59">
        <f t="shared" si="447"/>
        <v>4344.4349999999995</v>
      </c>
      <c r="X91" s="94">
        <v>0.45</v>
      </c>
      <c r="Y91" s="59">
        <f t="shared" si="448"/>
        <v>766.66500000000008</v>
      </c>
      <c r="Z91" s="94"/>
      <c r="AA91" s="59" t="str">
        <f t="shared" si="449"/>
        <v/>
      </c>
      <c r="AB91" s="94"/>
      <c r="AC91" s="59" t="str">
        <f t="shared" si="450"/>
        <v/>
      </c>
      <c r="AD91" s="94"/>
      <c r="AE91" s="59" t="str">
        <f t="shared" si="451"/>
        <v/>
      </c>
      <c r="AF91" s="94"/>
      <c r="AG91" s="59" t="str">
        <f t="shared" si="452"/>
        <v/>
      </c>
      <c r="AH91" s="94"/>
      <c r="AI91" s="59" t="str">
        <f t="shared" si="452"/>
        <v/>
      </c>
      <c r="AJ91" s="64"/>
      <c r="AK91" s="59" t="str">
        <f t="shared" si="452"/>
        <v/>
      </c>
      <c r="AL91" s="64"/>
      <c r="AM91" s="59" t="str">
        <f t="shared" si="452"/>
        <v/>
      </c>
      <c r="AN91" s="64"/>
      <c r="AO91" s="59" t="str">
        <f t="shared" si="452"/>
        <v/>
      </c>
      <c r="AP91" s="64"/>
      <c r="AQ91" s="59" t="str">
        <f t="shared" si="452"/>
        <v/>
      </c>
      <c r="AR91" s="64"/>
      <c r="AS91" s="59" t="str">
        <f t="shared" si="452"/>
        <v/>
      </c>
      <c r="AT91" s="64"/>
      <c r="AU91" s="59" t="str">
        <f t="shared" si="452"/>
        <v/>
      </c>
      <c r="AV91" s="64"/>
      <c r="AW91" s="59" t="str">
        <f t="shared" si="452"/>
        <v/>
      </c>
      <c r="AX91" s="64"/>
      <c r="AY91" s="59" t="str">
        <f t="shared" si="452"/>
        <v/>
      </c>
      <c r="AZ91" s="64"/>
      <c r="BA91" s="59" t="str">
        <f t="shared" si="452"/>
        <v/>
      </c>
      <c r="BB91" s="64"/>
      <c r="BC91" s="59" t="str">
        <f t="shared" si="452"/>
        <v/>
      </c>
      <c r="BD91" s="61">
        <f t="shared" si="325"/>
        <v>3</v>
      </c>
      <c r="BE91" s="59">
        <f t="shared" si="326"/>
        <v>5111.1000000000004</v>
      </c>
      <c r="BF91" s="61">
        <f>+D91-BD91</f>
        <v>0</v>
      </c>
      <c r="BG91" s="59">
        <f t="shared" si="327"/>
        <v>0</v>
      </c>
      <c r="BH91" s="96"/>
      <c r="BI91" s="1">
        <f>+H91</f>
        <v>0</v>
      </c>
      <c r="BJ91" s="1">
        <f>+J91</f>
        <v>0</v>
      </c>
      <c r="BK91" s="1">
        <f>+L91</f>
        <v>0</v>
      </c>
      <c r="BL91" s="1">
        <f>+N91</f>
        <v>0</v>
      </c>
      <c r="BM91" s="1">
        <f>+P91</f>
        <v>0</v>
      </c>
      <c r="BN91" s="1">
        <f>+R91</f>
        <v>0</v>
      </c>
      <c r="BO91" s="1">
        <f>+T91</f>
        <v>0</v>
      </c>
      <c r="BP91" s="1">
        <f>+V91</f>
        <v>2.5499999999999998</v>
      </c>
      <c r="BQ91" s="1">
        <f>+X91</f>
        <v>0.45</v>
      </c>
      <c r="BR91" s="1">
        <f>+Z91</f>
        <v>0</v>
      </c>
      <c r="BS91" s="1">
        <f>+AB91</f>
        <v>0</v>
      </c>
      <c r="BT91" s="1">
        <f>+AD91</f>
        <v>0</v>
      </c>
      <c r="BU91" s="1">
        <f>+AF91</f>
        <v>0</v>
      </c>
      <c r="BV91" s="1">
        <f>+AH91</f>
        <v>0</v>
      </c>
      <c r="BW91" s="1">
        <f>+AJ91</f>
        <v>0</v>
      </c>
      <c r="BX91" s="1">
        <f>+AL91</f>
        <v>0</v>
      </c>
      <c r="BY91" s="1">
        <f>+AN91</f>
        <v>0</v>
      </c>
      <c r="BZ91" s="1">
        <f>+AP91</f>
        <v>0</v>
      </c>
      <c r="CA91" s="1">
        <f>+AR91</f>
        <v>0</v>
      </c>
      <c r="CB91" s="1">
        <f>+AT91</f>
        <v>0</v>
      </c>
      <c r="CC91" s="1">
        <f>+AV91</f>
        <v>0</v>
      </c>
      <c r="CD91" s="1">
        <f>+AX91</f>
        <v>0</v>
      </c>
      <c r="CE91" s="1">
        <f>+AZ91</f>
        <v>0</v>
      </c>
      <c r="CF91" s="1">
        <f>+BB91</f>
        <v>0</v>
      </c>
    </row>
    <row r="92" spans="3:84" ht="16.149999999999999" customHeight="1" outlineLevel="1">
      <c r="C92" s="27" t="s">
        <v>782</v>
      </c>
      <c r="D92" s="55">
        <v>1</v>
      </c>
      <c r="F92" s="56">
        <v>1733.95</v>
      </c>
      <c r="G92" s="57">
        <f>+D92*F92</f>
        <v>1733.95</v>
      </c>
      <c r="H92" s="28"/>
      <c r="I92" s="59" t="str">
        <f t="shared" si="312"/>
        <v/>
      </c>
      <c r="J92" s="64"/>
      <c r="K92" s="59" t="str">
        <f t="shared" si="313"/>
        <v/>
      </c>
      <c r="L92" s="64"/>
      <c r="M92" s="59" t="str">
        <f t="shared" si="442"/>
        <v/>
      </c>
      <c r="N92" s="64"/>
      <c r="O92" s="59" t="str">
        <f t="shared" si="443"/>
        <v/>
      </c>
      <c r="P92" s="64"/>
      <c r="Q92" s="59" t="str">
        <f t="shared" si="444"/>
        <v/>
      </c>
      <c r="R92" s="64"/>
      <c r="S92" s="59" t="str">
        <f t="shared" si="445"/>
        <v/>
      </c>
      <c r="T92" s="64"/>
      <c r="U92" s="59" t="str">
        <f t="shared" si="446"/>
        <v/>
      </c>
      <c r="V92" s="89">
        <f t="shared" si="453"/>
        <v>0.85</v>
      </c>
      <c r="W92" s="59">
        <f t="shared" si="447"/>
        <v>1473.8575000000001</v>
      </c>
      <c r="X92" s="94">
        <v>0.15</v>
      </c>
      <c r="Y92" s="59">
        <f t="shared" si="448"/>
        <v>260.09249999999997</v>
      </c>
      <c r="Z92" s="94"/>
      <c r="AA92" s="59" t="str">
        <f t="shared" si="449"/>
        <v/>
      </c>
      <c r="AB92" s="94"/>
      <c r="AC92" s="59" t="str">
        <f t="shared" si="450"/>
        <v/>
      </c>
      <c r="AD92" s="94"/>
      <c r="AE92" s="59" t="str">
        <f t="shared" si="451"/>
        <v/>
      </c>
      <c r="AF92" s="94"/>
      <c r="AG92" s="59" t="str">
        <f t="shared" si="452"/>
        <v/>
      </c>
      <c r="AH92" s="94"/>
      <c r="AI92" s="59" t="str">
        <f t="shared" si="452"/>
        <v/>
      </c>
      <c r="AJ92" s="64"/>
      <c r="AK92" s="59" t="str">
        <f t="shared" si="452"/>
        <v/>
      </c>
      <c r="AL92" s="64"/>
      <c r="AM92" s="59" t="str">
        <f t="shared" si="452"/>
        <v/>
      </c>
      <c r="AN92" s="64"/>
      <c r="AO92" s="59" t="str">
        <f t="shared" si="452"/>
        <v/>
      </c>
      <c r="AP92" s="64"/>
      <c r="AQ92" s="59" t="str">
        <f t="shared" si="452"/>
        <v/>
      </c>
      <c r="AR92" s="64"/>
      <c r="AS92" s="59" t="str">
        <f t="shared" si="452"/>
        <v/>
      </c>
      <c r="AT92" s="64"/>
      <c r="AU92" s="59" t="str">
        <f t="shared" si="452"/>
        <v/>
      </c>
      <c r="AV92" s="64"/>
      <c r="AW92" s="59" t="str">
        <f t="shared" si="452"/>
        <v/>
      </c>
      <c r="AX92" s="64"/>
      <c r="AY92" s="59" t="str">
        <f t="shared" si="452"/>
        <v/>
      </c>
      <c r="AZ92" s="64"/>
      <c r="BA92" s="59" t="str">
        <f t="shared" si="452"/>
        <v/>
      </c>
      <c r="BB92" s="64"/>
      <c r="BC92" s="59" t="str">
        <f t="shared" si="452"/>
        <v/>
      </c>
      <c r="BD92" s="61">
        <f t="shared" si="325"/>
        <v>1</v>
      </c>
      <c r="BE92" s="59">
        <f t="shared" si="326"/>
        <v>1733.95</v>
      </c>
      <c r="BF92" s="61">
        <f>+D92-BD92</f>
        <v>0</v>
      </c>
      <c r="BG92" s="59">
        <f t="shared" si="327"/>
        <v>0</v>
      </c>
      <c r="BH92" s="96"/>
      <c r="BI92" s="1">
        <f>+H92</f>
        <v>0</v>
      </c>
      <c r="BJ92" s="1">
        <f>+J92</f>
        <v>0</v>
      </c>
      <c r="BK92" s="1">
        <f>+L92</f>
        <v>0</v>
      </c>
      <c r="BL92" s="1">
        <f>+N92</f>
        <v>0</v>
      </c>
      <c r="BM92" s="1">
        <f>+P92</f>
        <v>0</v>
      </c>
      <c r="BN92" s="1">
        <f>+R92</f>
        <v>0</v>
      </c>
      <c r="BO92" s="1">
        <f>+T92</f>
        <v>0</v>
      </c>
      <c r="BP92" s="1">
        <f>+V92</f>
        <v>0.85</v>
      </c>
      <c r="BQ92" s="1">
        <f>+X92</f>
        <v>0.15</v>
      </c>
      <c r="BR92" s="1">
        <f>+Z92</f>
        <v>0</v>
      </c>
      <c r="BS92" s="1">
        <f>+AB92</f>
        <v>0</v>
      </c>
      <c r="BT92" s="1">
        <f>+AD92</f>
        <v>0</v>
      </c>
      <c r="BU92" s="1">
        <f>+AF92</f>
        <v>0</v>
      </c>
      <c r="BV92" s="1">
        <f>+AH92</f>
        <v>0</v>
      </c>
      <c r="BW92" s="1">
        <f>+AJ92</f>
        <v>0</v>
      </c>
      <c r="BX92" s="1">
        <f>+AL92</f>
        <v>0</v>
      </c>
      <c r="BY92" s="1">
        <f>+AN92</f>
        <v>0</v>
      </c>
      <c r="BZ92" s="1">
        <f>+AP92</f>
        <v>0</v>
      </c>
      <c r="CA92" s="1">
        <f>+AR92</f>
        <v>0</v>
      </c>
      <c r="CB92" s="1">
        <f>+AT92</f>
        <v>0</v>
      </c>
      <c r="CC92" s="1">
        <f>+AV92</f>
        <v>0</v>
      </c>
      <c r="CD92" s="1">
        <f>+AX92</f>
        <v>0</v>
      </c>
      <c r="CE92" s="1">
        <f>+AZ92</f>
        <v>0</v>
      </c>
      <c r="CF92" s="1">
        <f>+BB92</f>
        <v>0</v>
      </c>
    </row>
    <row r="93" spans="3:84" ht="22.5" outlineLevel="1">
      <c r="C93" s="27" t="s">
        <v>785</v>
      </c>
      <c r="D93" s="55">
        <v>4</v>
      </c>
      <c r="F93" s="56">
        <v>1784.36</v>
      </c>
      <c r="G93" s="57">
        <f>+D93*F93</f>
        <v>7137.44</v>
      </c>
      <c r="H93" s="28"/>
      <c r="I93" s="59" t="str">
        <f t="shared" si="312"/>
        <v/>
      </c>
      <c r="J93" s="64"/>
      <c r="K93" s="59" t="str">
        <f t="shared" si="313"/>
        <v/>
      </c>
      <c r="L93" s="64"/>
      <c r="M93" s="59" t="str">
        <f t="shared" si="442"/>
        <v/>
      </c>
      <c r="N93" s="64"/>
      <c r="O93" s="59" t="str">
        <f t="shared" si="443"/>
        <v/>
      </c>
      <c r="P93" s="64"/>
      <c r="Q93" s="59" t="str">
        <f t="shared" si="444"/>
        <v/>
      </c>
      <c r="R93" s="64"/>
      <c r="S93" s="59" t="str">
        <f t="shared" si="445"/>
        <v/>
      </c>
      <c r="T93" s="64"/>
      <c r="U93" s="59" t="str">
        <f t="shared" si="446"/>
        <v/>
      </c>
      <c r="V93" s="89">
        <f t="shared" si="453"/>
        <v>3.4</v>
      </c>
      <c r="W93" s="59">
        <f t="shared" si="447"/>
        <v>6066.8239999999996</v>
      </c>
      <c r="X93" s="94">
        <v>0.6</v>
      </c>
      <c r="Y93" s="59">
        <f t="shared" si="448"/>
        <v>1070.616</v>
      </c>
      <c r="Z93" s="94"/>
      <c r="AA93" s="59" t="str">
        <f t="shared" si="449"/>
        <v/>
      </c>
      <c r="AB93" s="94"/>
      <c r="AC93" s="59" t="str">
        <f t="shared" si="450"/>
        <v/>
      </c>
      <c r="AD93" s="94"/>
      <c r="AE93" s="59" t="str">
        <f t="shared" si="451"/>
        <v/>
      </c>
      <c r="AF93" s="94"/>
      <c r="AG93" s="59" t="str">
        <f t="shared" si="452"/>
        <v/>
      </c>
      <c r="AH93" s="94"/>
      <c r="AI93" s="59" t="str">
        <f t="shared" si="452"/>
        <v/>
      </c>
      <c r="AJ93" s="64"/>
      <c r="AK93" s="59" t="str">
        <f t="shared" si="452"/>
        <v/>
      </c>
      <c r="AL93" s="64"/>
      <c r="AM93" s="59" t="str">
        <f t="shared" si="452"/>
        <v/>
      </c>
      <c r="AN93" s="64"/>
      <c r="AO93" s="59" t="str">
        <f t="shared" si="452"/>
        <v/>
      </c>
      <c r="AP93" s="64"/>
      <c r="AQ93" s="59" t="str">
        <f t="shared" si="452"/>
        <v/>
      </c>
      <c r="AR93" s="64"/>
      <c r="AS93" s="59" t="str">
        <f t="shared" si="452"/>
        <v/>
      </c>
      <c r="AT93" s="64"/>
      <c r="AU93" s="59" t="str">
        <f t="shared" si="452"/>
        <v/>
      </c>
      <c r="AV93" s="64"/>
      <c r="AW93" s="59" t="str">
        <f t="shared" si="452"/>
        <v/>
      </c>
      <c r="AX93" s="64"/>
      <c r="AY93" s="59" t="str">
        <f t="shared" si="452"/>
        <v/>
      </c>
      <c r="AZ93" s="64"/>
      <c r="BA93" s="59" t="str">
        <f t="shared" si="452"/>
        <v/>
      </c>
      <c r="BB93" s="64"/>
      <c r="BC93" s="59" t="str">
        <f t="shared" si="452"/>
        <v/>
      </c>
      <c r="BD93" s="61">
        <f t="shared" si="325"/>
        <v>4</v>
      </c>
      <c r="BE93" s="59">
        <f t="shared" si="326"/>
        <v>7137.44</v>
      </c>
      <c r="BF93" s="61">
        <f>+D93-BD93</f>
        <v>0</v>
      </c>
      <c r="BG93" s="59">
        <f t="shared" si="327"/>
        <v>0</v>
      </c>
      <c r="BH93" s="96"/>
      <c r="BI93" s="1">
        <f>+H93</f>
        <v>0</v>
      </c>
      <c r="BJ93" s="1">
        <f>+J93</f>
        <v>0</v>
      </c>
      <c r="BK93" s="1">
        <f>+L93</f>
        <v>0</v>
      </c>
      <c r="BL93" s="1">
        <f>+N93</f>
        <v>0</v>
      </c>
      <c r="BM93" s="1">
        <f>+P93</f>
        <v>0</v>
      </c>
      <c r="BN93" s="1">
        <f>+R93</f>
        <v>0</v>
      </c>
      <c r="BO93" s="1">
        <f>+T93</f>
        <v>0</v>
      </c>
      <c r="BP93" s="1">
        <f>+V93</f>
        <v>3.4</v>
      </c>
      <c r="BQ93" s="1">
        <f>+X93</f>
        <v>0.6</v>
      </c>
      <c r="BR93" s="1">
        <f>+Z93</f>
        <v>0</v>
      </c>
      <c r="BS93" s="1">
        <f>+AB93</f>
        <v>0</v>
      </c>
      <c r="BT93" s="1">
        <f>+AD93</f>
        <v>0</v>
      </c>
      <c r="BU93" s="1">
        <f>+AF93</f>
        <v>0</v>
      </c>
      <c r="BV93" s="1">
        <f>+AH93</f>
        <v>0</v>
      </c>
      <c r="BW93" s="1">
        <f>+AJ93</f>
        <v>0</v>
      </c>
      <c r="BX93" s="1">
        <f>+AL93</f>
        <v>0</v>
      </c>
      <c r="BY93" s="1">
        <f>+AN93</f>
        <v>0</v>
      </c>
      <c r="BZ93" s="1">
        <f>+AP93</f>
        <v>0</v>
      </c>
      <c r="CA93" s="1">
        <f>+AR93</f>
        <v>0</v>
      </c>
      <c r="CB93" s="1">
        <f>+AT93</f>
        <v>0</v>
      </c>
      <c r="CC93" s="1">
        <f>+AV93</f>
        <v>0</v>
      </c>
      <c r="CD93" s="1">
        <f>+AX93</f>
        <v>0</v>
      </c>
      <c r="CE93" s="1">
        <f>+AZ93</f>
        <v>0</v>
      </c>
      <c r="CF93" s="1">
        <f>+BB93</f>
        <v>0</v>
      </c>
    </row>
    <row r="94" spans="3:84" ht="16.149999999999999" customHeight="1" outlineLevel="1">
      <c r="C94" s="27" t="s">
        <v>783</v>
      </c>
      <c r="D94" s="55">
        <v>280</v>
      </c>
      <c r="F94" s="56">
        <v>47.21</v>
      </c>
      <c r="G94" s="57">
        <f>+D94*F94</f>
        <v>13218.800000000001</v>
      </c>
      <c r="H94" s="28"/>
      <c r="I94" s="59" t="str">
        <f t="shared" ref="I94:I100" si="454">+IF(OR($F94="",H94=""),"",$F94*H94)</f>
        <v/>
      </c>
      <c r="J94" s="64"/>
      <c r="K94" s="59" t="str">
        <f t="shared" ref="K94:K100" si="455">+IF(OR($F94="",J94=""),"",$F94*J94)</f>
        <v/>
      </c>
      <c r="L94" s="64"/>
      <c r="M94" s="59" t="str">
        <f t="shared" si="442"/>
        <v/>
      </c>
      <c r="N94" s="64"/>
      <c r="O94" s="59" t="str">
        <f t="shared" si="443"/>
        <v/>
      </c>
      <c r="P94" s="64"/>
      <c r="Q94" s="59" t="str">
        <f t="shared" si="444"/>
        <v/>
      </c>
      <c r="R94" s="64"/>
      <c r="S94" s="59" t="str">
        <f t="shared" si="445"/>
        <v/>
      </c>
      <c r="T94" s="64"/>
      <c r="U94" s="59" t="str">
        <f t="shared" si="446"/>
        <v/>
      </c>
      <c r="V94" s="64"/>
      <c r="W94" s="59" t="str">
        <f t="shared" si="447"/>
        <v/>
      </c>
      <c r="X94" s="94">
        <v>165</v>
      </c>
      <c r="Y94" s="59">
        <f t="shared" si="448"/>
        <v>7789.6500000000005</v>
      </c>
      <c r="Z94" s="94">
        <v>65</v>
      </c>
      <c r="AA94" s="59">
        <f t="shared" si="449"/>
        <v>3068.65</v>
      </c>
      <c r="AB94" s="94">
        <v>25</v>
      </c>
      <c r="AC94" s="59">
        <f t="shared" si="450"/>
        <v>1180.25</v>
      </c>
      <c r="AD94" s="94">
        <v>15</v>
      </c>
      <c r="AE94" s="59">
        <f t="shared" si="451"/>
        <v>708.15</v>
      </c>
      <c r="AF94" s="94">
        <v>10</v>
      </c>
      <c r="AG94" s="59">
        <f t="shared" si="452"/>
        <v>472.1</v>
      </c>
      <c r="AH94" s="94"/>
      <c r="AI94" s="59" t="str">
        <f t="shared" si="452"/>
        <v/>
      </c>
      <c r="AJ94" s="64"/>
      <c r="AK94" s="59" t="str">
        <f t="shared" si="452"/>
        <v/>
      </c>
      <c r="AL94" s="64"/>
      <c r="AM94" s="59" t="str">
        <f t="shared" si="452"/>
        <v/>
      </c>
      <c r="AN94" s="64"/>
      <c r="AO94" s="59" t="str">
        <f t="shared" si="452"/>
        <v/>
      </c>
      <c r="AP94" s="64"/>
      <c r="AQ94" s="59" t="str">
        <f t="shared" si="452"/>
        <v/>
      </c>
      <c r="AR94" s="64"/>
      <c r="AS94" s="59" t="str">
        <f t="shared" si="452"/>
        <v/>
      </c>
      <c r="AT94" s="64"/>
      <c r="AU94" s="59" t="str">
        <f t="shared" si="452"/>
        <v/>
      </c>
      <c r="AV94" s="64"/>
      <c r="AW94" s="59" t="str">
        <f t="shared" si="452"/>
        <v/>
      </c>
      <c r="AX94" s="64"/>
      <c r="AY94" s="59" t="str">
        <f t="shared" si="452"/>
        <v/>
      </c>
      <c r="AZ94" s="64"/>
      <c r="BA94" s="59" t="str">
        <f t="shared" si="452"/>
        <v/>
      </c>
      <c r="BB94" s="64"/>
      <c r="BC94" s="59" t="str">
        <f t="shared" si="452"/>
        <v/>
      </c>
      <c r="BD94" s="61">
        <f t="shared" ref="BD94:BD100" si="456">+SUM(BI94:CF94)</f>
        <v>280</v>
      </c>
      <c r="BE94" s="59">
        <f t="shared" ref="BE94:BE100" si="457">+IF(OR($F94="",BD94=""),"",$F94*BD94)</f>
        <v>13218.800000000001</v>
      </c>
      <c r="BF94" s="61">
        <f>+D94-BD94</f>
        <v>0</v>
      </c>
      <c r="BG94" s="59">
        <f t="shared" ref="BG94:BG100" si="458">+IF(OR($F94="",BF94=""),"",$F94*BF94)</f>
        <v>0</v>
      </c>
      <c r="BH94" s="96"/>
      <c r="BI94" s="1">
        <f>+H94</f>
        <v>0</v>
      </c>
      <c r="BJ94" s="1">
        <f>+J94</f>
        <v>0</v>
      </c>
      <c r="BK94" s="1">
        <f>+L94</f>
        <v>0</v>
      </c>
      <c r="BL94" s="1">
        <f>+N94</f>
        <v>0</v>
      </c>
      <c r="BM94" s="1">
        <f>+P94</f>
        <v>0</v>
      </c>
      <c r="BN94" s="1">
        <f>+R94</f>
        <v>0</v>
      </c>
      <c r="BO94" s="1">
        <f>+T94</f>
        <v>0</v>
      </c>
      <c r="BP94" s="1">
        <f>+V94</f>
        <v>0</v>
      </c>
      <c r="BQ94" s="1">
        <f>+X94</f>
        <v>165</v>
      </c>
      <c r="BR94" s="1">
        <f>+Z94</f>
        <v>65</v>
      </c>
      <c r="BS94" s="1">
        <f>+AB94</f>
        <v>25</v>
      </c>
      <c r="BT94" s="1">
        <f>+AD94</f>
        <v>15</v>
      </c>
      <c r="BU94" s="1">
        <f>+AF94</f>
        <v>10</v>
      </c>
      <c r="BV94" s="1">
        <f>+AH94</f>
        <v>0</v>
      </c>
      <c r="BW94" s="1">
        <f>+AJ94</f>
        <v>0</v>
      </c>
      <c r="BX94" s="1">
        <f>+AL94</f>
        <v>0</v>
      </c>
      <c r="BY94" s="1">
        <f>+AN94</f>
        <v>0</v>
      </c>
      <c r="BZ94" s="1">
        <f>+AP94</f>
        <v>0</v>
      </c>
      <c r="CA94" s="1">
        <f>+AR94</f>
        <v>0</v>
      </c>
      <c r="CB94" s="1">
        <f>+AT94</f>
        <v>0</v>
      </c>
      <c r="CC94" s="1">
        <f>+AV94</f>
        <v>0</v>
      </c>
      <c r="CD94" s="1">
        <f>+AX94</f>
        <v>0</v>
      </c>
      <c r="CE94" s="1">
        <f>+AZ94</f>
        <v>0</v>
      </c>
      <c r="CF94" s="1">
        <f>+BB94</f>
        <v>0</v>
      </c>
    </row>
    <row r="95" spans="3:84" ht="22.5" outlineLevel="1">
      <c r="C95" s="27" t="s">
        <v>74</v>
      </c>
      <c r="G95" s="57"/>
      <c r="H95" s="28"/>
      <c r="J95" s="64"/>
      <c r="L95" s="64"/>
      <c r="N95" s="64"/>
      <c r="P95" s="64"/>
      <c r="R95" s="64"/>
      <c r="T95" s="64"/>
      <c r="V95" s="64"/>
      <c r="X95" s="94"/>
      <c r="Z95" s="94"/>
      <c r="AB95" s="94"/>
      <c r="AD95" s="94"/>
      <c r="AF95" s="94"/>
      <c r="AH95" s="94"/>
      <c r="AJ95" s="64"/>
      <c r="AL95" s="64"/>
      <c r="AN95" s="64"/>
      <c r="AP95" s="64"/>
      <c r="AR95" s="64"/>
      <c r="AT95" s="64"/>
      <c r="AV95" s="64"/>
      <c r="AX95" s="64"/>
      <c r="AZ95" s="64"/>
      <c r="BB95" s="64"/>
      <c r="BD95" s="61"/>
      <c r="BF95" s="61"/>
      <c r="BH95" s="96"/>
    </row>
    <row r="96" spans="3:84" ht="22.5" outlineLevel="1">
      <c r="C96" s="27" t="s">
        <v>421</v>
      </c>
      <c r="D96" s="55">
        <v>20</v>
      </c>
      <c r="F96" s="56">
        <v>217.18</v>
      </c>
      <c r="G96" s="57">
        <f>+D96*F96</f>
        <v>4343.6000000000004</v>
      </c>
      <c r="H96" s="28"/>
      <c r="I96" s="59" t="str">
        <f t="shared" si="454"/>
        <v/>
      </c>
      <c r="J96" s="64"/>
      <c r="K96" s="59" t="str">
        <f t="shared" si="455"/>
        <v/>
      </c>
      <c r="L96" s="64"/>
      <c r="M96" s="59" t="str">
        <f t="shared" ref="M96:M97" si="459">+IF(OR($F96="",L96=""),"",$F96*L96)</f>
        <v/>
      </c>
      <c r="N96" s="64"/>
      <c r="O96" s="59" t="str">
        <f t="shared" ref="O96:O97" si="460">+IF(OR($F96="",N96=""),"",$F96*N96)</f>
        <v/>
      </c>
      <c r="P96" s="64"/>
      <c r="Q96" s="59" t="str">
        <f t="shared" ref="Q96:Q97" si="461">+IF(OR($F96="",P96=""),"",$F96*P96)</f>
        <v/>
      </c>
      <c r="R96" s="64"/>
      <c r="S96" s="59" t="str">
        <f t="shared" ref="S96:S97" si="462">+IF(OR($F96="",R96=""),"",$F96*R96)</f>
        <v/>
      </c>
      <c r="T96" s="64"/>
      <c r="U96" s="59" t="str">
        <f t="shared" ref="U96:U97" si="463">+IF(OR($F96="",T96=""),"",$F96*T96)</f>
        <v/>
      </c>
      <c r="V96" s="64"/>
      <c r="W96" s="59" t="str">
        <f t="shared" ref="W96:W97" si="464">+IF(OR($F96="",V96=""),"",$F96*V96)</f>
        <v/>
      </c>
      <c r="X96" s="94">
        <v>10</v>
      </c>
      <c r="Y96" s="59">
        <f t="shared" ref="Y96:Y97" si="465">+IF(OR($F96="",X96=""),"",$F96*X96)</f>
        <v>2171.8000000000002</v>
      </c>
      <c r="Z96" s="94">
        <v>5</v>
      </c>
      <c r="AA96" s="59">
        <f t="shared" ref="AA96:AA97" si="466">+IF(OR($F96="",Z96=""),"",$F96*Z96)</f>
        <v>1085.9000000000001</v>
      </c>
      <c r="AB96" s="94">
        <v>2.5</v>
      </c>
      <c r="AC96" s="59">
        <f t="shared" ref="AC96:AC97" si="467">+IF(OR($F96="",AB96=""),"",$F96*AB96)</f>
        <v>542.95000000000005</v>
      </c>
      <c r="AD96" s="94">
        <v>1.5</v>
      </c>
      <c r="AE96" s="59">
        <f t="shared" ref="AE96:AE97" si="468">+IF(OR($F96="",AD96=""),"",$F96*AD96)</f>
        <v>325.77</v>
      </c>
      <c r="AF96" s="94">
        <v>1</v>
      </c>
      <c r="AG96" s="59">
        <f t="shared" ref="AG96:BC97" si="469">+IF(OR($F96="",AF96=""),"",$F96*AF96)</f>
        <v>217.18</v>
      </c>
      <c r="AH96" s="94"/>
      <c r="AI96" s="59" t="str">
        <f t="shared" si="469"/>
        <v/>
      </c>
      <c r="AJ96" s="64"/>
      <c r="AK96" s="59" t="str">
        <f t="shared" si="469"/>
        <v/>
      </c>
      <c r="AL96" s="64"/>
      <c r="AM96" s="59" t="str">
        <f t="shared" si="469"/>
        <v/>
      </c>
      <c r="AN96" s="64"/>
      <c r="AO96" s="59" t="str">
        <f t="shared" si="469"/>
        <v/>
      </c>
      <c r="AP96" s="64"/>
      <c r="AQ96" s="59" t="str">
        <f t="shared" si="469"/>
        <v/>
      </c>
      <c r="AR96" s="64"/>
      <c r="AS96" s="59" t="str">
        <f t="shared" si="469"/>
        <v/>
      </c>
      <c r="AT96" s="64"/>
      <c r="AU96" s="59" t="str">
        <f t="shared" si="469"/>
        <v/>
      </c>
      <c r="AV96" s="64"/>
      <c r="AW96" s="59" t="str">
        <f t="shared" si="469"/>
        <v/>
      </c>
      <c r="AX96" s="64"/>
      <c r="AY96" s="59" t="str">
        <f t="shared" si="469"/>
        <v/>
      </c>
      <c r="AZ96" s="64"/>
      <c r="BA96" s="59" t="str">
        <f t="shared" si="469"/>
        <v/>
      </c>
      <c r="BB96" s="64"/>
      <c r="BC96" s="59" t="str">
        <f t="shared" si="469"/>
        <v/>
      </c>
      <c r="BD96" s="61">
        <f t="shared" si="456"/>
        <v>20</v>
      </c>
      <c r="BE96" s="59">
        <f t="shared" si="457"/>
        <v>4343.6000000000004</v>
      </c>
      <c r="BF96" s="61">
        <f>+D96-BD96</f>
        <v>0</v>
      </c>
      <c r="BG96" s="59">
        <f t="shared" si="458"/>
        <v>0</v>
      </c>
      <c r="BH96" s="96"/>
      <c r="BI96" s="1">
        <f>+H96</f>
        <v>0</v>
      </c>
      <c r="BJ96" s="1">
        <f>+J96</f>
        <v>0</v>
      </c>
      <c r="BK96" s="1">
        <f>+L96</f>
        <v>0</v>
      </c>
      <c r="BL96" s="1">
        <f>+N96</f>
        <v>0</v>
      </c>
      <c r="BM96" s="1">
        <f>+P96</f>
        <v>0</v>
      </c>
      <c r="BN96" s="1">
        <f>+R96</f>
        <v>0</v>
      </c>
      <c r="BO96" s="1">
        <f>+T96</f>
        <v>0</v>
      </c>
      <c r="BP96" s="1">
        <f>+V96</f>
        <v>0</v>
      </c>
      <c r="BQ96" s="1">
        <f>+X96</f>
        <v>10</v>
      </c>
      <c r="BR96" s="1">
        <f>+Z96</f>
        <v>5</v>
      </c>
      <c r="BS96" s="1">
        <f>+AB96</f>
        <v>2.5</v>
      </c>
      <c r="BT96" s="1">
        <f>+AD96</f>
        <v>1.5</v>
      </c>
      <c r="BU96" s="1">
        <f>+AF96</f>
        <v>1</v>
      </c>
      <c r="BV96" s="1">
        <f>+AH96</f>
        <v>0</v>
      </c>
      <c r="BW96" s="1">
        <f>+AJ96</f>
        <v>0</v>
      </c>
      <c r="BX96" s="1">
        <f>+AL96</f>
        <v>0</v>
      </c>
      <c r="BY96" s="1">
        <f>+AN96</f>
        <v>0</v>
      </c>
      <c r="BZ96" s="1">
        <f>+AP96</f>
        <v>0</v>
      </c>
      <c r="CA96" s="1">
        <f>+AR96</f>
        <v>0</v>
      </c>
      <c r="CB96" s="1">
        <f>+AT96</f>
        <v>0</v>
      </c>
      <c r="CC96" s="1">
        <f>+AV96</f>
        <v>0</v>
      </c>
      <c r="CD96" s="1">
        <f>+AX96</f>
        <v>0</v>
      </c>
      <c r="CE96" s="1">
        <f>+AZ96</f>
        <v>0</v>
      </c>
      <c r="CF96" s="1">
        <f>+BB96</f>
        <v>0</v>
      </c>
    </row>
    <row r="97" spans="2:85" ht="33.75" outlineLevel="1">
      <c r="C97" s="27" t="s">
        <v>423</v>
      </c>
      <c r="D97" s="55">
        <v>50</v>
      </c>
      <c r="F97" s="56">
        <v>12.96</v>
      </c>
      <c r="G97" s="57">
        <f>+D97*F97</f>
        <v>648</v>
      </c>
      <c r="H97" s="28"/>
      <c r="I97" s="59" t="str">
        <f t="shared" si="454"/>
        <v/>
      </c>
      <c r="J97" s="64"/>
      <c r="K97" s="59" t="str">
        <f t="shared" si="455"/>
        <v/>
      </c>
      <c r="L97" s="64"/>
      <c r="M97" s="59" t="str">
        <f t="shared" si="459"/>
        <v/>
      </c>
      <c r="N97" s="64"/>
      <c r="O97" s="59" t="str">
        <f t="shared" si="460"/>
        <v/>
      </c>
      <c r="P97" s="64"/>
      <c r="Q97" s="59" t="str">
        <f t="shared" si="461"/>
        <v/>
      </c>
      <c r="R97" s="64"/>
      <c r="S97" s="59" t="str">
        <f t="shared" si="462"/>
        <v/>
      </c>
      <c r="T97" s="64"/>
      <c r="U97" s="59" t="str">
        <f t="shared" si="463"/>
        <v/>
      </c>
      <c r="V97" s="64"/>
      <c r="W97" s="59" t="str">
        <f t="shared" si="464"/>
        <v/>
      </c>
      <c r="X97" s="94">
        <v>25</v>
      </c>
      <c r="Y97" s="59">
        <f t="shared" si="465"/>
        <v>324</v>
      </c>
      <c r="Z97" s="94">
        <v>15</v>
      </c>
      <c r="AA97" s="59">
        <f t="shared" si="466"/>
        <v>194.4</v>
      </c>
      <c r="AB97" s="94">
        <v>5</v>
      </c>
      <c r="AC97" s="59">
        <f t="shared" si="467"/>
        <v>64.800000000000011</v>
      </c>
      <c r="AD97" s="94">
        <v>2.5</v>
      </c>
      <c r="AE97" s="59">
        <f t="shared" si="468"/>
        <v>32.400000000000006</v>
      </c>
      <c r="AF97" s="94">
        <v>2.5</v>
      </c>
      <c r="AG97" s="59">
        <f t="shared" si="469"/>
        <v>32.400000000000006</v>
      </c>
      <c r="AH97" s="94"/>
      <c r="AI97" s="59" t="str">
        <f t="shared" si="469"/>
        <v/>
      </c>
      <c r="AJ97" s="64"/>
      <c r="AK97" s="59" t="str">
        <f t="shared" si="469"/>
        <v/>
      </c>
      <c r="AL97" s="64"/>
      <c r="AM97" s="59" t="str">
        <f t="shared" si="469"/>
        <v/>
      </c>
      <c r="AN97" s="64"/>
      <c r="AO97" s="59" t="str">
        <f t="shared" si="469"/>
        <v/>
      </c>
      <c r="AP97" s="64"/>
      <c r="AQ97" s="59" t="str">
        <f t="shared" si="469"/>
        <v/>
      </c>
      <c r="AR97" s="64"/>
      <c r="AS97" s="59" t="str">
        <f t="shared" si="469"/>
        <v/>
      </c>
      <c r="AT97" s="64"/>
      <c r="AU97" s="59" t="str">
        <f t="shared" si="469"/>
        <v/>
      </c>
      <c r="AV97" s="64"/>
      <c r="AW97" s="59" t="str">
        <f t="shared" si="469"/>
        <v/>
      </c>
      <c r="AX97" s="64"/>
      <c r="AY97" s="59" t="str">
        <f t="shared" si="469"/>
        <v/>
      </c>
      <c r="AZ97" s="64"/>
      <c r="BA97" s="59" t="str">
        <f t="shared" si="469"/>
        <v/>
      </c>
      <c r="BB97" s="64"/>
      <c r="BC97" s="59" t="str">
        <f t="shared" si="469"/>
        <v/>
      </c>
      <c r="BD97" s="61">
        <f t="shared" ref="BD97" si="470">+SUM(BI97:CF97)</f>
        <v>50</v>
      </c>
      <c r="BE97" s="59">
        <f t="shared" ref="BE97" si="471">+IF(OR($F97="",BD97=""),"",$F97*BD97)</f>
        <v>648</v>
      </c>
      <c r="BF97" s="61">
        <f>+D97-BD97</f>
        <v>0</v>
      </c>
      <c r="BG97" s="59">
        <f t="shared" ref="BG97" si="472">+IF(OR($F97="",BF97=""),"",$F97*BF97)</f>
        <v>0</v>
      </c>
      <c r="BH97" s="96"/>
      <c r="BI97" s="1">
        <f>+H97</f>
        <v>0</v>
      </c>
      <c r="BJ97" s="1">
        <f>+J97</f>
        <v>0</v>
      </c>
      <c r="BK97" s="1">
        <f>+L97</f>
        <v>0</v>
      </c>
      <c r="BL97" s="1">
        <f>+N97</f>
        <v>0</v>
      </c>
      <c r="BM97" s="1">
        <f>+P97</f>
        <v>0</v>
      </c>
      <c r="BN97" s="1">
        <f>+R97</f>
        <v>0</v>
      </c>
      <c r="BO97" s="1">
        <f>+T97</f>
        <v>0</v>
      </c>
      <c r="BP97" s="1">
        <f>+V97</f>
        <v>0</v>
      </c>
      <c r="BQ97" s="1">
        <f>+X97</f>
        <v>25</v>
      </c>
      <c r="BR97" s="1">
        <f>+Z97</f>
        <v>15</v>
      </c>
      <c r="BS97" s="1">
        <f>+AB97</f>
        <v>5</v>
      </c>
      <c r="BT97" s="1">
        <f>+AD97</f>
        <v>2.5</v>
      </c>
      <c r="BU97" s="1">
        <f>+AF97</f>
        <v>2.5</v>
      </c>
      <c r="BV97" s="1">
        <f>+AH97</f>
        <v>0</v>
      </c>
      <c r="BW97" s="1">
        <f>+AJ97</f>
        <v>0</v>
      </c>
      <c r="BX97" s="1">
        <f>+AL97</f>
        <v>0</v>
      </c>
      <c r="BY97" s="1">
        <f>+AN97</f>
        <v>0</v>
      </c>
      <c r="BZ97" s="1">
        <f>+AP97</f>
        <v>0</v>
      </c>
      <c r="CA97" s="1">
        <f>+AR97</f>
        <v>0</v>
      </c>
      <c r="CB97" s="1">
        <f>+AT97</f>
        <v>0</v>
      </c>
      <c r="CC97" s="1">
        <f>+AV97</f>
        <v>0</v>
      </c>
      <c r="CD97" s="1">
        <f>+AX97</f>
        <v>0</v>
      </c>
      <c r="CE97" s="1">
        <f>+AZ97</f>
        <v>0</v>
      </c>
      <c r="CF97" s="1">
        <f>+BB97</f>
        <v>0</v>
      </c>
    </row>
    <row r="98" spans="2:85" ht="26.65" customHeight="1" outlineLevel="1">
      <c r="C98" s="27" t="s">
        <v>786</v>
      </c>
      <c r="G98" s="57"/>
      <c r="H98" s="28"/>
      <c r="J98" s="64"/>
      <c r="L98" s="64"/>
      <c r="N98" s="64"/>
      <c r="P98" s="64"/>
      <c r="R98" s="64"/>
      <c r="T98" s="64"/>
      <c r="V98" s="64"/>
      <c r="X98" s="94"/>
      <c r="Z98" s="94"/>
      <c r="AB98" s="94"/>
      <c r="AD98" s="94"/>
      <c r="AF98" s="94"/>
      <c r="AH98" s="94"/>
      <c r="AJ98" s="64"/>
      <c r="AL98" s="64"/>
      <c r="AN98" s="64"/>
      <c r="AP98" s="64"/>
      <c r="AR98" s="64"/>
      <c r="AT98" s="64"/>
      <c r="AV98" s="64"/>
      <c r="AX98" s="64"/>
      <c r="AZ98" s="64"/>
      <c r="BB98" s="64"/>
      <c r="BD98" s="61"/>
      <c r="BF98" s="61"/>
      <c r="BH98" s="96"/>
    </row>
    <row r="99" spans="2:85" ht="16.149999999999999" customHeight="1" outlineLevel="1">
      <c r="C99" s="27" t="s">
        <v>84</v>
      </c>
      <c r="D99" s="55">
        <v>70</v>
      </c>
      <c r="F99" s="56">
        <v>9.36</v>
      </c>
      <c r="G99" s="57">
        <f t="shared" ref="G99:G104" si="473">+D99*F99</f>
        <v>655.19999999999993</v>
      </c>
      <c r="H99" s="28"/>
      <c r="I99" s="59" t="str">
        <f t="shared" si="454"/>
        <v/>
      </c>
      <c r="J99" s="64"/>
      <c r="K99" s="59" t="str">
        <f t="shared" si="455"/>
        <v/>
      </c>
      <c r="L99" s="64"/>
      <c r="M99" s="59" t="str">
        <f t="shared" ref="M99:M104" si="474">+IF(OR($F99="",L99=""),"",$F99*L99)</f>
        <v/>
      </c>
      <c r="N99" s="64"/>
      <c r="O99" s="59" t="str">
        <f t="shared" ref="O99:O104" si="475">+IF(OR($F99="",N99=""),"",$F99*N99)</f>
        <v/>
      </c>
      <c r="P99" s="64"/>
      <c r="Q99" s="59" t="str">
        <f t="shared" ref="Q99:Q104" si="476">+IF(OR($F99="",P99=""),"",$F99*P99)</f>
        <v/>
      </c>
      <c r="R99" s="64"/>
      <c r="S99" s="59" t="str">
        <f t="shared" ref="S99:S104" si="477">+IF(OR($F99="",R99=""),"",$F99*R99)</f>
        <v/>
      </c>
      <c r="T99" s="64"/>
      <c r="U99" s="59" t="str">
        <f t="shared" ref="U99:U104" si="478">+IF(OR($F99="",T99=""),"",$F99*T99)</f>
        <v/>
      </c>
      <c r="V99" s="64"/>
      <c r="W99" s="59" t="str">
        <f t="shared" ref="W99:W104" si="479">+IF(OR($F99="",V99=""),"",$F99*V99)</f>
        <v/>
      </c>
      <c r="X99" s="94">
        <v>25</v>
      </c>
      <c r="Y99" s="59">
        <f t="shared" ref="Y99:Y104" si="480">+IF(OR($F99="",X99=""),"",$F99*X99)</f>
        <v>234</v>
      </c>
      <c r="Z99" s="94">
        <v>15</v>
      </c>
      <c r="AA99" s="59">
        <f t="shared" ref="AA99:AA104" si="481">+IF(OR($F99="",Z99=""),"",$F99*Z99)</f>
        <v>140.39999999999998</v>
      </c>
      <c r="AB99" s="94">
        <v>15</v>
      </c>
      <c r="AC99" s="59">
        <f t="shared" ref="AC99:AC104" si="482">+IF(OR($F99="",AB99=""),"",$F99*AB99)</f>
        <v>140.39999999999998</v>
      </c>
      <c r="AD99" s="94">
        <v>10</v>
      </c>
      <c r="AE99" s="59">
        <f t="shared" ref="AE99:AE104" si="483">+IF(OR($F99="",AD99=""),"",$F99*AD99)</f>
        <v>93.6</v>
      </c>
      <c r="AF99" s="94">
        <v>5</v>
      </c>
      <c r="AG99" s="59">
        <f t="shared" ref="AG99:BC104" si="484">+IF(OR($F99="",AF99=""),"",$F99*AF99)</f>
        <v>46.8</v>
      </c>
      <c r="AH99" s="94"/>
      <c r="AI99" s="59" t="str">
        <f t="shared" si="484"/>
        <v/>
      </c>
      <c r="AJ99" s="64"/>
      <c r="AK99" s="59" t="str">
        <f t="shared" si="484"/>
        <v/>
      </c>
      <c r="AL99" s="64"/>
      <c r="AM99" s="59" t="str">
        <f t="shared" si="484"/>
        <v/>
      </c>
      <c r="AN99" s="64"/>
      <c r="AO99" s="59" t="str">
        <f t="shared" si="484"/>
        <v/>
      </c>
      <c r="AP99" s="64"/>
      <c r="AQ99" s="59" t="str">
        <f t="shared" si="484"/>
        <v/>
      </c>
      <c r="AR99" s="64"/>
      <c r="AS99" s="59" t="str">
        <f t="shared" si="484"/>
        <v/>
      </c>
      <c r="AT99" s="64"/>
      <c r="AU99" s="59" t="str">
        <f t="shared" si="484"/>
        <v/>
      </c>
      <c r="AV99" s="64"/>
      <c r="AW99" s="59" t="str">
        <f t="shared" si="484"/>
        <v/>
      </c>
      <c r="AX99" s="64"/>
      <c r="AY99" s="59" t="str">
        <f t="shared" si="484"/>
        <v/>
      </c>
      <c r="AZ99" s="64"/>
      <c r="BA99" s="59" t="str">
        <f t="shared" si="484"/>
        <v/>
      </c>
      <c r="BB99" s="64"/>
      <c r="BC99" s="59" t="str">
        <f t="shared" si="484"/>
        <v/>
      </c>
      <c r="BD99" s="61">
        <f t="shared" si="456"/>
        <v>70</v>
      </c>
      <c r="BE99" s="59">
        <f t="shared" si="457"/>
        <v>655.19999999999993</v>
      </c>
      <c r="BF99" s="61">
        <f t="shared" ref="BF99:BF104" si="485">+D99-BD99</f>
        <v>0</v>
      </c>
      <c r="BG99" s="59">
        <f t="shared" si="458"/>
        <v>0</v>
      </c>
      <c r="BH99" s="96"/>
      <c r="BI99" s="1">
        <f t="shared" ref="BI99:BI104" si="486">+H99</f>
        <v>0</v>
      </c>
      <c r="BJ99" s="1">
        <f t="shared" ref="BJ99:BJ104" si="487">+J99</f>
        <v>0</v>
      </c>
      <c r="BK99" s="1">
        <f t="shared" ref="BK99:BK104" si="488">+L99</f>
        <v>0</v>
      </c>
      <c r="BL99" s="1">
        <f t="shared" ref="BL99:BL104" si="489">+N99</f>
        <v>0</v>
      </c>
      <c r="BM99" s="1">
        <f t="shared" ref="BM99:BM104" si="490">+P99</f>
        <v>0</v>
      </c>
      <c r="BN99" s="1">
        <f t="shared" ref="BN99:BN104" si="491">+R99</f>
        <v>0</v>
      </c>
      <c r="BO99" s="1">
        <f t="shared" ref="BO99:BO104" si="492">+T99</f>
        <v>0</v>
      </c>
      <c r="BP99" s="1">
        <f t="shared" ref="BP99:BP104" si="493">+V99</f>
        <v>0</v>
      </c>
      <c r="BQ99" s="1">
        <f t="shared" ref="BQ99:BQ104" si="494">+X99</f>
        <v>25</v>
      </c>
      <c r="BR99" s="1">
        <f t="shared" ref="BR99:BR104" si="495">+Z99</f>
        <v>15</v>
      </c>
      <c r="BS99" s="1">
        <f t="shared" ref="BS99:BS104" si="496">+AB99</f>
        <v>15</v>
      </c>
      <c r="BT99" s="1">
        <f t="shared" ref="BT99:BT104" si="497">+AD99</f>
        <v>10</v>
      </c>
      <c r="BU99" s="1">
        <f t="shared" ref="BU99:BU104" si="498">+AF99</f>
        <v>5</v>
      </c>
      <c r="BV99" s="1">
        <f t="shared" ref="BV99:BV104" si="499">+AH99</f>
        <v>0</v>
      </c>
      <c r="BW99" s="1">
        <f t="shared" ref="BW99:BW104" si="500">+AJ99</f>
        <v>0</v>
      </c>
      <c r="BX99" s="1">
        <f t="shared" ref="BX99:BX104" si="501">+AL99</f>
        <v>0</v>
      </c>
      <c r="BY99" s="1">
        <f t="shared" ref="BY99:BY104" si="502">+AN99</f>
        <v>0</v>
      </c>
      <c r="BZ99" s="1">
        <f t="shared" ref="BZ99:BZ104" si="503">+AP99</f>
        <v>0</v>
      </c>
      <c r="CA99" s="1">
        <f t="shared" ref="CA99:CA104" si="504">+AR99</f>
        <v>0</v>
      </c>
      <c r="CB99" s="1">
        <f t="shared" ref="CB99:CB104" si="505">+AT99</f>
        <v>0</v>
      </c>
      <c r="CC99" s="1">
        <f t="shared" ref="CC99:CC104" si="506">+AV99</f>
        <v>0</v>
      </c>
      <c r="CD99" s="1">
        <f t="shared" ref="CD99:CD104" si="507">+AX99</f>
        <v>0</v>
      </c>
      <c r="CE99" s="1">
        <f t="shared" ref="CE99:CE104" si="508">+AZ99</f>
        <v>0</v>
      </c>
      <c r="CF99" s="1">
        <f t="shared" ref="CF99:CF104" si="509">+BB99</f>
        <v>0</v>
      </c>
    </row>
    <row r="100" spans="2:85" ht="16.149999999999999" customHeight="1" outlineLevel="1">
      <c r="C100" s="27" t="s">
        <v>80</v>
      </c>
      <c r="D100" s="55">
        <v>108</v>
      </c>
      <c r="F100" s="56">
        <v>10.64</v>
      </c>
      <c r="G100" s="57">
        <f t="shared" si="473"/>
        <v>1149.1200000000001</v>
      </c>
      <c r="H100" s="28"/>
      <c r="I100" s="59" t="str">
        <f t="shared" si="454"/>
        <v/>
      </c>
      <c r="J100" s="64"/>
      <c r="K100" s="59" t="str">
        <f t="shared" si="455"/>
        <v/>
      </c>
      <c r="L100" s="64"/>
      <c r="M100" s="59" t="str">
        <f t="shared" si="474"/>
        <v/>
      </c>
      <c r="N100" s="64"/>
      <c r="O100" s="59" t="str">
        <f t="shared" si="475"/>
        <v/>
      </c>
      <c r="P100" s="64"/>
      <c r="Q100" s="59" t="str">
        <f t="shared" si="476"/>
        <v/>
      </c>
      <c r="R100" s="64"/>
      <c r="S100" s="59" t="str">
        <f t="shared" si="477"/>
        <v/>
      </c>
      <c r="T100" s="64"/>
      <c r="U100" s="59" t="str">
        <f t="shared" si="478"/>
        <v/>
      </c>
      <c r="V100" s="64"/>
      <c r="W100" s="59" t="str">
        <f t="shared" si="479"/>
        <v/>
      </c>
      <c r="X100" s="94">
        <v>61</v>
      </c>
      <c r="Y100" s="59">
        <f t="shared" si="480"/>
        <v>649.04000000000008</v>
      </c>
      <c r="Z100" s="94">
        <v>25</v>
      </c>
      <c r="AA100" s="59">
        <f t="shared" si="481"/>
        <v>266</v>
      </c>
      <c r="AB100" s="94">
        <v>12</v>
      </c>
      <c r="AC100" s="59">
        <f t="shared" si="482"/>
        <v>127.68</v>
      </c>
      <c r="AD100" s="94">
        <v>5</v>
      </c>
      <c r="AE100" s="59">
        <f t="shared" si="483"/>
        <v>53.2</v>
      </c>
      <c r="AF100" s="94">
        <v>5</v>
      </c>
      <c r="AG100" s="59">
        <f t="shared" si="484"/>
        <v>53.2</v>
      </c>
      <c r="AH100" s="94"/>
      <c r="AI100" s="59" t="str">
        <f t="shared" si="484"/>
        <v/>
      </c>
      <c r="AJ100" s="64"/>
      <c r="AK100" s="59" t="str">
        <f t="shared" si="484"/>
        <v/>
      </c>
      <c r="AL100" s="64"/>
      <c r="AM100" s="59" t="str">
        <f t="shared" si="484"/>
        <v/>
      </c>
      <c r="AN100" s="64"/>
      <c r="AO100" s="59" t="str">
        <f t="shared" si="484"/>
        <v/>
      </c>
      <c r="AP100" s="64"/>
      <c r="AQ100" s="59" t="str">
        <f t="shared" si="484"/>
        <v/>
      </c>
      <c r="AR100" s="64"/>
      <c r="AS100" s="59" t="str">
        <f t="shared" si="484"/>
        <v/>
      </c>
      <c r="AT100" s="64"/>
      <c r="AU100" s="59" t="str">
        <f t="shared" si="484"/>
        <v/>
      </c>
      <c r="AV100" s="64"/>
      <c r="AW100" s="59" t="str">
        <f t="shared" si="484"/>
        <v/>
      </c>
      <c r="AX100" s="64"/>
      <c r="AY100" s="59" t="str">
        <f t="shared" si="484"/>
        <v/>
      </c>
      <c r="AZ100" s="64"/>
      <c r="BA100" s="59" t="str">
        <f t="shared" si="484"/>
        <v/>
      </c>
      <c r="BB100" s="64"/>
      <c r="BC100" s="59" t="str">
        <f t="shared" si="484"/>
        <v/>
      </c>
      <c r="BD100" s="61">
        <f t="shared" si="456"/>
        <v>108</v>
      </c>
      <c r="BE100" s="59">
        <f t="shared" si="457"/>
        <v>1149.1200000000001</v>
      </c>
      <c r="BF100" s="61">
        <f t="shared" si="485"/>
        <v>0</v>
      </c>
      <c r="BG100" s="59">
        <f t="shared" si="458"/>
        <v>0</v>
      </c>
      <c r="BH100" s="96"/>
      <c r="BI100" s="1">
        <f t="shared" si="486"/>
        <v>0</v>
      </c>
      <c r="BJ100" s="1">
        <f t="shared" si="487"/>
        <v>0</v>
      </c>
      <c r="BK100" s="1">
        <f t="shared" si="488"/>
        <v>0</v>
      </c>
      <c r="BL100" s="1">
        <f t="shared" si="489"/>
        <v>0</v>
      </c>
      <c r="BM100" s="1">
        <f t="shared" si="490"/>
        <v>0</v>
      </c>
      <c r="BN100" s="1">
        <f t="shared" si="491"/>
        <v>0</v>
      </c>
      <c r="BO100" s="1">
        <f t="shared" si="492"/>
        <v>0</v>
      </c>
      <c r="BP100" s="1">
        <f t="shared" si="493"/>
        <v>0</v>
      </c>
      <c r="BQ100" s="1">
        <f t="shared" si="494"/>
        <v>61</v>
      </c>
      <c r="BR100" s="1">
        <f t="shared" si="495"/>
        <v>25</v>
      </c>
      <c r="BS100" s="1">
        <f t="shared" si="496"/>
        <v>12</v>
      </c>
      <c r="BT100" s="1">
        <f t="shared" si="497"/>
        <v>5</v>
      </c>
      <c r="BU100" s="1">
        <f t="shared" si="498"/>
        <v>5</v>
      </c>
      <c r="BV100" s="1">
        <f t="shared" si="499"/>
        <v>0</v>
      </c>
      <c r="BW100" s="1">
        <f t="shared" si="500"/>
        <v>0</v>
      </c>
      <c r="BX100" s="1">
        <f t="shared" si="501"/>
        <v>0</v>
      </c>
      <c r="BY100" s="1">
        <f t="shared" si="502"/>
        <v>0</v>
      </c>
      <c r="BZ100" s="1">
        <f t="shared" si="503"/>
        <v>0</v>
      </c>
      <c r="CA100" s="1">
        <f t="shared" si="504"/>
        <v>0</v>
      </c>
      <c r="CB100" s="1">
        <f t="shared" si="505"/>
        <v>0</v>
      </c>
      <c r="CC100" s="1">
        <f t="shared" si="506"/>
        <v>0</v>
      </c>
      <c r="CD100" s="1">
        <f t="shared" si="507"/>
        <v>0</v>
      </c>
      <c r="CE100" s="1">
        <f t="shared" si="508"/>
        <v>0</v>
      </c>
      <c r="CF100" s="1">
        <f t="shared" si="509"/>
        <v>0</v>
      </c>
    </row>
    <row r="101" spans="2:85" ht="16.149999999999999" customHeight="1" outlineLevel="1">
      <c r="C101" s="27" t="s">
        <v>85</v>
      </c>
      <c r="D101" s="55">
        <v>15</v>
      </c>
      <c r="F101" s="56">
        <v>13.04</v>
      </c>
      <c r="G101" s="57">
        <f t="shared" si="473"/>
        <v>195.6</v>
      </c>
      <c r="H101" s="28"/>
      <c r="I101" s="59" t="str">
        <f t="shared" ref="I101:I104" si="510">+IF(OR($F101="",H101=""),"",$F101*H101)</f>
        <v/>
      </c>
      <c r="J101" s="64"/>
      <c r="K101" s="59" t="str">
        <f t="shared" ref="K101:K104" si="511">+IF(OR($F101="",J101=""),"",$F101*J101)</f>
        <v/>
      </c>
      <c r="L101" s="64"/>
      <c r="M101" s="59" t="str">
        <f t="shared" si="474"/>
        <v/>
      </c>
      <c r="N101" s="64"/>
      <c r="O101" s="59" t="str">
        <f t="shared" si="475"/>
        <v/>
      </c>
      <c r="P101" s="64"/>
      <c r="Q101" s="59" t="str">
        <f t="shared" si="476"/>
        <v/>
      </c>
      <c r="R101" s="64"/>
      <c r="S101" s="59" t="str">
        <f t="shared" si="477"/>
        <v/>
      </c>
      <c r="T101" s="64"/>
      <c r="U101" s="59" t="str">
        <f t="shared" si="478"/>
        <v/>
      </c>
      <c r="V101" s="64"/>
      <c r="W101" s="59" t="str">
        <f t="shared" si="479"/>
        <v/>
      </c>
      <c r="X101" s="94">
        <v>5</v>
      </c>
      <c r="Y101" s="59">
        <f t="shared" si="480"/>
        <v>65.199999999999989</v>
      </c>
      <c r="Z101" s="94">
        <v>5</v>
      </c>
      <c r="AA101" s="59">
        <f t="shared" si="481"/>
        <v>65.199999999999989</v>
      </c>
      <c r="AB101" s="94">
        <v>2.5</v>
      </c>
      <c r="AC101" s="59">
        <f t="shared" si="482"/>
        <v>32.599999999999994</v>
      </c>
      <c r="AD101" s="94">
        <v>1</v>
      </c>
      <c r="AE101" s="59">
        <f t="shared" si="483"/>
        <v>13.04</v>
      </c>
      <c r="AF101" s="94">
        <v>1.5</v>
      </c>
      <c r="AG101" s="59">
        <f t="shared" si="484"/>
        <v>19.559999999999999</v>
      </c>
      <c r="AH101" s="94"/>
      <c r="AI101" s="59" t="str">
        <f t="shared" si="484"/>
        <v/>
      </c>
      <c r="AJ101" s="64"/>
      <c r="AK101" s="59" t="str">
        <f t="shared" si="484"/>
        <v/>
      </c>
      <c r="AL101" s="64"/>
      <c r="AM101" s="59" t="str">
        <f t="shared" si="484"/>
        <v/>
      </c>
      <c r="AN101" s="64"/>
      <c r="AO101" s="59" t="str">
        <f t="shared" si="484"/>
        <v/>
      </c>
      <c r="AP101" s="64"/>
      <c r="AQ101" s="59" t="str">
        <f t="shared" si="484"/>
        <v/>
      </c>
      <c r="AR101" s="64"/>
      <c r="AS101" s="59" t="str">
        <f t="shared" si="484"/>
        <v/>
      </c>
      <c r="AT101" s="64"/>
      <c r="AU101" s="59" t="str">
        <f t="shared" si="484"/>
        <v/>
      </c>
      <c r="AV101" s="64"/>
      <c r="AW101" s="59" t="str">
        <f t="shared" si="484"/>
        <v/>
      </c>
      <c r="AX101" s="64"/>
      <c r="AY101" s="59" t="str">
        <f t="shared" si="484"/>
        <v/>
      </c>
      <c r="AZ101" s="64"/>
      <c r="BA101" s="59" t="str">
        <f t="shared" si="484"/>
        <v/>
      </c>
      <c r="BB101" s="64"/>
      <c r="BC101" s="59" t="str">
        <f t="shared" si="484"/>
        <v/>
      </c>
      <c r="BD101" s="61">
        <f t="shared" ref="BD101:BD104" si="512">+SUM(BI101:CF101)</f>
        <v>15</v>
      </c>
      <c r="BE101" s="59">
        <f t="shared" ref="BE101:BE104" si="513">+IF(OR($F101="",BD101=""),"",$F101*BD101)</f>
        <v>195.6</v>
      </c>
      <c r="BF101" s="61">
        <f t="shared" si="485"/>
        <v>0</v>
      </c>
      <c r="BG101" s="59">
        <f t="shared" ref="BG101:BG104" si="514">+IF(OR($F101="",BF101=""),"",$F101*BF101)</f>
        <v>0</v>
      </c>
      <c r="BH101" s="96"/>
      <c r="BI101" s="1">
        <f t="shared" si="486"/>
        <v>0</v>
      </c>
      <c r="BJ101" s="1">
        <f t="shared" si="487"/>
        <v>0</v>
      </c>
      <c r="BK101" s="1">
        <f t="shared" si="488"/>
        <v>0</v>
      </c>
      <c r="BL101" s="1">
        <f t="shared" si="489"/>
        <v>0</v>
      </c>
      <c r="BM101" s="1">
        <f t="shared" si="490"/>
        <v>0</v>
      </c>
      <c r="BN101" s="1">
        <f t="shared" si="491"/>
        <v>0</v>
      </c>
      <c r="BO101" s="1">
        <f t="shared" si="492"/>
        <v>0</v>
      </c>
      <c r="BP101" s="1">
        <f t="shared" si="493"/>
        <v>0</v>
      </c>
      <c r="BQ101" s="1">
        <f t="shared" si="494"/>
        <v>5</v>
      </c>
      <c r="BR101" s="1">
        <f t="shared" si="495"/>
        <v>5</v>
      </c>
      <c r="BS101" s="1">
        <f t="shared" si="496"/>
        <v>2.5</v>
      </c>
      <c r="BT101" s="1">
        <f t="shared" si="497"/>
        <v>1</v>
      </c>
      <c r="BU101" s="1">
        <f t="shared" si="498"/>
        <v>1.5</v>
      </c>
      <c r="BV101" s="1">
        <f t="shared" si="499"/>
        <v>0</v>
      </c>
      <c r="BW101" s="1">
        <f t="shared" si="500"/>
        <v>0</v>
      </c>
      <c r="BX101" s="1">
        <f t="shared" si="501"/>
        <v>0</v>
      </c>
      <c r="BY101" s="1">
        <f t="shared" si="502"/>
        <v>0</v>
      </c>
      <c r="BZ101" s="1">
        <f t="shared" si="503"/>
        <v>0</v>
      </c>
      <c r="CA101" s="1">
        <f t="shared" si="504"/>
        <v>0</v>
      </c>
      <c r="CB101" s="1">
        <f t="shared" si="505"/>
        <v>0</v>
      </c>
      <c r="CC101" s="1">
        <f t="shared" si="506"/>
        <v>0</v>
      </c>
      <c r="CD101" s="1">
        <f t="shared" si="507"/>
        <v>0</v>
      </c>
      <c r="CE101" s="1">
        <f t="shared" si="508"/>
        <v>0</v>
      </c>
      <c r="CF101" s="1">
        <f t="shared" si="509"/>
        <v>0</v>
      </c>
    </row>
    <row r="102" spans="2:85" ht="16.149999999999999" customHeight="1" outlineLevel="1">
      <c r="C102" s="27" t="s">
        <v>776</v>
      </c>
      <c r="D102" s="55">
        <v>15</v>
      </c>
      <c r="F102" s="56">
        <v>18.55</v>
      </c>
      <c r="G102" s="57">
        <f t="shared" si="473"/>
        <v>278.25</v>
      </c>
      <c r="H102" s="28"/>
      <c r="I102" s="59" t="str">
        <f t="shared" si="510"/>
        <v/>
      </c>
      <c r="J102" s="64"/>
      <c r="K102" s="59" t="str">
        <f t="shared" si="511"/>
        <v/>
      </c>
      <c r="L102" s="64"/>
      <c r="M102" s="59" t="str">
        <f t="shared" si="474"/>
        <v/>
      </c>
      <c r="N102" s="64"/>
      <c r="O102" s="59" t="str">
        <f t="shared" si="475"/>
        <v/>
      </c>
      <c r="P102" s="64"/>
      <c r="Q102" s="59" t="str">
        <f t="shared" si="476"/>
        <v/>
      </c>
      <c r="R102" s="64"/>
      <c r="S102" s="59" t="str">
        <f t="shared" si="477"/>
        <v/>
      </c>
      <c r="T102" s="64"/>
      <c r="U102" s="59" t="str">
        <f t="shared" si="478"/>
        <v/>
      </c>
      <c r="V102" s="64"/>
      <c r="W102" s="59" t="str">
        <f t="shared" si="479"/>
        <v/>
      </c>
      <c r="X102" s="94">
        <v>5</v>
      </c>
      <c r="Y102" s="59">
        <f t="shared" si="480"/>
        <v>92.75</v>
      </c>
      <c r="Z102" s="94">
        <v>5</v>
      </c>
      <c r="AA102" s="59">
        <f t="shared" si="481"/>
        <v>92.75</v>
      </c>
      <c r="AB102" s="94">
        <v>2.5</v>
      </c>
      <c r="AC102" s="59">
        <f t="shared" si="482"/>
        <v>46.375</v>
      </c>
      <c r="AD102" s="94">
        <v>1</v>
      </c>
      <c r="AE102" s="59">
        <f t="shared" si="483"/>
        <v>18.55</v>
      </c>
      <c r="AF102" s="94">
        <v>1.5</v>
      </c>
      <c r="AG102" s="59">
        <f t="shared" si="484"/>
        <v>27.825000000000003</v>
      </c>
      <c r="AH102" s="94"/>
      <c r="AI102" s="59" t="str">
        <f t="shared" si="484"/>
        <v/>
      </c>
      <c r="AJ102" s="64"/>
      <c r="AK102" s="59" t="str">
        <f t="shared" si="484"/>
        <v/>
      </c>
      <c r="AL102" s="64"/>
      <c r="AM102" s="59" t="str">
        <f t="shared" si="484"/>
        <v/>
      </c>
      <c r="AN102" s="64"/>
      <c r="AO102" s="59" t="str">
        <f t="shared" si="484"/>
        <v/>
      </c>
      <c r="AP102" s="64"/>
      <c r="AQ102" s="59" t="str">
        <f t="shared" si="484"/>
        <v/>
      </c>
      <c r="AR102" s="64"/>
      <c r="AS102" s="59" t="str">
        <f t="shared" si="484"/>
        <v/>
      </c>
      <c r="AT102" s="64"/>
      <c r="AU102" s="59" t="str">
        <f t="shared" si="484"/>
        <v/>
      </c>
      <c r="AV102" s="64"/>
      <c r="AW102" s="59" t="str">
        <f t="shared" si="484"/>
        <v/>
      </c>
      <c r="AX102" s="64"/>
      <c r="AY102" s="59" t="str">
        <f t="shared" si="484"/>
        <v/>
      </c>
      <c r="AZ102" s="64"/>
      <c r="BA102" s="59" t="str">
        <f t="shared" si="484"/>
        <v/>
      </c>
      <c r="BB102" s="64"/>
      <c r="BC102" s="59" t="str">
        <f t="shared" si="484"/>
        <v/>
      </c>
      <c r="BD102" s="61">
        <f t="shared" si="512"/>
        <v>15</v>
      </c>
      <c r="BE102" s="59">
        <f t="shared" si="513"/>
        <v>278.25</v>
      </c>
      <c r="BF102" s="61">
        <f t="shared" si="485"/>
        <v>0</v>
      </c>
      <c r="BG102" s="59">
        <f t="shared" si="514"/>
        <v>0</v>
      </c>
      <c r="BH102" s="96"/>
      <c r="BI102" s="1">
        <f t="shared" si="486"/>
        <v>0</v>
      </c>
      <c r="BJ102" s="1">
        <f t="shared" si="487"/>
        <v>0</v>
      </c>
      <c r="BK102" s="1">
        <f t="shared" si="488"/>
        <v>0</v>
      </c>
      <c r="BL102" s="1">
        <f t="shared" si="489"/>
        <v>0</v>
      </c>
      <c r="BM102" s="1">
        <f t="shared" si="490"/>
        <v>0</v>
      </c>
      <c r="BN102" s="1">
        <f t="shared" si="491"/>
        <v>0</v>
      </c>
      <c r="BO102" s="1">
        <f t="shared" si="492"/>
        <v>0</v>
      </c>
      <c r="BP102" s="1">
        <f t="shared" si="493"/>
        <v>0</v>
      </c>
      <c r="BQ102" s="1">
        <f t="shared" si="494"/>
        <v>5</v>
      </c>
      <c r="BR102" s="1">
        <f t="shared" si="495"/>
        <v>5</v>
      </c>
      <c r="BS102" s="1">
        <f t="shared" si="496"/>
        <v>2.5</v>
      </c>
      <c r="BT102" s="1">
        <f t="shared" si="497"/>
        <v>1</v>
      </c>
      <c r="BU102" s="1">
        <f t="shared" si="498"/>
        <v>1.5</v>
      </c>
      <c r="BV102" s="1">
        <f t="shared" si="499"/>
        <v>0</v>
      </c>
      <c r="BW102" s="1">
        <f t="shared" si="500"/>
        <v>0</v>
      </c>
      <c r="BX102" s="1">
        <f t="shared" si="501"/>
        <v>0</v>
      </c>
      <c r="BY102" s="1">
        <f t="shared" si="502"/>
        <v>0</v>
      </c>
      <c r="BZ102" s="1">
        <f t="shared" si="503"/>
        <v>0</v>
      </c>
      <c r="CA102" s="1">
        <f t="shared" si="504"/>
        <v>0</v>
      </c>
      <c r="CB102" s="1">
        <f t="shared" si="505"/>
        <v>0</v>
      </c>
      <c r="CC102" s="1">
        <f t="shared" si="506"/>
        <v>0</v>
      </c>
      <c r="CD102" s="1">
        <f t="shared" si="507"/>
        <v>0</v>
      </c>
      <c r="CE102" s="1">
        <f t="shared" si="508"/>
        <v>0</v>
      </c>
      <c r="CF102" s="1">
        <f t="shared" si="509"/>
        <v>0</v>
      </c>
    </row>
    <row r="103" spans="2:85" ht="16.149999999999999" customHeight="1" outlineLevel="1">
      <c r="C103" s="27" t="s">
        <v>803</v>
      </c>
      <c r="D103" s="55">
        <v>67</v>
      </c>
      <c r="F103" s="56">
        <v>7.59</v>
      </c>
      <c r="G103" s="57">
        <f t="shared" si="473"/>
        <v>508.53</v>
      </c>
      <c r="H103" s="28"/>
      <c r="I103" s="59" t="str">
        <f t="shared" si="510"/>
        <v/>
      </c>
      <c r="J103" s="64"/>
      <c r="K103" s="59" t="str">
        <f t="shared" si="511"/>
        <v/>
      </c>
      <c r="L103" s="64"/>
      <c r="M103" s="59" t="str">
        <f t="shared" si="474"/>
        <v/>
      </c>
      <c r="N103" s="64"/>
      <c r="O103" s="59" t="str">
        <f t="shared" si="475"/>
        <v/>
      </c>
      <c r="P103" s="64"/>
      <c r="Q103" s="59" t="str">
        <f t="shared" si="476"/>
        <v/>
      </c>
      <c r="R103" s="64"/>
      <c r="S103" s="59" t="str">
        <f t="shared" si="477"/>
        <v/>
      </c>
      <c r="T103" s="64"/>
      <c r="U103" s="59" t="str">
        <f t="shared" si="478"/>
        <v/>
      </c>
      <c r="V103" s="64"/>
      <c r="W103" s="59" t="str">
        <f t="shared" si="479"/>
        <v/>
      </c>
      <c r="X103" s="94">
        <v>27</v>
      </c>
      <c r="Y103" s="59">
        <f t="shared" si="480"/>
        <v>204.93</v>
      </c>
      <c r="Z103" s="94">
        <v>30</v>
      </c>
      <c r="AA103" s="59">
        <f t="shared" si="481"/>
        <v>227.7</v>
      </c>
      <c r="AB103" s="94">
        <v>5</v>
      </c>
      <c r="AC103" s="59">
        <f t="shared" si="482"/>
        <v>37.950000000000003</v>
      </c>
      <c r="AD103" s="94">
        <v>2</v>
      </c>
      <c r="AE103" s="59">
        <f t="shared" si="483"/>
        <v>15.18</v>
      </c>
      <c r="AF103" s="94">
        <v>3</v>
      </c>
      <c r="AG103" s="59">
        <f t="shared" si="484"/>
        <v>22.77</v>
      </c>
      <c r="AH103" s="94"/>
      <c r="AI103" s="59" t="str">
        <f t="shared" si="484"/>
        <v/>
      </c>
      <c r="AJ103" s="64"/>
      <c r="AK103" s="59" t="str">
        <f t="shared" si="484"/>
        <v/>
      </c>
      <c r="AL103" s="64"/>
      <c r="AM103" s="59" t="str">
        <f t="shared" si="484"/>
        <v/>
      </c>
      <c r="AN103" s="64"/>
      <c r="AO103" s="59" t="str">
        <f t="shared" si="484"/>
        <v/>
      </c>
      <c r="AP103" s="64"/>
      <c r="AQ103" s="59" t="str">
        <f t="shared" si="484"/>
        <v/>
      </c>
      <c r="AR103" s="64"/>
      <c r="AS103" s="59" t="str">
        <f t="shared" si="484"/>
        <v/>
      </c>
      <c r="AT103" s="64"/>
      <c r="AU103" s="59" t="str">
        <f t="shared" si="484"/>
        <v/>
      </c>
      <c r="AV103" s="64"/>
      <c r="AW103" s="59" t="str">
        <f t="shared" si="484"/>
        <v/>
      </c>
      <c r="AX103" s="64"/>
      <c r="AY103" s="59" t="str">
        <f t="shared" si="484"/>
        <v/>
      </c>
      <c r="AZ103" s="64"/>
      <c r="BA103" s="59" t="str">
        <f t="shared" si="484"/>
        <v/>
      </c>
      <c r="BB103" s="64"/>
      <c r="BC103" s="59" t="str">
        <f t="shared" si="484"/>
        <v/>
      </c>
      <c r="BD103" s="61">
        <f t="shared" si="512"/>
        <v>67</v>
      </c>
      <c r="BE103" s="59">
        <f t="shared" si="513"/>
        <v>508.53</v>
      </c>
      <c r="BF103" s="61">
        <f t="shared" si="485"/>
        <v>0</v>
      </c>
      <c r="BG103" s="59">
        <f t="shared" si="514"/>
        <v>0</v>
      </c>
      <c r="BH103" s="96"/>
      <c r="BI103" s="1">
        <f t="shared" si="486"/>
        <v>0</v>
      </c>
      <c r="BJ103" s="1">
        <f t="shared" si="487"/>
        <v>0</v>
      </c>
      <c r="BK103" s="1">
        <f t="shared" si="488"/>
        <v>0</v>
      </c>
      <c r="BL103" s="1">
        <f t="shared" si="489"/>
        <v>0</v>
      </c>
      <c r="BM103" s="1">
        <f t="shared" si="490"/>
        <v>0</v>
      </c>
      <c r="BN103" s="1">
        <f t="shared" si="491"/>
        <v>0</v>
      </c>
      <c r="BO103" s="1">
        <f t="shared" si="492"/>
        <v>0</v>
      </c>
      <c r="BP103" s="1">
        <f t="shared" si="493"/>
        <v>0</v>
      </c>
      <c r="BQ103" s="1">
        <f t="shared" si="494"/>
        <v>27</v>
      </c>
      <c r="BR103" s="1">
        <f t="shared" si="495"/>
        <v>30</v>
      </c>
      <c r="BS103" s="1">
        <f t="shared" si="496"/>
        <v>5</v>
      </c>
      <c r="BT103" s="1">
        <f t="shared" si="497"/>
        <v>2</v>
      </c>
      <c r="BU103" s="1">
        <f t="shared" si="498"/>
        <v>3</v>
      </c>
      <c r="BV103" s="1">
        <f t="shared" si="499"/>
        <v>0</v>
      </c>
      <c r="BW103" s="1">
        <f t="shared" si="500"/>
        <v>0</v>
      </c>
      <c r="BX103" s="1">
        <f t="shared" si="501"/>
        <v>0</v>
      </c>
      <c r="BY103" s="1">
        <f t="shared" si="502"/>
        <v>0</v>
      </c>
      <c r="BZ103" s="1">
        <f t="shared" si="503"/>
        <v>0</v>
      </c>
      <c r="CA103" s="1">
        <f t="shared" si="504"/>
        <v>0</v>
      </c>
      <c r="CB103" s="1">
        <f t="shared" si="505"/>
        <v>0</v>
      </c>
      <c r="CC103" s="1">
        <f t="shared" si="506"/>
        <v>0</v>
      </c>
      <c r="CD103" s="1">
        <f t="shared" si="507"/>
        <v>0</v>
      </c>
      <c r="CE103" s="1">
        <f t="shared" si="508"/>
        <v>0</v>
      </c>
      <c r="CF103" s="1">
        <f t="shared" si="509"/>
        <v>0</v>
      </c>
    </row>
    <row r="104" spans="2:85" ht="22.5" outlineLevel="1">
      <c r="C104" s="27" t="s">
        <v>778</v>
      </c>
      <c r="D104" s="55">
        <v>6</v>
      </c>
      <c r="F104" s="56">
        <v>107.76</v>
      </c>
      <c r="G104" s="57">
        <f t="shared" si="473"/>
        <v>646.56000000000006</v>
      </c>
      <c r="H104" s="28"/>
      <c r="I104" s="59" t="str">
        <f t="shared" si="510"/>
        <v/>
      </c>
      <c r="J104" s="64"/>
      <c r="K104" s="59" t="str">
        <f t="shared" si="511"/>
        <v/>
      </c>
      <c r="L104" s="64"/>
      <c r="M104" s="59" t="str">
        <f t="shared" si="474"/>
        <v/>
      </c>
      <c r="N104" s="64"/>
      <c r="O104" s="59" t="str">
        <f t="shared" si="475"/>
        <v/>
      </c>
      <c r="P104" s="64"/>
      <c r="Q104" s="59" t="str">
        <f t="shared" si="476"/>
        <v/>
      </c>
      <c r="R104" s="64"/>
      <c r="S104" s="59" t="str">
        <f t="shared" si="477"/>
        <v/>
      </c>
      <c r="T104" s="64"/>
      <c r="U104" s="59" t="str">
        <f t="shared" si="478"/>
        <v/>
      </c>
      <c r="V104" s="64"/>
      <c r="W104" s="59" t="str">
        <f t="shared" si="479"/>
        <v/>
      </c>
      <c r="X104" s="94">
        <v>4</v>
      </c>
      <c r="Y104" s="59">
        <f t="shared" si="480"/>
        <v>431.04</v>
      </c>
      <c r="Z104" s="94">
        <v>1</v>
      </c>
      <c r="AA104" s="59">
        <f t="shared" si="481"/>
        <v>107.76</v>
      </c>
      <c r="AB104" s="94">
        <v>0.5</v>
      </c>
      <c r="AC104" s="59">
        <f t="shared" si="482"/>
        <v>53.88</v>
      </c>
      <c r="AD104" s="94"/>
      <c r="AE104" s="59" t="str">
        <f t="shared" si="483"/>
        <v/>
      </c>
      <c r="AF104" s="94">
        <v>0.5</v>
      </c>
      <c r="AG104" s="59">
        <f t="shared" si="484"/>
        <v>53.88</v>
      </c>
      <c r="AH104" s="94"/>
      <c r="AI104" s="59" t="str">
        <f t="shared" si="484"/>
        <v/>
      </c>
      <c r="AJ104" s="64"/>
      <c r="AK104" s="59" t="str">
        <f t="shared" si="484"/>
        <v/>
      </c>
      <c r="AL104" s="64"/>
      <c r="AM104" s="59" t="str">
        <f t="shared" si="484"/>
        <v/>
      </c>
      <c r="AN104" s="64"/>
      <c r="AO104" s="59" t="str">
        <f t="shared" si="484"/>
        <v/>
      </c>
      <c r="AP104" s="64"/>
      <c r="AQ104" s="59" t="str">
        <f t="shared" si="484"/>
        <v/>
      </c>
      <c r="AR104" s="64"/>
      <c r="AS104" s="59" t="str">
        <f t="shared" si="484"/>
        <v/>
      </c>
      <c r="AT104" s="64"/>
      <c r="AU104" s="59" t="str">
        <f t="shared" si="484"/>
        <v/>
      </c>
      <c r="AV104" s="64"/>
      <c r="AW104" s="59" t="str">
        <f t="shared" si="484"/>
        <v/>
      </c>
      <c r="AX104" s="64"/>
      <c r="AY104" s="59" t="str">
        <f t="shared" si="484"/>
        <v/>
      </c>
      <c r="AZ104" s="64"/>
      <c r="BA104" s="59" t="str">
        <f t="shared" si="484"/>
        <v/>
      </c>
      <c r="BB104" s="64"/>
      <c r="BC104" s="59" t="str">
        <f t="shared" si="484"/>
        <v/>
      </c>
      <c r="BD104" s="61">
        <f t="shared" si="512"/>
        <v>6</v>
      </c>
      <c r="BE104" s="59">
        <f t="shared" si="513"/>
        <v>646.56000000000006</v>
      </c>
      <c r="BF104" s="61">
        <f t="shared" si="485"/>
        <v>0</v>
      </c>
      <c r="BG104" s="59">
        <f t="shared" si="514"/>
        <v>0</v>
      </c>
      <c r="BH104" s="96"/>
      <c r="BI104" s="1">
        <f t="shared" si="486"/>
        <v>0</v>
      </c>
      <c r="BJ104" s="1">
        <f t="shared" si="487"/>
        <v>0</v>
      </c>
      <c r="BK104" s="1">
        <f t="shared" si="488"/>
        <v>0</v>
      </c>
      <c r="BL104" s="1">
        <f t="shared" si="489"/>
        <v>0</v>
      </c>
      <c r="BM104" s="1">
        <f t="shared" si="490"/>
        <v>0</v>
      </c>
      <c r="BN104" s="1">
        <f t="shared" si="491"/>
        <v>0</v>
      </c>
      <c r="BO104" s="1">
        <f t="shared" si="492"/>
        <v>0</v>
      </c>
      <c r="BP104" s="1">
        <f t="shared" si="493"/>
        <v>0</v>
      </c>
      <c r="BQ104" s="1">
        <f t="shared" si="494"/>
        <v>4</v>
      </c>
      <c r="BR104" s="1">
        <f t="shared" si="495"/>
        <v>1</v>
      </c>
      <c r="BS104" s="1">
        <f t="shared" si="496"/>
        <v>0.5</v>
      </c>
      <c r="BT104" s="1">
        <f t="shared" si="497"/>
        <v>0</v>
      </c>
      <c r="BU104" s="1">
        <f t="shared" si="498"/>
        <v>0.5</v>
      </c>
      <c r="BV104" s="1">
        <f t="shared" si="499"/>
        <v>0</v>
      </c>
      <c r="BW104" s="1">
        <f t="shared" si="500"/>
        <v>0</v>
      </c>
      <c r="BX104" s="1">
        <f t="shared" si="501"/>
        <v>0</v>
      </c>
      <c r="BY104" s="1">
        <f t="shared" si="502"/>
        <v>0</v>
      </c>
      <c r="BZ104" s="1">
        <f t="shared" si="503"/>
        <v>0</v>
      </c>
      <c r="CA104" s="1">
        <f t="shared" si="504"/>
        <v>0</v>
      </c>
      <c r="CB104" s="1">
        <f t="shared" si="505"/>
        <v>0</v>
      </c>
      <c r="CC104" s="1">
        <f t="shared" si="506"/>
        <v>0</v>
      </c>
      <c r="CD104" s="1">
        <f t="shared" si="507"/>
        <v>0</v>
      </c>
      <c r="CE104" s="1">
        <f t="shared" si="508"/>
        <v>0</v>
      </c>
      <c r="CF104" s="1">
        <f t="shared" si="509"/>
        <v>0</v>
      </c>
    </row>
    <row r="105" spans="2:85" s="6" customFormat="1" ht="18" customHeight="1">
      <c r="B105" s="62" t="s">
        <v>825</v>
      </c>
      <c r="C105" s="25" t="s">
        <v>826</v>
      </c>
      <c r="D105" s="49"/>
      <c r="E105" s="85"/>
      <c r="F105" s="50"/>
      <c r="G105" s="63">
        <f>+SUM(G106:G106)</f>
        <v>1544.72</v>
      </c>
      <c r="H105" s="51"/>
      <c r="I105" s="52" t="str">
        <f>+IF(SUM(I106:I106)=0,"",SUM(I106:I106))</f>
        <v/>
      </c>
      <c r="J105" s="53"/>
      <c r="K105" s="52" t="str">
        <f>+IF(SUM(K106:K106)=0,"",SUM(K106:K106))</f>
        <v/>
      </c>
      <c r="L105" s="53"/>
      <c r="M105" s="52" t="str">
        <f>+IF(SUM(M106:M106)=0,"",SUM(M106:M106))</f>
        <v/>
      </c>
      <c r="N105" s="53"/>
      <c r="O105" s="52" t="str">
        <f>+IF(SUM(O106:O106)=0,"",SUM(O106:O106))</f>
        <v/>
      </c>
      <c r="P105" s="53"/>
      <c r="Q105" s="52" t="str">
        <f>+IF(SUM(Q106:Q106)=0,"",SUM(Q106:Q106))</f>
        <v/>
      </c>
      <c r="R105" s="53"/>
      <c r="S105" s="52" t="str">
        <f>+IF(SUM(S106:S106)=0,"",SUM(S106:S106))</f>
        <v/>
      </c>
      <c r="T105" s="53"/>
      <c r="U105" s="52" t="str">
        <f>+IF(SUM(U106:U106)=0,"",SUM(U106:U106))</f>
        <v/>
      </c>
      <c r="V105" s="53"/>
      <c r="W105" s="52" t="str">
        <f>+IF(SUM(W106:W106)=0,"",SUM(W106:W106))</f>
        <v/>
      </c>
      <c r="X105" s="91"/>
      <c r="Y105" s="52" t="str">
        <f>+IF(SUM(Y106:Y106)=0,"",SUM(Y106:Y106))</f>
        <v/>
      </c>
      <c r="Z105" s="91"/>
      <c r="AA105" s="52" t="str">
        <f>+IF(SUM(AA106:AA106)=0,"",SUM(AA106:AA106))</f>
        <v/>
      </c>
      <c r="AB105" s="91"/>
      <c r="AC105" s="52" t="str">
        <f>+IF(SUM(AC106:AC106)=0,"",SUM(AC106:AC106))</f>
        <v/>
      </c>
      <c r="AD105" s="91"/>
      <c r="AE105" s="52" t="str">
        <f>+IF(SUM(AE106:AE106)=0,"",SUM(AE106:AE106))</f>
        <v/>
      </c>
      <c r="AF105" s="91"/>
      <c r="AG105" s="52" t="str">
        <f>+IF(SUM(AG106:AG106)=0,"",SUM(AG106:AG106))</f>
        <v/>
      </c>
      <c r="AH105" s="91"/>
      <c r="AI105" s="52" t="str">
        <f>+IF(SUM(AI106:AI106)=0,"",SUM(AI106:AI106))</f>
        <v/>
      </c>
      <c r="AJ105" s="53"/>
      <c r="AK105" s="52" t="str">
        <f>+IF(SUM(AK106:AK106)=0,"",SUM(AK106:AK106))</f>
        <v/>
      </c>
      <c r="AL105" s="53"/>
      <c r="AM105" s="52" t="str">
        <f>+IF(SUM(AM106:AM106)=0,"",SUM(AM106:AM106))</f>
        <v/>
      </c>
      <c r="AN105" s="53"/>
      <c r="AO105" s="52" t="str">
        <f>+IF(SUM(AO106:AO106)=0,"",SUM(AO106:AO106))</f>
        <v/>
      </c>
      <c r="AP105" s="53"/>
      <c r="AQ105" s="52" t="str">
        <f>+IF(SUM(AQ106:AQ106)=0,"",SUM(AQ106:AQ106))</f>
        <v/>
      </c>
      <c r="AR105" s="53"/>
      <c r="AS105" s="52" t="str">
        <f>+IF(SUM(AS106:AS106)=0,"",SUM(AS106:AS106))</f>
        <v/>
      </c>
      <c r="AT105" s="53"/>
      <c r="AU105" s="52" t="str">
        <f>+IF(SUM(AU106:AU106)=0,"",SUM(AU106:AU106))</f>
        <v/>
      </c>
      <c r="AV105" s="53"/>
      <c r="AW105" s="52" t="str">
        <f>+IF(SUM(AW106:AW106)=0,"",SUM(AW106:AW106))</f>
        <v/>
      </c>
      <c r="AX105" s="53"/>
      <c r="AY105" s="52" t="str">
        <f>+IF(SUM(AY106:AY106)=0,"",SUM(AY106:AY106))</f>
        <v/>
      </c>
      <c r="AZ105" s="53"/>
      <c r="BA105" s="52" t="str">
        <f>+IF(SUM(BA106:BA106)=0,"",SUM(BA106:BA106))</f>
        <v/>
      </c>
      <c r="BB105" s="53"/>
      <c r="BC105" s="52" t="str">
        <f>+IF(SUM(BC106:BC106)=0,"",SUM(BC106:BC106))</f>
        <v/>
      </c>
      <c r="BD105" s="54"/>
      <c r="BE105" s="52">
        <f>+SUM(BE106:BE106)</f>
        <v>0</v>
      </c>
      <c r="BF105" s="54"/>
      <c r="BG105" s="52">
        <f>+SUM(BG106:BG106)</f>
        <v>1544.72</v>
      </c>
      <c r="BH105" s="96"/>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row>
    <row r="106" spans="2:85" ht="31.5" customHeight="1" outlineLevel="1">
      <c r="B106" s="19"/>
      <c r="C106" s="26" t="s">
        <v>827</v>
      </c>
      <c r="D106" s="55">
        <v>4</v>
      </c>
      <c r="E106" s="88" t="s">
        <v>828</v>
      </c>
      <c r="F106" s="56">
        <v>386.18</v>
      </c>
      <c r="G106" s="57">
        <f>+D106*F106</f>
        <v>1544.72</v>
      </c>
      <c r="H106" s="28"/>
      <c r="I106" s="59" t="str">
        <f>+IF(OR($F106="",H106=""),"",$F106*H106)</f>
        <v/>
      </c>
      <c r="J106" s="60"/>
      <c r="K106" s="59" t="str">
        <f>+IF(OR($F106="",J106=""),"",$F106*J106)</f>
        <v/>
      </c>
      <c r="L106" s="60"/>
      <c r="M106" s="59" t="str">
        <f>+IF(OR($F106="",L106=""),"",$F106*L106)</f>
        <v/>
      </c>
      <c r="N106" s="60"/>
      <c r="O106" s="59" t="str">
        <f>+IF(OR($F106="",N106=""),"",$F106*N106)</f>
        <v/>
      </c>
      <c r="P106" s="60"/>
      <c r="Q106" s="59" t="str">
        <f>+IF(OR($F106="",P106=""),"",$F106*P106)</f>
        <v/>
      </c>
      <c r="R106" s="60"/>
      <c r="S106" s="59" t="str">
        <f>+IF(OR($F106="",R106=""),"",$F106*R106)</f>
        <v/>
      </c>
      <c r="T106" s="60"/>
      <c r="U106" s="59" t="str">
        <f>+IF(OR($F106="",T106=""),"",$F106*T106)</f>
        <v/>
      </c>
      <c r="V106" s="60"/>
      <c r="W106" s="59" t="str">
        <f>+IF(OR($F106="",V106=""),"",$F106*V106)</f>
        <v/>
      </c>
      <c r="X106" s="95"/>
      <c r="Y106" s="59" t="str">
        <f>+IF(OR($F106="",X106=""),"",$F106*X106)</f>
        <v/>
      </c>
      <c r="Z106" s="95"/>
      <c r="AA106" s="59" t="str">
        <f>+IF(OR($F106="",Z106=""),"",$F106*Z106)</f>
        <v/>
      </c>
      <c r="AB106" s="60"/>
      <c r="AC106" s="59" t="str">
        <f>+IF(OR($F106="",AB106=""),"",$F106*AB106)</f>
        <v/>
      </c>
      <c r="AD106" s="60"/>
      <c r="AE106" s="59" t="str">
        <f>+IF(OR($F106="",AD106=""),"",$F106*AD106)</f>
        <v/>
      </c>
      <c r="AF106" s="95"/>
      <c r="AG106" s="59" t="str">
        <f>+IF(OR($F106="",AF106=""),"",$F106*AF106)</f>
        <v/>
      </c>
      <c r="AH106" s="95"/>
      <c r="AI106" s="59" t="str">
        <f>+IF(OR($F106="",AH106=""),"",$F106*AH106)</f>
        <v/>
      </c>
      <c r="AJ106" s="60"/>
      <c r="AK106" s="59" t="str">
        <f>+IF(OR($F106="",AJ106=""),"",$F106*AJ106)</f>
        <v/>
      </c>
      <c r="AL106" s="60"/>
      <c r="AM106" s="59" t="str">
        <f>+IF(OR($F106="",AL106=""),"",$F106*AL106)</f>
        <v/>
      </c>
      <c r="AN106" s="60"/>
      <c r="AO106" s="59" t="str">
        <f>+IF(OR($F106="",AN106=""),"",$F106*AN106)</f>
        <v/>
      </c>
      <c r="AP106" s="60"/>
      <c r="AQ106" s="59" t="str">
        <f>+IF(OR($F106="",AP106=""),"",$F106*AP106)</f>
        <v/>
      </c>
      <c r="AR106" s="60"/>
      <c r="AS106" s="59" t="str">
        <f>+IF(OR($F106="",AR106=""),"",$F106*AR106)</f>
        <v/>
      </c>
      <c r="AT106" s="60"/>
      <c r="AU106" s="59" t="str">
        <f>+IF(OR($F106="",AT106=""),"",$F106*AT106)</f>
        <v/>
      </c>
      <c r="AV106" s="60"/>
      <c r="AW106" s="59" t="str">
        <f>+IF(OR($F106="",AV106=""),"",$F106*AV106)</f>
        <v/>
      </c>
      <c r="AX106" s="60"/>
      <c r="AY106" s="59" t="str">
        <f>+IF(OR($F106="",AX106=""),"",$F106*AX106)</f>
        <v/>
      </c>
      <c r="AZ106" s="60"/>
      <c r="BA106" s="59" t="str">
        <f>+IF(OR($F106="",AZ106=""),"",$F106*AZ106)</f>
        <v/>
      </c>
      <c r="BB106" s="60"/>
      <c r="BC106" s="59" t="str">
        <f>+IF(OR($F106="",BB106=""),"",$F106*BB106)</f>
        <v/>
      </c>
      <c r="BD106" s="61">
        <f>+SUM(BI106:CF106)</f>
        <v>0</v>
      </c>
      <c r="BE106" s="59">
        <f>+IF(OR($F106="",BD106=""),"",$F106*BD106)</f>
        <v>0</v>
      </c>
      <c r="BF106" s="61">
        <f>+D106-BD106</f>
        <v>4</v>
      </c>
      <c r="BG106" s="59">
        <f>+IF(OR($F106="",BF106=""),"",$F106*BF106)</f>
        <v>1544.72</v>
      </c>
      <c r="BH106" s="96"/>
      <c r="BI106" s="1">
        <f>+H106</f>
        <v>0</v>
      </c>
      <c r="BJ106" s="1">
        <f>+J106</f>
        <v>0</v>
      </c>
      <c r="BK106" s="1">
        <f>+L106</f>
        <v>0</v>
      </c>
      <c r="BL106" s="1">
        <f>+N106</f>
        <v>0</v>
      </c>
      <c r="BM106" s="1">
        <f>+P106</f>
        <v>0</v>
      </c>
      <c r="BN106" s="1">
        <f>+R106</f>
        <v>0</v>
      </c>
      <c r="BO106" s="1">
        <f>+T106</f>
        <v>0</v>
      </c>
      <c r="BP106" s="1">
        <f>+V106</f>
        <v>0</v>
      </c>
      <c r="BQ106" s="1">
        <f>+X106</f>
        <v>0</v>
      </c>
      <c r="BR106" s="1">
        <f>+Z106</f>
        <v>0</v>
      </c>
      <c r="BS106" s="1">
        <f>+AB106</f>
        <v>0</v>
      </c>
      <c r="BT106" s="1">
        <f>+AD106</f>
        <v>0</v>
      </c>
      <c r="BU106" s="1">
        <f>+AF106</f>
        <v>0</v>
      </c>
      <c r="BV106" s="1">
        <f>+AH106</f>
        <v>0</v>
      </c>
      <c r="BW106" s="1">
        <f>+AJ106</f>
        <v>0</v>
      </c>
      <c r="BX106" s="1">
        <f>+AL106</f>
        <v>0</v>
      </c>
      <c r="BY106" s="1">
        <f>+AN106</f>
        <v>0</v>
      </c>
      <c r="BZ106" s="1">
        <f>+AP106</f>
        <v>0</v>
      </c>
      <c r="CA106" s="1">
        <f>+AR106</f>
        <v>0</v>
      </c>
      <c r="CB106" s="1">
        <f>+AT106</f>
        <v>0</v>
      </c>
      <c r="CC106" s="1">
        <f>+AV106</f>
        <v>0</v>
      </c>
      <c r="CD106" s="1">
        <f>+AX106</f>
        <v>0</v>
      </c>
      <c r="CE106" s="1">
        <f>+AZ106</f>
        <v>0</v>
      </c>
      <c r="CF106" s="1">
        <f>+BB106</f>
        <v>0</v>
      </c>
    </row>
    <row r="107" spans="2:85" s="6" customFormat="1" ht="18" customHeight="1">
      <c r="B107" s="62" t="s">
        <v>840</v>
      </c>
      <c r="C107" s="25" t="s">
        <v>841</v>
      </c>
      <c r="D107" s="49"/>
      <c r="E107" s="85"/>
      <c r="F107" s="50"/>
      <c r="G107" s="63">
        <f>+SUM(G108:G109)</f>
        <v>2985</v>
      </c>
      <c r="H107" s="51"/>
      <c r="I107" s="52" t="str">
        <f>+IF(SUM(I108:I109)=0,"",SUM(I108:I109))</f>
        <v/>
      </c>
      <c r="J107" s="53"/>
      <c r="K107" s="52" t="str">
        <f>+IF(SUM(K108:K109)=0,"",SUM(K108:K109))</f>
        <v/>
      </c>
      <c r="L107" s="53"/>
      <c r="M107" s="52" t="str">
        <f>+IF(SUM(M108:M109)=0,"",SUM(M108:M109))</f>
        <v/>
      </c>
      <c r="N107" s="53"/>
      <c r="O107" s="52" t="str">
        <f>+IF(SUM(O108:O109)=0,"",SUM(O108:O109))</f>
        <v/>
      </c>
      <c r="P107" s="51"/>
      <c r="Q107" s="52" t="str">
        <f>+IF(SUM(Q108:Q109)=0,"",SUM(Q108:Q109))</f>
        <v/>
      </c>
      <c r="R107" s="53"/>
      <c r="S107" s="52" t="str">
        <f>+IF(SUM(S108:S109)=0,"",SUM(S108:S109))</f>
        <v/>
      </c>
      <c r="T107" s="53"/>
      <c r="U107" s="52" t="str">
        <f>+IF(SUM(U108:U109)=0,"",SUM(U108:U109))</f>
        <v/>
      </c>
      <c r="V107" s="53"/>
      <c r="W107" s="52" t="str">
        <f>+IF(SUM(W108:W109)=0,"",SUM(W108:W109))</f>
        <v/>
      </c>
      <c r="X107" s="51"/>
      <c r="Y107" s="52" t="str">
        <f>+IF(SUM(Y108:Y109)=0,"",SUM(Y108:Y109))</f>
        <v/>
      </c>
      <c r="Z107" s="53"/>
      <c r="AA107" s="52" t="str">
        <f>+IF(SUM(AA108:AA109)=0,"",SUM(AA108:AA109))</f>
        <v/>
      </c>
      <c r="AB107" s="53"/>
      <c r="AC107" s="52" t="str">
        <f>+IF(SUM(AC108:AC109)=0,"",SUM(AC108:AC109))</f>
        <v/>
      </c>
      <c r="AD107" s="53"/>
      <c r="AE107" s="52">
        <f>+IF(SUM(AE108:AE109)=0,"",SUM(AE108:AE109))</f>
        <v>2985</v>
      </c>
      <c r="AF107" s="192"/>
      <c r="AG107" s="52" t="str">
        <f>+IF(SUM(AG108:AG109)=0,"",SUM(AG108:AG109))</f>
        <v/>
      </c>
      <c r="AH107" s="91"/>
      <c r="AI107" s="52" t="str">
        <f>+IF(SUM(AI108:AI109)=0,"",SUM(AI108:AI109))</f>
        <v/>
      </c>
      <c r="AJ107" s="53"/>
      <c r="AK107" s="52" t="str">
        <f>+IF(SUM(AK108:AK109)=0,"",SUM(AK108:AK109))</f>
        <v/>
      </c>
      <c r="AL107" s="53"/>
      <c r="AM107" s="52" t="str">
        <f>+IF(SUM(AM108:AM109)=0,"",SUM(AM108:AM109))</f>
        <v/>
      </c>
      <c r="AN107" s="51"/>
      <c r="AO107" s="52" t="str">
        <f>+IF(SUM(AO108:AO109)=0,"",SUM(AO108:AO109))</f>
        <v/>
      </c>
      <c r="AP107" s="53"/>
      <c r="AQ107" s="52" t="str">
        <f>+IF(SUM(AQ108:AQ109)=0,"",SUM(AQ108:AQ109))</f>
        <v/>
      </c>
      <c r="AR107" s="53"/>
      <c r="AS107" s="52" t="str">
        <f>+IF(SUM(AS108:AS109)=0,"",SUM(AS108:AS109))</f>
        <v/>
      </c>
      <c r="AT107" s="53"/>
      <c r="AU107" s="52" t="str">
        <f>+IF(SUM(AU108:AU109)=0,"",SUM(AU108:AU109))</f>
        <v/>
      </c>
      <c r="AV107" s="51"/>
      <c r="AW107" s="52" t="str">
        <f>+IF(SUM(AW108:AW109)=0,"",SUM(AW108:AW109))</f>
        <v/>
      </c>
      <c r="AX107" s="53"/>
      <c r="AY107" s="52" t="str">
        <f>+IF(SUM(AY108:AY109)=0,"",SUM(AY108:AY109))</f>
        <v/>
      </c>
      <c r="AZ107" s="53"/>
      <c r="BA107" s="52" t="str">
        <f>+IF(SUM(BA108:BA109)=0,"",SUM(BA108:BA109))</f>
        <v/>
      </c>
      <c r="BB107" s="53"/>
      <c r="BC107" s="52" t="str">
        <f>+IF(SUM(BC108:BC109)=0,"",SUM(BC108:BC109))</f>
        <v/>
      </c>
      <c r="BD107" s="54"/>
      <c r="BE107" s="52">
        <f>+SUM(BE108:BE109)</f>
        <v>2985</v>
      </c>
      <c r="BF107" s="54"/>
      <c r="BG107" s="52">
        <f>+SUM(BG108:BG109)</f>
        <v>0</v>
      </c>
      <c r="BH107" s="96"/>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row>
    <row r="108" spans="2:85" s="6" customFormat="1" ht="18" customHeight="1" outlineLevel="1">
      <c r="B108" s="179"/>
      <c r="C108" s="185" t="s">
        <v>842</v>
      </c>
      <c r="D108" s="180">
        <v>1</v>
      </c>
      <c r="E108" s="181" t="s">
        <v>819</v>
      </c>
      <c r="F108" s="182">
        <v>1065</v>
      </c>
      <c r="G108" s="186">
        <f>+D108*F108</f>
        <v>1065</v>
      </c>
      <c r="H108" s="187"/>
      <c r="I108" s="188" t="str">
        <f>+IF(OR($F108="",H108=""),"",$F108*H108)</f>
        <v/>
      </c>
      <c r="J108" s="189"/>
      <c r="K108" s="188" t="str">
        <f>+IF(OR($F108="",J108=""),"",$F108*J108)</f>
        <v/>
      </c>
      <c r="L108" s="189"/>
      <c r="M108" s="188" t="str">
        <f>+IF(OR($F108="",L108=""),"",$F108*L108)</f>
        <v/>
      </c>
      <c r="N108" s="189"/>
      <c r="O108" s="188" t="str">
        <f>+IF(OR($F108="",N108=""),"",$F108*N108)</f>
        <v/>
      </c>
      <c r="P108" s="189"/>
      <c r="Q108" s="188" t="str">
        <f>+IF(OR($F108="",P108=""),"",$F108*P108)</f>
        <v/>
      </c>
      <c r="R108" s="189"/>
      <c r="S108" s="188" t="str">
        <f>+IF(OR($F108="",R108=""),"",$F108*R108)</f>
        <v/>
      </c>
      <c r="T108" s="189"/>
      <c r="U108" s="188" t="str">
        <f>+IF(OR($F108="",T108=""),"",$F108*T108)</f>
        <v/>
      </c>
      <c r="V108" s="189"/>
      <c r="W108" s="188" t="str">
        <f>+IF(OR($F108="",V108=""),"",$F108*V108)</f>
        <v/>
      </c>
      <c r="X108" s="190"/>
      <c r="Y108" s="188" t="str">
        <f>+IF(OR($F108="",X108=""),"",$F108*X108)</f>
        <v/>
      </c>
      <c r="Z108" s="190"/>
      <c r="AA108" s="188" t="str">
        <f>+IF(OR($F108="",Z108=""),"",$F108*Z108)</f>
        <v/>
      </c>
      <c r="AB108" s="190"/>
      <c r="AC108" s="188" t="str">
        <f>+IF(OR($F108="",AB108=""),"",$F108*AB108)</f>
        <v/>
      </c>
      <c r="AD108" s="190">
        <v>1</v>
      </c>
      <c r="AE108" s="188">
        <f>+IF(OR($F108="",AD108=""),"",$F108*AD108)</f>
        <v>1065</v>
      </c>
      <c r="AF108" s="190"/>
      <c r="AG108" s="188" t="str">
        <f>+IF(OR($F108="",AF108=""),"",$F108*AF108)</f>
        <v/>
      </c>
      <c r="AH108" s="190"/>
      <c r="AI108" s="188" t="str">
        <f>+IF(OR($F108="",AH108=""),"",$F108*AH108)</f>
        <v/>
      </c>
      <c r="AJ108" s="189"/>
      <c r="AK108" s="188" t="str">
        <f>+IF(OR($F108="",AJ108=""),"",$F108*AJ108)</f>
        <v/>
      </c>
      <c r="AL108" s="189"/>
      <c r="AM108" s="188" t="str">
        <f>+IF(OR($F108="",AL108=""),"",$F108*AL108)</f>
        <v/>
      </c>
      <c r="AN108" s="189"/>
      <c r="AO108" s="188" t="str">
        <f>+IF(OR($F108="",AN108=""),"",$F108*AN108)</f>
        <v/>
      </c>
      <c r="AP108" s="189"/>
      <c r="AQ108" s="188" t="str">
        <f>+IF(OR($F108="",AP108=""),"",$F108*AP108)</f>
        <v/>
      </c>
      <c r="AR108" s="189"/>
      <c r="AS108" s="188" t="str">
        <f>+IF(OR($F108="",AR108=""),"",$F108*AR108)</f>
        <v/>
      </c>
      <c r="AT108" s="189"/>
      <c r="AU108" s="188" t="str">
        <f>+IF(OR($F108="",AT108=""),"",$F108*AT108)</f>
        <v/>
      </c>
      <c r="AV108" s="189"/>
      <c r="AW108" s="188" t="str">
        <f>+IF(OR($F108="",AV108=""),"",$F108*AV108)</f>
        <v/>
      </c>
      <c r="AX108" s="189"/>
      <c r="AY108" s="188" t="str">
        <f>+IF(OR($F108="",AX108=""),"",$F108*AX108)</f>
        <v/>
      </c>
      <c r="AZ108" s="189"/>
      <c r="BA108" s="188" t="str">
        <f>+IF(OR($F108="",AZ108=""),"",$F108*AZ108)</f>
        <v/>
      </c>
      <c r="BB108" s="189"/>
      <c r="BC108" s="188" t="str">
        <f>+IF(OR($F108="",BB108=""),"",$F108*BB108)</f>
        <v/>
      </c>
      <c r="BD108" s="183">
        <f>+SUM(BI108:CF108)</f>
        <v>1</v>
      </c>
      <c r="BE108" s="188">
        <f>+IF(OR($F108="",BD108=""),"",$F108*BD108)</f>
        <v>1065</v>
      </c>
      <c r="BF108" s="183">
        <f>+D108-BD108</f>
        <v>0</v>
      </c>
      <c r="BG108" s="188">
        <f>+IF(OR($F108="",BF108=""),"",$F108*BF108)</f>
        <v>0</v>
      </c>
      <c r="BH108" s="184"/>
      <c r="BI108" s="132">
        <f>+H108</f>
        <v>0</v>
      </c>
      <c r="BJ108" s="132">
        <f>+J108</f>
        <v>0</v>
      </c>
      <c r="BK108" s="132">
        <f>+L108</f>
        <v>0</v>
      </c>
      <c r="BL108" s="132">
        <f>+N108</f>
        <v>0</v>
      </c>
      <c r="BM108" s="132">
        <f>+P108</f>
        <v>0</v>
      </c>
      <c r="BN108" s="132">
        <f>+R108</f>
        <v>0</v>
      </c>
      <c r="BO108" s="132">
        <f>+T108</f>
        <v>0</v>
      </c>
      <c r="BP108" s="132">
        <f>+V108</f>
        <v>0</v>
      </c>
      <c r="BQ108" s="132">
        <f>+X108</f>
        <v>0</v>
      </c>
      <c r="BR108" s="132">
        <f>+Z108</f>
        <v>0</v>
      </c>
      <c r="BS108" s="132">
        <f>+AB108</f>
        <v>0</v>
      </c>
      <c r="BT108" s="132">
        <f>+AD108</f>
        <v>1</v>
      </c>
      <c r="BU108" s="132">
        <f>+AF108</f>
        <v>0</v>
      </c>
      <c r="BV108" s="132">
        <f>+AH108</f>
        <v>0</v>
      </c>
      <c r="BW108" s="132">
        <f>+AJ108</f>
        <v>0</v>
      </c>
      <c r="BX108" s="132">
        <f>+AL108</f>
        <v>0</v>
      </c>
      <c r="BY108" s="132">
        <f>+AN108</f>
        <v>0</v>
      </c>
      <c r="BZ108" s="132">
        <f>+AP108</f>
        <v>0</v>
      </c>
      <c r="CA108" s="132">
        <f>+AR108</f>
        <v>0</v>
      </c>
      <c r="CB108" s="132">
        <f>+AT108</f>
        <v>0</v>
      </c>
      <c r="CC108" s="132">
        <f>+AV108</f>
        <v>0</v>
      </c>
      <c r="CD108" s="132">
        <f>+AX108</f>
        <v>0</v>
      </c>
      <c r="CE108" s="132">
        <f>+AZ108</f>
        <v>0</v>
      </c>
      <c r="CF108" s="132">
        <f>+BB108</f>
        <v>0</v>
      </c>
    </row>
    <row r="109" spans="2:85" ht="31.5" customHeight="1" outlineLevel="1">
      <c r="B109" s="8"/>
      <c r="C109" s="163" t="s">
        <v>843</v>
      </c>
      <c r="D109" s="55">
        <v>1</v>
      </c>
      <c r="E109" s="88" t="s">
        <v>819</v>
      </c>
      <c r="F109" s="56">
        <v>1920</v>
      </c>
      <c r="G109" s="57">
        <f>+D109*F109</f>
        <v>1920</v>
      </c>
      <c r="H109" s="28"/>
      <c r="I109" s="59" t="str">
        <f>+IF(OR($F109="",H109=""),"",$F109*H109)</f>
        <v/>
      </c>
      <c r="J109" s="60"/>
      <c r="K109" s="59" t="str">
        <f>+IF(OR($F109="",J109=""),"",$F109*J109)</f>
        <v/>
      </c>
      <c r="L109" s="60"/>
      <c r="M109" s="59" t="str">
        <f>+IF(OR($F109="",L109=""),"",$F109*L109)</f>
        <v/>
      </c>
      <c r="N109" s="60"/>
      <c r="O109" s="59" t="str">
        <f>+IF(OR($F109="",N109=""),"",$F109*N109)</f>
        <v/>
      </c>
      <c r="P109" s="60"/>
      <c r="Q109" s="59" t="str">
        <f>+IF(OR($F109="",P109=""),"",$F109*P109)</f>
        <v/>
      </c>
      <c r="R109" s="60"/>
      <c r="S109" s="59" t="str">
        <f>+IF(OR($F109="",R109=""),"",$F109*R109)</f>
        <v/>
      </c>
      <c r="T109" s="60"/>
      <c r="U109" s="59" t="str">
        <f>+IF(OR($F109="",T109=""),"",$F109*T109)</f>
        <v/>
      </c>
      <c r="V109" s="60"/>
      <c r="W109" s="59" t="str">
        <f>+IF(OR($F109="",V109=""),"",$F109*V109)</f>
        <v/>
      </c>
      <c r="X109" s="95"/>
      <c r="Y109" s="59" t="str">
        <f>+IF(OR($F109="",X109=""),"",$F109*X109)</f>
        <v/>
      </c>
      <c r="Z109" s="95"/>
      <c r="AA109" s="59" t="str">
        <f>+IF(OR($F109="",Z109=""),"",$F109*Z109)</f>
        <v/>
      </c>
      <c r="AB109" s="60"/>
      <c r="AC109" s="59" t="str">
        <f>+IF(OR($F109="",AB109=""),"",$F109*AB109)</f>
        <v/>
      </c>
      <c r="AD109" s="60">
        <v>1</v>
      </c>
      <c r="AE109" s="59">
        <f>+IF(OR($F109="",AD109=""),"",$F109*AD109)</f>
        <v>1920</v>
      </c>
      <c r="AF109" s="95"/>
      <c r="AG109" s="59" t="str">
        <f>+IF(OR($F109="",AF109=""),"",$F109*AF109)</f>
        <v/>
      </c>
      <c r="AH109" s="95"/>
      <c r="AI109" s="59" t="str">
        <f>+IF(OR($F109="",AH109=""),"",$F109*AH109)</f>
        <v/>
      </c>
      <c r="AJ109" s="60"/>
      <c r="AK109" s="59" t="str">
        <f>+IF(OR($F109="",AJ109=""),"",$F109*AJ109)</f>
        <v/>
      </c>
      <c r="AL109" s="60"/>
      <c r="AM109" s="59" t="str">
        <f>+IF(OR($F109="",AL109=""),"",$F109*AL109)</f>
        <v/>
      </c>
      <c r="AN109" s="60"/>
      <c r="AO109" s="59" t="str">
        <f>+IF(OR($F109="",AN109=""),"",$F109*AN109)</f>
        <v/>
      </c>
      <c r="AP109" s="60"/>
      <c r="AQ109" s="59" t="str">
        <f>+IF(OR($F109="",AP109=""),"",$F109*AP109)</f>
        <v/>
      </c>
      <c r="AR109" s="60"/>
      <c r="AS109" s="59" t="str">
        <f>+IF(OR($F109="",AR109=""),"",$F109*AR109)</f>
        <v/>
      </c>
      <c r="AT109" s="60"/>
      <c r="AU109" s="59" t="str">
        <f>+IF(OR($F109="",AT109=""),"",$F109*AT109)</f>
        <v/>
      </c>
      <c r="AV109" s="60"/>
      <c r="AW109" s="59" t="str">
        <f>+IF(OR($F109="",AV109=""),"",$F109*AV109)</f>
        <v/>
      </c>
      <c r="AX109" s="60"/>
      <c r="AY109" s="59" t="str">
        <f>+IF(OR($F109="",AX109=""),"",$F109*AX109)</f>
        <v/>
      </c>
      <c r="AZ109" s="60"/>
      <c r="BA109" s="59" t="str">
        <f>+IF(OR($F109="",AZ109=""),"",$F109*AZ109)</f>
        <v/>
      </c>
      <c r="BB109" s="60"/>
      <c r="BC109" s="59" t="str">
        <f>+IF(OR($F109="",BB109=""),"",$F109*BB109)</f>
        <v/>
      </c>
      <c r="BD109" s="61">
        <f>+SUM(BI109:CF109)</f>
        <v>1</v>
      </c>
      <c r="BE109" s="59">
        <f>+IF(OR($F109="",BD109=""),"",$F109*BD109)</f>
        <v>1920</v>
      </c>
      <c r="BF109" s="61">
        <f>+D109-BD109</f>
        <v>0</v>
      </c>
      <c r="BG109" s="59">
        <f>+IF(OR($F109="",BF109=""),"",$F109*BF109)</f>
        <v>0</v>
      </c>
      <c r="BH109" s="96"/>
      <c r="BI109" s="1">
        <f>+H109</f>
        <v>0</v>
      </c>
      <c r="BJ109" s="1">
        <f>+J109</f>
        <v>0</v>
      </c>
      <c r="BK109" s="1">
        <f>+L109</f>
        <v>0</v>
      </c>
      <c r="BL109" s="1">
        <f>+N109</f>
        <v>0</v>
      </c>
      <c r="BM109" s="1">
        <f>+P109</f>
        <v>0</v>
      </c>
      <c r="BN109" s="1">
        <f>+R109</f>
        <v>0</v>
      </c>
      <c r="BO109" s="1">
        <f>+T109</f>
        <v>0</v>
      </c>
      <c r="BP109" s="1">
        <f>+V109</f>
        <v>0</v>
      </c>
      <c r="BQ109" s="1">
        <f>+X109</f>
        <v>0</v>
      </c>
      <c r="BR109" s="1">
        <f>+Z109</f>
        <v>0</v>
      </c>
      <c r="BS109" s="1">
        <f>+AB109</f>
        <v>0</v>
      </c>
      <c r="BT109" s="1">
        <f>+AD109</f>
        <v>1</v>
      </c>
      <c r="BU109" s="1">
        <f>+AF109</f>
        <v>0</v>
      </c>
      <c r="BV109" s="1">
        <f>+AH109</f>
        <v>0</v>
      </c>
      <c r="BW109" s="1">
        <f>+AJ109</f>
        <v>0</v>
      </c>
      <c r="BX109" s="1">
        <f>+AL109</f>
        <v>0</v>
      </c>
      <c r="BY109" s="1">
        <f>+AN109</f>
        <v>0</v>
      </c>
      <c r="BZ109" s="1">
        <f>+AP109</f>
        <v>0</v>
      </c>
      <c r="CA109" s="1">
        <f>+AR109</f>
        <v>0</v>
      </c>
      <c r="CB109" s="1">
        <f>+AT109</f>
        <v>0</v>
      </c>
      <c r="CC109" s="1">
        <f>+AV109</f>
        <v>0</v>
      </c>
      <c r="CD109" s="1">
        <f>+AX109</f>
        <v>0</v>
      </c>
      <c r="CE109" s="1">
        <f>+AZ109</f>
        <v>0</v>
      </c>
      <c r="CF109" s="1">
        <f>+BB109</f>
        <v>0</v>
      </c>
    </row>
    <row r="110" spans="2:85" s="6" customFormat="1" ht="18" customHeight="1">
      <c r="B110" s="62" t="s">
        <v>908</v>
      </c>
      <c r="C110" s="25" t="s">
        <v>907</v>
      </c>
      <c r="D110" s="49"/>
      <c r="E110" s="85"/>
      <c r="F110" s="50"/>
      <c r="G110" s="63">
        <f>+SUM(G111:G143)</f>
        <v>-35232.04849999999</v>
      </c>
      <c r="H110" s="51"/>
      <c r="I110" s="52" t="str">
        <f>IF(SUM(I111:I143)=0,"",SUM(I111:I143))</f>
        <v/>
      </c>
      <c r="J110" s="53"/>
      <c r="K110" s="52" t="str">
        <f>IF(SUM(K111:K143)=0,"",SUM(K111:K143))</f>
        <v/>
      </c>
      <c r="L110" s="53"/>
      <c r="M110" s="52" t="str">
        <f>IF(SUM(M111:M143)=0,"",SUM(M111:M143))</f>
        <v/>
      </c>
      <c r="N110" s="53"/>
      <c r="O110" s="52" t="str">
        <f>IF(SUM(O111:O143)=0,"",SUM(O111:O143))</f>
        <v/>
      </c>
      <c r="P110" s="51"/>
      <c r="Q110" s="52" t="str">
        <f>IF(SUM(Q111:Q143)=0,"",SUM(Q111:Q143))</f>
        <v/>
      </c>
      <c r="R110" s="53"/>
      <c r="S110" s="52" t="str">
        <f>IF(SUM(S111:S143)=0,"",SUM(S111:S143))</f>
        <v/>
      </c>
      <c r="T110" s="53"/>
      <c r="U110" s="52" t="str">
        <f>IF(SUM(U111:U143)=0,"",SUM(U111:U143))</f>
        <v/>
      </c>
      <c r="V110" s="53"/>
      <c r="W110" s="52" t="str">
        <f>IF(SUM(W111:W143)=0,"",SUM(W111:W143))</f>
        <v/>
      </c>
      <c r="X110" s="51"/>
      <c r="Y110" s="52" t="str">
        <f>IF(SUM(Y111:Y143)=0,"",SUM(Y111:Y143))</f>
        <v/>
      </c>
      <c r="Z110" s="53"/>
      <c r="AA110" s="52" t="str">
        <f>IF(SUM(AA111:AA143)=0,"",SUM(AA111:AA143))</f>
        <v/>
      </c>
      <c r="AB110" s="53"/>
      <c r="AC110" s="52" t="str">
        <f>IF(SUM(AC111:AC143)=0,"",SUM(AC111:AC143))</f>
        <v/>
      </c>
      <c r="AD110" s="53"/>
      <c r="AE110" s="52" t="str">
        <f>IF(SUM(AE111:AE143)=0,"",SUM(AE111:AE143))</f>
        <v/>
      </c>
      <c r="AF110" s="192"/>
      <c r="AG110" s="52" t="str">
        <f>IF(SUM(AG111:AG143)=0,"",SUM(AG111:AG143))</f>
        <v/>
      </c>
      <c r="AH110" s="91"/>
      <c r="AI110" s="52" t="str">
        <f>IF(SUM(AI111:AI143)=0,"",SUM(AI111:AI143))</f>
        <v/>
      </c>
      <c r="AJ110" s="53"/>
      <c r="AK110" s="52" t="str">
        <f>IF(SUM(AK111:AK143)=0,"",SUM(AK111:AK143))</f>
        <v/>
      </c>
      <c r="AL110" s="53"/>
      <c r="AM110" s="52" t="str">
        <f>IF(SUM(AM111:AM143)=0,"",SUM(AM111:AM143))</f>
        <v/>
      </c>
      <c r="AN110" s="51"/>
      <c r="AO110" s="52" t="str">
        <f>IF(SUM(AO111:AO143)=0,"",SUM(AO111:AO143))</f>
        <v/>
      </c>
      <c r="AP110" s="53"/>
      <c r="AQ110" s="52" t="str">
        <f>IF(SUM(AQ111:AQ143)=0,"",SUM(AQ111:AQ143))</f>
        <v/>
      </c>
      <c r="AR110" s="53"/>
      <c r="AS110" s="52" t="str">
        <f>IF(SUM(AS111:AS143)=0,"",SUM(AS111:AS143))</f>
        <v/>
      </c>
      <c r="AT110" s="53"/>
      <c r="AU110" s="52" t="str">
        <f>IF(SUM(AU111:AU143)=0,"",SUM(AU111:AU143))</f>
        <v/>
      </c>
      <c r="AV110" s="51"/>
      <c r="AW110" s="52" t="str">
        <f>IF(SUM(AW111:AW143)=0,"",SUM(AW111:AW143))</f>
        <v/>
      </c>
      <c r="AX110" s="53"/>
      <c r="AY110" s="52" t="str">
        <f>IF(SUM(AY111:AY143)=0,"",SUM(AY111:AY143))</f>
        <v/>
      </c>
      <c r="AZ110" s="53"/>
      <c r="BA110" s="52" t="str">
        <f>IF(SUM(BA111:BA143)=0,"",SUM(BA111:BA143))</f>
        <v/>
      </c>
      <c r="BB110" s="53"/>
      <c r="BC110" s="52" t="str">
        <f>IF(SUM(BC111:BC143)=0,"",SUM(BC111:BC143))</f>
        <v/>
      </c>
      <c r="BD110" s="54"/>
      <c r="BE110" s="63">
        <f>+SUM(BE111:BE143)</f>
        <v>0</v>
      </c>
      <c r="BF110" s="54"/>
      <c r="BG110" s="52">
        <f>+SUM(BG111:BG143)</f>
        <v>-35232.04849999999</v>
      </c>
      <c r="BH110" s="210"/>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row>
    <row r="111" spans="2:85" ht="76.5" outlineLevel="1">
      <c r="B111" s="202"/>
      <c r="C111" s="197" t="s">
        <v>862</v>
      </c>
      <c r="D111" s="199">
        <v>-65</v>
      </c>
      <c r="E111" s="200" t="s">
        <v>874</v>
      </c>
      <c r="F111" s="201">
        <v>37.200000000000003</v>
      </c>
      <c r="G111" s="203">
        <f>+D111*F111</f>
        <v>-2418</v>
      </c>
      <c r="H111" s="204"/>
      <c r="I111" s="205" t="str">
        <f>+IF(OR($F111="",H111=""),"",$F111*H111)</f>
        <v/>
      </c>
      <c r="J111" s="206"/>
      <c r="K111" s="205" t="str">
        <f>+IF(OR($F111="",J111=""),"",$F111*J111)</f>
        <v/>
      </c>
      <c r="L111" s="206"/>
      <c r="M111" s="205" t="str">
        <f>+IF(OR($F111="",L111=""),"",$F111*L111)</f>
        <v/>
      </c>
      <c r="N111" s="206"/>
      <c r="O111" s="205" t="str">
        <f>+IF(OR($F111="",N111=""),"",$F111*N111)</f>
        <v/>
      </c>
      <c r="P111" s="206"/>
      <c r="Q111" s="205" t="str">
        <f>+IF(OR($F111="",P111=""),"",$F111*P111)</f>
        <v/>
      </c>
      <c r="R111" s="206"/>
      <c r="S111" s="205" t="str">
        <f>+IF(OR($F111="",R111=""),"",$F111*R111)</f>
        <v/>
      </c>
      <c r="T111" s="206"/>
      <c r="U111" s="205" t="str">
        <f>+IF(OR($F111="",T111=""),"",$F111*T111)</f>
        <v/>
      </c>
      <c r="V111" s="206"/>
      <c r="W111" s="205" t="str">
        <f>+IF(OR($F111="",V111=""),"",$F111*V111)</f>
        <v/>
      </c>
      <c r="X111" s="207"/>
      <c r="Y111" s="205" t="str">
        <f>+IF(OR($F111="",X111=""),"",$F111*X111)</f>
        <v/>
      </c>
      <c r="Z111" s="207"/>
      <c r="AA111" s="205" t="str">
        <f>+IF(OR($F111="",Z111=""),"",$F111*Z111)</f>
        <v/>
      </c>
      <c r="AB111" s="207"/>
      <c r="AC111" s="205" t="str">
        <f>+IF(OR($F111="",AB111=""),"",$F111*AB111)</f>
        <v/>
      </c>
      <c r="AD111" s="207"/>
      <c r="AE111" s="205" t="str">
        <f>+IF(OR($F111="",AD111=""),"",$F111*AD111)</f>
        <v/>
      </c>
      <c r="AF111" s="207"/>
      <c r="AG111" s="205" t="str">
        <f>+IF(OR($F111="",AF111=""),"",$F111*AF111)</f>
        <v/>
      </c>
      <c r="AH111" s="207"/>
      <c r="AI111" s="205" t="str">
        <f>+IF(OR($F111="",AH111=""),"",$F111*AH111)</f>
        <v/>
      </c>
      <c r="AJ111" s="206"/>
      <c r="AK111" s="205" t="str">
        <f>+IF(OR($F111="",AJ111=""),"",$F111*AJ111)</f>
        <v/>
      </c>
      <c r="AL111" s="206"/>
      <c r="AM111" s="205" t="str">
        <f>+IF(OR($F111="",AL111=""),"",$F111*AL111)</f>
        <v/>
      </c>
      <c r="AN111" s="206"/>
      <c r="AO111" s="205" t="str">
        <f>+IF(OR($F111="",AN111=""),"",$F111*AN111)</f>
        <v/>
      </c>
      <c r="AP111" s="206"/>
      <c r="AQ111" s="205" t="str">
        <f>+IF(OR($F111="",AP111=""),"",$F111*AP111)</f>
        <v/>
      </c>
      <c r="AR111" s="206"/>
      <c r="AS111" s="205" t="str">
        <f>+IF(OR($F111="",AR111=""),"",$F111*AR111)</f>
        <v/>
      </c>
      <c r="AT111" s="206"/>
      <c r="AU111" s="205" t="str">
        <f>+IF(OR($F111="",AT111=""),"",$F111*AT111)</f>
        <v/>
      </c>
      <c r="AV111" s="206"/>
      <c r="AW111" s="205" t="str">
        <f>+IF(OR($F111="",AV111=""),"",$F111*AV111)</f>
        <v/>
      </c>
      <c r="AX111" s="206"/>
      <c r="AY111" s="205" t="str">
        <f>+IF(OR($F111="",AX111=""),"",$F111*AX111)</f>
        <v/>
      </c>
      <c r="AZ111" s="206"/>
      <c r="BA111" s="205" t="str">
        <f>+IF(OR($F111="",AZ111=""),"",$F111*AZ111)</f>
        <v/>
      </c>
      <c r="BB111" s="206"/>
      <c r="BC111" s="205" t="str">
        <f>+IF(OR($F111="",BB111=""),"",$F111*BB111)</f>
        <v/>
      </c>
      <c r="BD111" s="208">
        <f>+SUM(BI111:CF111)</f>
        <v>0</v>
      </c>
      <c r="BE111" s="205">
        <f>+IF(OR($F111="",BD111=""),"",$F111*BD111)</f>
        <v>0</v>
      </c>
      <c r="BF111" s="208">
        <f>+D111-BD111</f>
        <v>-65</v>
      </c>
      <c r="BG111" s="205">
        <f>+IF(OR($F111="",BF111=""),"",$F111*BF111)</f>
        <v>-2418</v>
      </c>
      <c r="BH111" s="184"/>
      <c r="BI111" s="209">
        <f>+H111</f>
        <v>0</v>
      </c>
      <c r="BJ111" s="209">
        <f>+J111</f>
        <v>0</v>
      </c>
      <c r="BK111" s="209">
        <f>+L111</f>
        <v>0</v>
      </c>
      <c r="BL111" s="209">
        <f>+N111</f>
        <v>0</v>
      </c>
      <c r="BM111" s="209">
        <f>+P111</f>
        <v>0</v>
      </c>
      <c r="BN111" s="209">
        <f>+R111</f>
        <v>0</v>
      </c>
      <c r="BO111" s="209">
        <f>+T111</f>
        <v>0</v>
      </c>
      <c r="BP111" s="209">
        <f>+V111</f>
        <v>0</v>
      </c>
      <c r="BQ111" s="209">
        <f>+X111</f>
        <v>0</v>
      </c>
      <c r="BR111" s="209">
        <f>+Z111</f>
        <v>0</v>
      </c>
      <c r="BS111" s="209">
        <f>+AB111</f>
        <v>0</v>
      </c>
      <c r="BT111" s="209">
        <f>+AD111</f>
        <v>0</v>
      </c>
      <c r="BU111" s="209">
        <f>+AF111</f>
        <v>0</v>
      </c>
      <c r="BV111" s="209">
        <f>+AH111</f>
        <v>0</v>
      </c>
      <c r="BW111" s="209">
        <f>+AJ111</f>
        <v>0</v>
      </c>
      <c r="BX111" s="209">
        <f>+AL111</f>
        <v>0</v>
      </c>
      <c r="BY111" s="209">
        <f>+AN111</f>
        <v>0</v>
      </c>
      <c r="BZ111" s="209">
        <f>+AP111</f>
        <v>0</v>
      </c>
      <c r="CA111" s="209">
        <f>+AR111</f>
        <v>0</v>
      </c>
      <c r="CB111" s="209">
        <f>+AT111</f>
        <v>0</v>
      </c>
      <c r="CC111" s="209">
        <f>+AV111</f>
        <v>0</v>
      </c>
      <c r="CD111" s="209">
        <f>+AX111</f>
        <v>0</v>
      </c>
      <c r="CE111" s="209">
        <f>+AZ111</f>
        <v>0</v>
      </c>
      <c r="CF111" s="209">
        <f>+BB111</f>
        <v>0</v>
      </c>
      <c r="CG111" s="215">
        <f>+AH111/D111</f>
        <v>0</v>
      </c>
    </row>
    <row r="112" spans="2:85" ht="89.25" outlineLevel="1">
      <c r="C112" s="198" t="s">
        <v>871</v>
      </c>
      <c r="D112" s="55">
        <v>-27.5</v>
      </c>
      <c r="E112" s="88" t="s">
        <v>874</v>
      </c>
      <c r="F112" s="56">
        <v>49.2</v>
      </c>
      <c r="G112" s="57">
        <f t="shared" ref="G112:G176" si="515">+D112*F112</f>
        <v>-1353</v>
      </c>
      <c r="H112" s="28"/>
      <c r="I112" s="59" t="str">
        <f t="shared" ref="I112:I176" si="516">+IF(OR($F112="",H112=""),"",$F112*H112)</f>
        <v/>
      </c>
      <c r="J112" s="60"/>
      <c r="K112" s="59" t="str">
        <f t="shared" ref="K112:K176" si="517">+IF(OR($F112="",J112=""),"",$F112*J112)</f>
        <v/>
      </c>
      <c r="L112" s="60"/>
      <c r="M112" s="59" t="str">
        <f t="shared" ref="M112:M176" si="518">+IF(OR($F112="",L112=""),"",$F112*L112)</f>
        <v/>
      </c>
      <c r="N112" s="60"/>
      <c r="O112" s="59" t="str">
        <f t="shared" ref="O112:O176" si="519">+IF(OR($F112="",N112=""),"",$F112*N112)</f>
        <v/>
      </c>
      <c r="P112" s="60"/>
      <c r="Q112" s="59" t="str">
        <f t="shared" ref="Q112:Q176" si="520">+IF(OR($F112="",P112=""),"",$F112*P112)</f>
        <v/>
      </c>
      <c r="R112" s="60"/>
      <c r="S112" s="59" t="str">
        <f t="shared" ref="S112:S176" si="521">+IF(OR($F112="",R112=""),"",$F112*R112)</f>
        <v/>
      </c>
      <c r="T112" s="60"/>
      <c r="U112" s="59" t="str">
        <f t="shared" ref="U112:U176" si="522">+IF(OR($F112="",T112=""),"",$F112*T112)</f>
        <v/>
      </c>
      <c r="V112" s="60"/>
      <c r="W112" s="59" t="str">
        <f t="shared" ref="W112:W176" si="523">+IF(OR($F112="",V112=""),"",$F112*V112)</f>
        <v/>
      </c>
      <c r="X112" s="95"/>
      <c r="Y112" s="59" t="str">
        <f t="shared" ref="Y112:Y176" si="524">+IF(OR($F112="",X112=""),"",$F112*X112)</f>
        <v/>
      </c>
      <c r="Z112" s="95"/>
      <c r="AA112" s="59" t="str">
        <f t="shared" ref="AA112:AA176" si="525">+IF(OR($F112="",Z112=""),"",$F112*Z112)</f>
        <v/>
      </c>
      <c r="AB112" s="60"/>
      <c r="AC112" s="59" t="str">
        <f t="shared" ref="AC112:AC176" si="526">+IF(OR($F112="",AB112=""),"",$F112*AB112)</f>
        <v/>
      </c>
      <c r="AD112" s="60"/>
      <c r="AE112" s="59" t="str">
        <f t="shared" ref="AE112:AE176" si="527">+IF(OR($F112="",AD112=""),"",$F112*AD112)</f>
        <v/>
      </c>
      <c r="AF112" s="95"/>
      <c r="AG112" s="59" t="str">
        <f t="shared" ref="AG112" si="528">+IF(OR($F112="",AF112=""),"",$F112*AF112)</f>
        <v/>
      </c>
      <c r="AH112" s="207"/>
      <c r="AI112" s="59" t="str">
        <f t="shared" ref="AI112:AK176" si="529">+IF(OR($F112="",AH112=""),"",$F112*AH112)</f>
        <v/>
      </c>
      <c r="AJ112" s="60"/>
      <c r="AK112" s="59" t="str">
        <f t="shared" si="529"/>
        <v/>
      </c>
      <c r="AL112" s="60"/>
      <c r="AM112" s="59" t="str">
        <f t="shared" ref="AM112" si="530">+IF(OR($F112="",AL112=""),"",$F112*AL112)</f>
        <v/>
      </c>
      <c r="AN112" s="60"/>
      <c r="AO112" s="59" t="str">
        <f t="shared" ref="AO112" si="531">+IF(OR($F112="",AN112=""),"",$F112*AN112)</f>
        <v/>
      </c>
      <c r="AP112" s="60"/>
      <c r="AQ112" s="59" t="str">
        <f t="shared" ref="AQ112" si="532">+IF(OR($F112="",AP112=""),"",$F112*AP112)</f>
        <v/>
      </c>
      <c r="AR112" s="60"/>
      <c r="AS112" s="59" t="str">
        <f t="shared" ref="AS112" si="533">+IF(OR($F112="",AR112=""),"",$F112*AR112)</f>
        <v/>
      </c>
      <c r="AT112" s="60"/>
      <c r="AU112" s="59" t="str">
        <f t="shared" ref="AU112" si="534">+IF(OR($F112="",AT112=""),"",$F112*AT112)</f>
        <v/>
      </c>
      <c r="AV112" s="60"/>
      <c r="AW112" s="59" t="str">
        <f t="shared" ref="AW112" si="535">+IF(OR($F112="",AV112=""),"",$F112*AV112)</f>
        <v/>
      </c>
      <c r="AX112" s="60"/>
      <c r="AY112" s="59" t="str">
        <f t="shared" ref="AY112" si="536">+IF(OR($F112="",AX112=""),"",$F112*AX112)</f>
        <v/>
      </c>
      <c r="AZ112" s="60"/>
      <c r="BA112" s="59" t="str">
        <f t="shared" ref="BA112" si="537">+IF(OR($F112="",AZ112=""),"",$F112*AZ112)</f>
        <v/>
      </c>
      <c r="BB112" s="60"/>
      <c r="BC112" s="59" t="str">
        <f t="shared" ref="BC112" si="538">+IF(OR($F112="",BB112=""),"",$F112*BB112)</f>
        <v/>
      </c>
      <c r="BD112" s="61">
        <f t="shared" ref="BD112:BD176" si="539">+SUM(BI112:CF112)</f>
        <v>0</v>
      </c>
      <c r="BE112" s="59">
        <f t="shared" ref="BE112:BE176" si="540">+IF(OR($F112="",BD112=""),"",$F112*BD112)</f>
        <v>0</v>
      </c>
      <c r="BF112" s="61">
        <f t="shared" ref="BF112:BF176" si="541">+D112-BD112</f>
        <v>-27.5</v>
      </c>
      <c r="BG112" s="59">
        <f t="shared" ref="BG112:BG176" si="542">+IF(OR($F112="",BF112=""),"",$F112*BF112)</f>
        <v>-1353</v>
      </c>
      <c r="BH112" s="196"/>
      <c r="BI112" s="1">
        <f t="shared" ref="BI112:BI176" si="543">+H112</f>
        <v>0</v>
      </c>
      <c r="BJ112" s="1">
        <f t="shared" ref="BJ112:BJ176" si="544">+J112</f>
        <v>0</v>
      </c>
      <c r="BK112" s="1">
        <f t="shared" ref="BK112:BK176" si="545">+L112</f>
        <v>0</v>
      </c>
      <c r="BL112" s="1">
        <f t="shared" ref="BL112:BL176" si="546">+N112</f>
        <v>0</v>
      </c>
      <c r="BM112" s="1">
        <f t="shared" ref="BM112:BM176" si="547">+P112</f>
        <v>0</v>
      </c>
      <c r="BN112" s="1">
        <f t="shared" ref="BN112:BN176" si="548">+R112</f>
        <v>0</v>
      </c>
      <c r="BO112" s="1">
        <f t="shared" ref="BO112:BO176" si="549">+T112</f>
        <v>0</v>
      </c>
      <c r="BP112" s="1">
        <f t="shared" ref="BP112:BP176" si="550">+V112</f>
        <v>0</v>
      </c>
      <c r="BQ112" s="1">
        <f t="shared" ref="BQ112:BQ176" si="551">+X112</f>
        <v>0</v>
      </c>
      <c r="BR112" s="1">
        <f t="shared" ref="BR112:BR176" si="552">+Z112</f>
        <v>0</v>
      </c>
      <c r="BS112" s="1">
        <f t="shared" ref="BS112:BS176" si="553">+AB112</f>
        <v>0</v>
      </c>
      <c r="BT112" s="1">
        <f t="shared" ref="BT112:BT176" si="554">+AD112</f>
        <v>0</v>
      </c>
      <c r="BU112" s="1">
        <f t="shared" ref="BU112:BU176" si="555">+AF112</f>
        <v>0</v>
      </c>
      <c r="BV112" s="1">
        <f t="shared" ref="BV112:BV176" si="556">+AH112</f>
        <v>0</v>
      </c>
      <c r="BW112" s="1">
        <f t="shared" ref="BW112:BW176" si="557">+AJ112</f>
        <v>0</v>
      </c>
      <c r="BX112" s="1">
        <f t="shared" ref="BX112:BX176" si="558">+AL112</f>
        <v>0</v>
      </c>
      <c r="BY112" s="1">
        <f t="shared" ref="BY112:BY176" si="559">+AN112</f>
        <v>0</v>
      </c>
      <c r="BZ112" s="1">
        <f t="shared" ref="BZ112:BZ176" si="560">+AP112</f>
        <v>0</v>
      </c>
      <c r="CA112" s="1">
        <f t="shared" ref="CA112:CA176" si="561">+AR112</f>
        <v>0</v>
      </c>
      <c r="CB112" s="1">
        <f t="shared" ref="CB112:CB176" si="562">+AT112</f>
        <v>0</v>
      </c>
      <c r="CC112" s="1">
        <f t="shared" ref="CC112:CC176" si="563">+AV112</f>
        <v>0</v>
      </c>
      <c r="CD112" s="1">
        <f t="shared" ref="CD112:CD176" si="564">+AX112</f>
        <v>0</v>
      </c>
      <c r="CE112" s="1">
        <f t="shared" ref="CE112:CE176" si="565">+AZ112</f>
        <v>0</v>
      </c>
      <c r="CF112" s="1">
        <f t="shared" ref="CF112:CF176" si="566">+BB112</f>
        <v>0</v>
      </c>
      <c r="CG112" s="215">
        <f t="shared" ref="CG112:CG125" si="567">+AH112/D112</f>
        <v>0</v>
      </c>
    </row>
    <row r="113" spans="3:85" ht="89.25" outlineLevel="1">
      <c r="C113" s="198" t="s">
        <v>861</v>
      </c>
      <c r="D113" s="55">
        <v>-100.2</v>
      </c>
      <c r="E113" s="88" t="s">
        <v>874</v>
      </c>
      <c r="F113" s="56">
        <v>40.200000000000003</v>
      </c>
      <c r="G113" s="57">
        <f t="shared" si="515"/>
        <v>-4028.0400000000004</v>
      </c>
      <c r="H113" s="28"/>
      <c r="I113" s="59" t="str">
        <f t="shared" si="516"/>
        <v/>
      </c>
      <c r="J113" s="60"/>
      <c r="K113" s="59" t="str">
        <f t="shared" si="517"/>
        <v/>
      </c>
      <c r="L113" s="60"/>
      <c r="M113" s="59" t="str">
        <f t="shared" si="518"/>
        <v/>
      </c>
      <c r="N113" s="60"/>
      <c r="O113" s="59" t="str">
        <f t="shared" si="519"/>
        <v/>
      </c>
      <c r="P113" s="60"/>
      <c r="Q113" s="59" t="str">
        <f t="shared" si="520"/>
        <v/>
      </c>
      <c r="R113" s="60"/>
      <c r="S113" s="59" t="str">
        <f t="shared" si="521"/>
        <v/>
      </c>
      <c r="T113" s="60"/>
      <c r="U113" s="59" t="str">
        <f t="shared" si="522"/>
        <v/>
      </c>
      <c r="V113" s="60"/>
      <c r="W113" s="59" t="str">
        <f t="shared" si="523"/>
        <v/>
      </c>
      <c r="X113" s="95"/>
      <c r="Y113" s="59" t="str">
        <f t="shared" si="524"/>
        <v/>
      </c>
      <c r="Z113" s="95"/>
      <c r="AA113" s="59" t="str">
        <f t="shared" si="525"/>
        <v/>
      </c>
      <c r="AB113" s="60"/>
      <c r="AC113" s="59" t="str">
        <f t="shared" si="526"/>
        <v/>
      </c>
      <c r="AD113" s="60"/>
      <c r="AE113" s="59" t="str">
        <f t="shared" si="527"/>
        <v/>
      </c>
      <c r="AF113" s="95"/>
      <c r="AG113" s="59" t="str">
        <f t="shared" ref="AG113" si="568">+IF(OR($F113="",AF113=""),"",$F113*AF113)</f>
        <v/>
      </c>
      <c r="AH113" s="207"/>
      <c r="AI113" s="59" t="str">
        <f t="shared" si="529"/>
        <v/>
      </c>
      <c r="AJ113" s="60"/>
      <c r="AK113" s="59" t="str">
        <f t="shared" si="529"/>
        <v/>
      </c>
      <c r="AL113" s="60"/>
      <c r="AM113" s="59" t="str">
        <f t="shared" ref="AM113" si="569">+IF(OR($F113="",AL113=""),"",$F113*AL113)</f>
        <v/>
      </c>
      <c r="AN113" s="60"/>
      <c r="AO113" s="59" t="str">
        <f t="shared" ref="AO113" si="570">+IF(OR($F113="",AN113=""),"",$F113*AN113)</f>
        <v/>
      </c>
      <c r="AP113" s="60"/>
      <c r="AQ113" s="59" t="str">
        <f t="shared" ref="AQ113" si="571">+IF(OR($F113="",AP113=""),"",$F113*AP113)</f>
        <v/>
      </c>
      <c r="AR113" s="60"/>
      <c r="AS113" s="59" t="str">
        <f t="shared" ref="AS113" si="572">+IF(OR($F113="",AR113=""),"",$F113*AR113)</f>
        <v/>
      </c>
      <c r="AT113" s="60"/>
      <c r="AU113" s="59" t="str">
        <f t="shared" ref="AU113" si="573">+IF(OR($F113="",AT113=""),"",$F113*AT113)</f>
        <v/>
      </c>
      <c r="AV113" s="60"/>
      <c r="AW113" s="59" t="str">
        <f t="shared" ref="AW113" si="574">+IF(OR($F113="",AV113=""),"",$F113*AV113)</f>
        <v/>
      </c>
      <c r="AX113" s="60"/>
      <c r="AY113" s="59" t="str">
        <f t="shared" ref="AY113" si="575">+IF(OR($F113="",AX113=""),"",$F113*AX113)</f>
        <v/>
      </c>
      <c r="AZ113" s="60"/>
      <c r="BA113" s="59" t="str">
        <f t="shared" ref="BA113" si="576">+IF(OR($F113="",AZ113=""),"",$F113*AZ113)</f>
        <v/>
      </c>
      <c r="BB113" s="60"/>
      <c r="BC113" s="59" t="str">
        <f t="shared" ref="BC113" si="577">+IF(OR($F113="",BB113=""),"",$F113*BB113)</f>
        <v/>
      </c>
      <c r="BD113" s="61">
        <f t="shared" si="539"/>
        <v>0</v>
      </c>
      <c r="BE113" s="59">
        <f t="shared" si="540"/>
        <v>0</v>
      </c>
      <c r="BF113" s="61">
        <f t="shared" si="541"/>
        <v>-100.2</v>
      </c>
      <c r="BG113" s="59">
        <f t="shared" si="542"/>
        <v>-4028.0400000000004</v>
      </c>
      <c r="BH113" s="196"/>
      <c r="BI113" s="1">
        <f t="shared" si="543"/>
        <v>0</v>
      </c>
      <c r="BJ113" s="1">
        <f t="shared" si="544"/>
        <v>0</v>
      </c>
      <c r="BK113" s="1">
        <f t="shared" si="545"/>
        <v>0</v>
      </c>
      <c r="BL113" s="1">
        <f t="shared" si="546"/>
        <v>0</v>
      </c>
      <c r="BM113" s="1">
        <f t="shared" si="547"/>
        <v>0</v>
      </c>
      <c r="BN113" s="1">
        <f t="shared" si="548"/>
        <v>0</v>
      </c>
      <c r="BO113" s="1">
        <f t="shared" si="549"/>
        <v>0</v>
      </c>
      <c r="BP113" s="1">
        <f t="shared" si="550"/>
        <v>0</v>
      </c>
      <c r="BQ113" s="1">
        <f t="shared" si="551"/>
        <v>0</v>
      </c>
      <c r="BR113" s="1">
        <f t="shared" si="552"/>
        <v>0</v>
      </c>
      <c r="BS113" s="1">
        <f t="shared" si="553"/>
        <v>0</v>
      </c>
      <c r="BT113" s="1">
        <f t="shared" si="554"/>
        <v>0</v>
      </c>
      <c r="BU113" s="1">
        <f t="shared" si="555"/>
        <v>0</v>
      </c>
      <c r="BV113" s="1">
        <f t="shared" si="556"/>
        <v>0</v>
      </c>
      <c r="BW113" s="1">
        <f t="shared" si="557"/>
        <v>0</v>
      </c>
      <c r="BX113" s="1">
        <f t="shared" si="558"/>
        <v>0</v>
      </c>
      <c r="BY113" s="1">
        <f t="shared" si="559"/>
        <v>0</v>
      </c>
      <c r="BZ113" s="1">
        <f t="shared" si="560"/>
        <v>0</v>
      </c>
      <c r="CA113" s="1">
        <f t="shared" si="561"/>
        <v>0</v>
      </c>
      <c r="CB113" s="1">
        <f t="shared" si="562"/>
        <v>0</v>
      </c>
      <c r="CC113" s="1">
        <f t="shared" si="563"/>
        <v>0</v>
      </c>
      <c r="CD113" s="1">
        <f t="shared" si="564"/>
        <v>0</v>
      </c>
      <c r="CE113" s="1">
        <f t="shared" si="565"/>
        <v>0</v>
      </c>
      <c r="CF113" s="1">
        <f t="shared" si="566"/>
        <v>0</v>
      </c>
      <c r="CG113" s="215">
        <f t="shared" si="567"/>
        <v>0</v>
      </c>
    </row>
    <row r="114" spans="3:85" ht="76.5" outlineLevel="1">
      <c r="C114" s="198" t="s">
        <v>872</v>
      </c>
      <c r="D114" s="55">
        <v>-37</v>
      </c>
      <c r="E114" s="88" t="s">
        <v>874</v>
      </c>
      <c r="F114" s="56">
        <v>52.2</v>
      </c>
      <c r="G114" s="57">
        <f t="shared" si="515"/>
        <v>-1931.4</v>
      </c>
      <c r="H114" s="28"/>
      <c r="I114" s="59" t="str">
        <f t="shared" si="516"/>
        <v/>
      </c>
      <c r="J114" s="60"/>
      <c r="K114" s="59" t="str">
        <f t="shared" si="517"/>
        <v/>
      </c>
      <c r="L114" s="60"/>
      <c r="M114" s="59" t="str">
        <f t="shared" si="518"/>
        <v/>
      </c>
      <c r="N114" s="60"/>
      <c r="O114" s="59" t="str">
        <f t="shared" si="519"/>
        <v/>
      </c>
      <c r="P114" s="60"/>
      <c r="Q114" s="59" t="str">
        <f t="shared" si="520"/>
        <v/>
      </c>
      <c r="R114" s="60"/>
      <c r="S114" s="59" t="str">
        <f t="shared" si="521"/>
        <v/>
      </c>
      <c r="T114" s="60"/>
      <c r="U114" s="59" t="str">
        <f t="shared" si="522"/>
        <v/>
      </c>
      <c r="V114" s="60"/>
      <c r="W114" s="59" t="str">
        <f t="shared" si="523"/>
        <v/>
      </c>
      <c r="X114" s="95"/>
      <c r="Y114" s="59" t="str">
        <f t="shared" si="524"/>
        <v/>
      </c>
      <c r="Z114" s="95"/>
      <c r="AA114" s="59" t="str">
        <f t="shared" si="525"/>
        <v/>
      </c>
      <c r="AB114" s="60"/>
      <c r="AC114" s="59" t="str">
        <f t="shared" si="526"/>
        <v/>
      </c>
      <c r="AD114" s="60"/>
      <c r="AE114" s="59" t="str">
        <f t="shared" si="527"/>
        <v/>
      </c>
      <c r="AF114" s="95"/>
      <c r="AG114" s="59" t="str">
        <f t="shared" ref="AG114" si="578">+IF(OR($F114="",AF114=""),"",$F114*AF114)</f>
        <v/>
      </c>
      <c r="AH114" s="207"/>
      <c r="AI114" s="59" t="str">
        <f t="shared" si="529"/>
        <v/>
      </c>
      <c r="AJ114" s="60"/>
      <c r="AK114" s="59" t="str">
        <f t="shared" si="529"/>
        <v/>
      </c>
      <c r="AL114" s="60"/>
      <c r="AM114" s="59" t="str">
        <f t="shared" ref="AM114" si="579">+IF(OR($F114="",AL114=""),"",$F114*AL114)</f>
        <v/>
      </c>
      <c r="AN114" s="60"/>
      <c r="AO114" s="59" t="str">
        <f t="shared" ref="AO114" si="580">+IF(OR($F114="",AN114=""),"",$F114*AN114)</f>
        <v/>
      </c>
      <c r="AP114" s="60"/>
      <c r="AQ114" s="59" t="str">
        <f t="shared" ref="AQ114" si="581">+IF(OR($F114="",AP114=""),"",$F114*AP114)</f>
        <v/>
      </c>
      <c r="AR114" s="60"/>
      <c r="AS114" s="59" t="str">
        <f t="shared" ref="AS114" si="582">+IF(OR($F114="",AR114=""),"",$F114*AR114)</f>
        <v/>
      </c>
      <c r="AT114" s="60"/>
      <c r="AU114" s="59" t="str">
        <f t="shared" ref="AU114" si="583">+IF(OR($F114="",AT114=""),"",$F114*AT114)</f>
        <v/>
      </c>
      <c r="AV114" s="60"/>
      <c r="AW114" s="59" t="str">
        <f t="shared" ref="AW114" si="584">+IF(OR($F114="",AV114=""),"",$F114*AV114)</f>
        <v/>
      </c>
      <c r="AX114" s="60"/>
      <c r="AY114" s="59" t="str">
        <f t="shared" ref="AY114" si="585">+IF(OR($F114="",AX114=""),"",$F114*AX114)</f>
        <v/>
      </c>
      <c r="AZ114" s="60"/>
      <c r="BA114" s="59" t="str">
        <f t="shared" ref="BA114" si="586">+IF(OR($F114="",AZ114=""),"",$F114*AZ114)</f>
        <v/>
      </c>
      <c r="BB114" s="60"/>
      <c r="BC114" s="59" t="str">
        <f t="shared" ref="BC114" si="587">+IF(OR($F114="",BB114=""),"",$F114*BB114)</f>
        <v/>
      </c>
      <c r="BD114" s="61">
        <f t="shared" si="539"/>
        <v>0</v>
      </c>
      <c r="BE114" s="59">
        <f t="shared" si="540"/>
        <v>0</v>
      </c>
      <c r="BF114" s="61">
        <f t="shared" si="541"/>
        <v>-37</v>
      </c>
      <c r="BG114" s="59">
        <f t="shared" si="542"/>
        <v>-1931.4</v>
      </c>
      <c r="BH114" s="196"/>
      <c r="BI114" s="1">
        <f t="shared" si="543"/>
        <v>0</v>
      </c>
      <c r="BJ114" s="1">
        <f t="shared" si="544"/>
        <v>0</v>
      </c>
      <c r="BK114" s="1">
        <f t="shared" si="545"/>
        <v>0</v>
      </c>
      <c r="BL114" s="1">
        <f t="shared" si="546"/>
        <v>0</v>
      </c>
      <c r="BM114" s="1">
        <f t="shared" si="547"/>
        <v>0</v>
      </c>
      <c r="BN114" s="1">
        <f t="shared" si="548"/>
        <v>0</v>
      </c>
      <c r="BO114" s="1">
        <f t="shared" si="549"/>
        <v>0</v>
      </c>
      <c r="BP114" s="1">
        <f t="shared" si="550"/>
        <v>0</v>
      </c>
      <c r="BQ114" s="1">
        <f t="shared" si="551"/>
        <v>0</v>
      </c>
      <c r="BR114" s="1">
        <f t="shared" si="552"/>
        <v>0</v>
      </c>
      <c r="BS114" s="1">
        <f t="shared" si="553"/>
        <v>0</v>
      </c>
      <c r="BT114" s="1">
        <f t="shared" si="554"/>
        <v>0</v>
      </c>
      <c r="BU114" s="1">
        <f t="shared" si="555"/>
        <v>0</v>
      </c>
      <c r="BV114" s="1">
        <f t="shared" si="556"/>
        <v>0</v>
      </c>
      <c r="BW114" s="1">
        <f t="shared" si="557"/>
        <v>0</v>
      </c>
      <c r="BX114" s="1">
        <f t="shared" si="558"/>
        <v>0</v>
      </c>
      <c r="BY114" s="1">
        <f t="shared" si="559"/>
        <v>0</v>
      </c>
      <c r="BZ114" s="1">
        <f t="shared" si="560"/>
        <v>0</v>
      </c>
      <c r="CA114" s="1">
        <f t="shared" si="561"/>
        <v>0</v>
      </c>
      <c r="CB114" s="1">
        <f t="shared" si="562"/>
        <v>0</v>
      </c>
      <c r="CC114" s="1">
        <f t="shared" si="563"/>
        <v>0</v>
      </c>
      <c r="CD114" s="1">
        <f t="shared" si="564"/>
        <v>0</v>
      </c>
      <c r="CE114" s="1">
        <f t="shared" si="565"/>
        <v>0</v>
      </c>
      <c r="CF114" s="1">
        <f t="shared" si="566"/>
        <v>0</v>
      </c>
      <c r="CG114" s="215">
        <f t="shared" si="567"/>
        <v>0</v>
      </c>
    </row>
    <row r="115" spans="3:85" ht="76.5" outlineLevel="1">
      <c r="C115" s="198" t="s">
        <v>855</v>
      </c>
      <c r="D115" s="55">
        <v>-376</v>
      </c>
      <c r="E115" s="88" t="s">
        <v>874</v>
      </c>
      <c r="F115" s="56">
        <v>56.4</v>
      </c>
      <c r="G115" s="57">
        <f t="shared" si="515"/>
        <v>-21206.399999999998</v>
      </c>
      <c r="H115" s="28"/>
      <c r="I115" s="59" t="str">
        <f t="shared" si="516"/>
        <v/>
      </c>
      <c r="J115" s="60"/>
      <c r="K115" s="59" t="str">
        <f t="shared" si="517"/>
        <v/>
      </c>
      <c r="L115" s="60"/>
      <c r="M115" s="59" t="str">
        <f t="shared" si="518"/>
        <v/>
      </c>
      <c r="N115" s="60"/>
      <c r="O115" s="59" t="str">
        <f t="shared" si="519"/>
        <v/>
      </c>
      <c r="P115" s="60"/>
      <c r="Q115" s="59" t="str">
        <f t="shared" si="520"/>
        <v/>
      </c>
      <c r="R115" s="60"/>
      <c r="S115" s="59" t="str">
        <f t="shared" si="521"/>
        <v/>
      </c>
      <c r="T115" s="60"/>
      <c r="U115" s="59" t="str">
        <f t="shared" si="522"/>
        <v/>
      </c>
      <c r="V115" s="60"/>
      <c r="W115" s="59" t="str">
        <f t="shared" si="523"/>
        <v/>
      </c>
      <c r="X115" s="95"/>
      <c r="Y115" s="59" t="str">
        <f t="shared" si="524"/>
        <v/>
      </c>
      <c r="Z115" s="95"/>
      <c r="AA115" s="59" t="str">
        <f t="shared" si="525"/>
        <v/>
      </c>
      <c r="AB115" s="60"/>
      <c r="AC115" s="59" t="str">
        <f t="shared" si="526"/>
        <v/>
      </c>
      <c r="AD115" s="60"/>
      <c r="AE115" s="59" t="str">
        <f t="shared" si="527"/>
        <v/>
      </c>
      <c r="AF115" s="95"/>
      <c r="AG115" s="59" t="str">
        <f t="shared" ref="AG115" si="588">+IF(OR($F115="",AF115=""),"",$F115*AF115)</f>
        <v/>
      </c>
      <c r="AH115" s="207"/>
      <c r="AI115" s="59" t="str">
        <f t="shared" si="529"/>
        <v/>
      </c>
      <c r="AJ115" s="60"/>
      <c r="AK115" s="59" t="str">
        <f t="shared" si="529"/>
        <v/>
      </c>
      <c r="AL115" s="60"/>
      <c r="AM115" s="59" t="str">
        <f t="shared" ref="AM115" si="589">+IF(OR($F115="",AL115=""),"",$F115*AL115)</f>
        <v/>
      </c>
      <c r="AN115" s="60"/>
      <c r="AO115" s="59" t="str">
        <f t="shared" ref="AO115" si="590">+IF(OR($F115="",AN115=""),"",$F115*AN115)</f>
        <v/>
      </c>
      <c r="AP115" s="60"/>
      <c r="AQ115" s="59" t="str">
        <f t="shared" ref="AQ115" si="591">+IF(OR($F115="",AP115=""),"",$F115*AP115)</f>
        <v/>
      </c>
      <c r="AR115" s="60"/>
      <c r="AS115" s="59" t="str">
        <f t="shared" ref="AS115" si="592">+IF(OR($F115="",AR115=""),"",$F115*AR115)</f>
        <v/>
      </c>
      <c r="AT115" s="60"/>
      <c r="AU115" s="59" t="str">
        <f t="shared" ref="AU115" si="593">+IF(OR($F115="",AT115=""),"",$F115*AT115)</f>
        <v/>
      </c>
      <c r="AV115" s="60"/>
      <c r="AW115" s="59" t="str">
        <f t="shared" ref="AW115" si="594">+IF(OR($F115="",AV115=""),"",$F115*AV115)</f>
        <v/>
      </c>
      <c r="AX115" s="60"/>
      <c r="AY115" s="59" t="str">
        <f t="shared" ref="AY115" si="595">+IF(OR($F115="",AX115=""),"",$F115*AX115)</f>
        <v/>
      </c>
      <c r="AZ115" s="60"/>
      <c r="BA115" s="59" t="str">
        <f t="shared" ref="BA115" si="596">+IF(OR($F115="",AZ115=""),"",$F115*AZ115)</f>
        <v/>
      </c>
      <c r="BB115" s="60"/>
      <c r="BC115" s="59" t="str">
        <f t="shared" ref="BC115" si="597">+IF(OR($F115="",BB115=""),"",$F115*BB115)</f>
        <v/>
      </c>
      <c r="BD115" s="61">
        <f t="shared" si="539"/>
        <v>0</v>
      </c>
      <c r="BE115" s="59">
        <f t="shared" si="540"/>
        <v>0</v>
      </c>
      <c r="BF115" s="61">
        <f t="shared" si="541"/>
        <v>-376</v>
      </c>
      <c r="BG115" s="59">
        <f t="shared" si="542"/>
        <v>-21206.399999999998</v>
      </c>
      <c r="BH115" s="196"/>
      <c r="BI115" s="1">
        <f t="shared" si="543"/>
        <v>0</v>
      </c>
      <c r="BJ115" s="1">
        <f t="shared" si="544"/>
        <v>0</v>
      </c>
      <c r="BK115" s="1">
        <f t="shared" si="545"/>
        <v>0</v>
      </c>
      <c r="BL115" s="1">
        <f t="shared" si="546"/>
        <v>0</v>
      </c>
      <c r="BM115" s="1">
        <f t="shared" si="547"/>
        <v>0</v>
      </c>
      <c r="BN115" s="1">
        <f t="shared" si="548"/>
        <v>0</v>
      </c>
      <c r="BO115" s="1">
        <f t="shared" si="549"/>
        <v>0</v>
      </c>
      <c r="BP115" s="1">
        <f t="shared" si="550"/>
        <v>0</v>
      </c>
      <c r="BQ115" s="1">
        <f t="shared" si="551"/>
        <v>0</v>
      </c>
      <c r="BR115" s="1">
        <f t="shared" si="552"/>
        <v>0</v>
      </c>
      <c r="BS115" s="1">
        <f t="shared" si="553"/>
        <v>0</v>
      </c>
      <c r="BT115" s="1">
        <f t="shared" si="554"/>
        <v>0</v>
      </c>
      <c r="BU115" s="1">
        <f t="shared" si="555"/>
        <v>0</v>
      </c>
      <c r="BV115" s="1">
        <f t="shared" si="556"/>
        <v>0</v>
      </c>
      <c r="BW115" s="1">
        <f t="shared" si="557"/>
        <v>0</v>
      </c>
      <c r="BX115" s="1">
        <f t="shared" si="558"/>
        <v>0</v>
      </c>
      <c r="BY115" s="1">
        <f t="shared" si="559"/>
        <v>0</v>
      </c>
      <c r="BZ115" s="1">
        <f t="shared" si="560"/>
        <v>0</v>
      </c>
      <c r="CA115" s="1">
        <f t="shared" si="561"/>
        <v>0</v>
      </c>
      <c r="CB115" s="1">
        <f t="shared" si="562"/>
        <v>0</v>
      </c>
      <c r="CC115" s="1">
        <f t="shared" si="563"/>
        <v>0</v>
      </c>
      <c r="CD115" s="1">
        <f t="shared" si="564"/>
        <v>0</v>
      </c>
      <c r="CE115" s="1">
        <f t="shared" si="565"/>
        <v>0</v>
      </c>
      <c r="CF115" s="1">
        <f t="shared" si="566"/>
        <v>0</v>
      </c>
      <c r="CG115" s="215">
        <f t="shared" si="567"/>
        <v>0</v>
      </c>
    </row>
    <row r="116" spans="3:85" ht="89.25" outlineLevel="1">
      <c r="C116" s="198" t="s">
        <v>873</v>
      </c>
      <c r="D116" s="55">
        <v>-9.3000000000000007</v>
      </c>
      <c r="E116" s="88" t="s">
        <v>874</v>
      </c>
      <c r="F116" s="56">
        <v>80.400000000000006</v>
      </c>
      <c r="G116" s="57">
        <f t="shared" si="515"/>
        <v>-747.72000000000014</v>
      </c>
      <c r="H116" s="28"/>
      <c r="I116" s="59" t="str">
        <f t="shared" si="516"/>
        <v/>
      </c>
      <c r="J116" s="60"/>
      <c r="K116" s="59" t="str">
        <f t="shared" si="517"/>
        <v/>
      </c>
      <c r="L116" s="60"/>
      <c r="M116" s="59" t="str">
        <f t="shared" si="518"/>
        <v/>
      </c>
      <c r="N116" s="60"/>
      <c r="O116" s="59" t="str">
        <f t="shared" si="519"/>
        <v/>
      </c>
      <c r="P116" s="60"/>
      <c r="Q116" s="59" t="str">
        <f t="shared" si="520"/>
        <v/>
      </c>
      <c r="R116" s="60"/>
      <c r="S116" s="59" t="str">
        <f t="shared" si="521"/>
        <v/>
      </c>
      <c r="T116" s="60"/>
      <c r="U116" s="59" t="str">
        <f t="shared" si="522"/>
        <v/>
      </c>
      <c r="V116" s="60"/>
      <c r="W116" s="59" t="str">
        <f t="shared" si="523"/>
        <v/>
      </c>
      <c r="X116" s="95"/>
      <c r="Y116" s="59" t="str">
        <f t="shared" si="524"/>
        <v/>
      </c>
      <c r="Z116" s="95"/>
      <c r="AA116" s="59" t="str">
        <f t="shared" si="525"/>
        <v/>
      </c>
      <c r="AB116" s="60"/>
      <c r="AC116" s="59" t="str">
        <f t="shared" si="526"/>
        <v/>
      </c>
      <c r="AD116" s="60"/>
      <c r="AE116" s="59" t="str">
        <f t="shared" si="527"/>
        <v/>
      </c>
      <c r="AF116" s="95"/>
      <c r="AG116" s="59" t="str">
        <f t="shared" ref="AG116" si="598">+IF(OR($F116="",AF116=""),"",$F116*AF116)</f>
        <v/>
      </c>
      <c r="AH116" s="207"/>
      <c r="AI116" s="59" t="str">
        <f t="shared" si="529"/>
        <v/>
      </c>
      <c r="AJ116" s="60"/>
      <c r="AK116" s="59" t="str">
        <f t="shared" si="529"/>
        <v/>
      </c>
      <c r="AL116" s="60"/>
      <c r="AM116" s="59" t="str">
        <f t="shared" ref="AM116" si="599">+IF(OR($F116="",AL116=""),"",$F116*AL116)</f>
        <v/>
      </c>
      <c r="AN116" s="60"/>
      <c r="AO116" s="59" t="str">
        <f t="shared" ref="AO116" si="600">+IF(OR($F116="",AN116=""),"",$F116*AN116)</f>
        <v/>
      </c>
      <c r="AP116" s="60"/>
      <c r="AQ116" s="59" t="str">
        <f t="shared" ref="AQ116" si="601">+IF(OR($F116="",AP116=""),"",$F116*AP116)</f>
        <v/>
      </c>
      <c r="AR116" s="60"/>
      <c r="AS116" s="59" t="str">
        <f t="shared" ref="AS116" si="602">+IF(OR($F116="",AR116=""),"",$F116*AR116)</f>
        <v/>
      </c>
      <c r="AT116" s="60"/>
      <c r="AU116" s="59" t="str">
        <f t="shared" ref="AU116" si="603">+IF(OR($F116="",AT116=""),"",$F116*AT116)</f>
        <v/>
      </c>
      <c r="AV116" s="60"/>
      <c r="AW116" s="59" t="str">
        <f t="shared" ref="AW116" si="604">+IF(OR($F116="",AV116=""),"",$F116*AV116)</f>
        <v/>
      </c>
      <c r="AX116" s="60"/>
      <c r="AY116" s="59" t="str">
        <f t="shared" ref="AY116" si="605">+IF(OR($F116="",AX116=""),"",$F116*AX116)</f>
        <v/>
      </c>
      <c r="AZ116" s="60"/>
      <c r="BA116" s="59" t="str">
        <f t="shared" ref="BA116" si="606">+IF(OR($F116="",AZ116=""),"",$F116*AZ116)</f>
        <v/>
      </c>
      <c r="BB116" s="60"/>
      <c r="BC116" s="59" t="str">
        <f t="shared" ref="BC116" si="607">+IF(OR($F116="",BB116=""),"",$F116*BB116)</f>
        <v/>
      </c>
      <c r="BD116" s="61">
        <f t="shared" si="539"/>
        <v>0</v>
      </c>
      <c r="BE116" s="59">
        <f t="shared" si="540"/>
        <v>0</v>
      </c>
      <c r="BF116" s="61">
        <f t="shared" si="541"/>
        <v>-9.3000000000000007</v>
      </c>
      <c r="BG116" s="59">
        <f t="shared" si="542"/>
        <v>-747.72000000000014</v>
      </c>
      <c r="BH116" s="196"/>
      <c r="BI116" s="1">
        <f t="shared" si="543"/>
        <v>0</v>
      </c>
      <c r="BJ116" s="1">
        <f t="shared" si="544"/>
        <v>0</v>
      </c>
      <c r="BK116" s="1">
        <f t="shared" si="545"/>
        <v>0</v>
      </c>
      <c r="BL116" s="1">
        <f t="shared" si="546"/>
        <v>0</v>
      </c>
      <c r="BM116" s="1">
        <f t="shared" si="547"/>
        <v>0</v>
      </c>
      <c r="BN116" s="1">
        <f t="shared" si="548"/>
        <v>0</v>
      </c>
      <c r="BO116" s="1">
        <f t="shared" si="549"/>
        <v>0</v>
      </c>
      <c r="BP116" s="1">
        <f t="shared" si="550"/>
        <v>0</v>
      </c>
      <c r="BQ116" s="1">
        <f t="shared" si="551"/>
        <v>0</v>
      </c>
      <c r="BR116" s="1">
        <f t="shared" si="552"/>
        <v>0</v>
      </c>
      <c r="BS116" s="1">
        <f t="shared" si="553"/>
        <v>0</v>
      </c>
      <c r="BT116" s="1">
        <f t="shared" si="554"/>
        <v>0</v>
      </c>
      <c r="BU116" s="1">
        <f t="shared" si="555"/>
        <v>0</v>
      </c>
      <c r="BV116" s="1">
        <f t="shared" si="556"/>
        <v>0</v>
      </c>
      <c r="BW116" s="1">
        <f t="shared" si="557"/>
        <v>0</v>
      </c>
      <c r="BX116" s="1">
        <f t="shared" si="558"/>
        <v>0</v>
      </c>
      <c r="BY116" s="1">
        <f t="shared" si="559"/>
        <v>0</v>
      </c>
      <c r="BZ116" s="1">
        <f t="shared" si="560"/>
        <v>0</v>
      </c>
      <c r="CA116" s="1">
        <f t="shared" si="561"/>
        <v>0</v>
      </c>
      <c r="CB116" s="1">
        <f t="shared" si="562"/>
        <v>0</v>
      </c>
      <c r="CC116" s="1">
        <f t="shared" si="563"/>
        <v>0</v>
      </c>
      <c r="CD116" s="1">
        <f t="shared" si="564"/>
        <v>0</v>
      </c>
      <c r="CE116" s="1">
        <f t="shared" si="565"/>
        <v>0</v>
      </c>
      <c r="CF116" s="1">
        <f t="shared" si="566"/>
        <v>0</v>
      </c>
      <c r="CG116" s="215">
        <f t="shared" si="567"/>
        <v>0</v>
      </c>
    </row>
    <row r="117" spans="3:85" ht="102" outlineLevel="1">
      <c r="C117" s="198" t="s">
        <v>854</v>
      </c>
      <c r="D117" s="55">
        <v>-123</v>
      </c>
      <c r="E117" s="88" t="s">
        <v>874</v>
      </c>
      <c r="F117" s="56">
        <v>43.2</v>
      </c>
      <c r="G117" s="57">
        <f t="shared" si="515"/>
        <v>-5313.6</v>
      </c>
      <c r="H117" s="28"/>
      <c r="I117" s="59" t="str">
        <f t="shared" si="516"/>
        <v/>
      </c>
      <c r="J117" s="60"/>
      <c r="K117" s="59" t="str">
        <f t="shared" si="517"/>
        <v/>
      </c>
      <c r="L117" s="60"/>
      <c r="M117" s="59" t="str">
        <f t="shared" si="518"/>
        <v/>
      </c>
      <c r="N117" s="60"/>
      <c r="O117" s="59" t="str">
        <f t="shared" si="519"/>
        <v/>
      </c>
      <c r="P117" s="60"/>
      <c r="Q117" s="59" t="str">
        <f t="shared" si="520"/>
        <v/>
      </c>
      <c r="R117" s="60"/>
      <c r="S117" s="59" t="str">
        <f t="shared" si="521"/>
        <v/>
      </c>
      <c r="T117" s="60"/>
      <c r="U117" s="59" t="str">
        <f t="shared" si="522"/>
        <v/>
      </c>
      <c r="V117" s="60"/>
      <c r="W117" s="59" t="str">
        <f t="shared" si="523"/>
        <v/>
      </c>
      <c r="X117" s="95"/>
      <c r="Y117" s="59" t="str">
        <f t="shared" si="524"/>
        <v/>
      </c>
      <c r="Z117" s="95"/>
      <c r="AA117" s="59" t="str">
        <f t="shared" si="525"/>
        <v/>
      </c>
      <c r="AB117" s="60"/>
      <c r="AC117" s="59" t="str">
        <f t="shared" si="526"/>
        <v/>
      </c>
      <c r="AD117" s="60"/>
      <c r="AE117" s="59" t="str">
        <f t="shared" si="527"/>
        <v/>
      </c>
      <c r="AF117" s="95"/>
      <c r="AG117" s="59" t="str">
        <f t="shared" ref="AG117" si="608">+IF(OR($F117="",AF117=""),"",$F117*AF117)</f>
        <v/>
      </c>
      <c r="AH117" s="207"/>
      <c r="AI117" s="59" t="str">
        <f t="shared" si="529"/>
        <v/>
      </c>
      <c r="AJ117" s="60"/>
      <c r="AK117" s="59" t="str">
        <f t="shared" si="529"/>
        <v/>
      </c>
      <c r="AL117" s="60"/>
      <c r="AM117" s="59" t="str">
        <f t="shared" ref="AM117" si="609">+IF(OR($F117="",AL117=""),"",$F117*AL117)</f>
        <v/>
      </c>
      <c r="AN117" s="60"/>
      <c r="AO117" s="59" t="str">
        <f t="shared" ref="AO117" si="610">+IF(OR($F117="",AN117=""),"",$F117*AN117)</f>
        <v/>
      </c>
      <c r="AP117" s="60"/>
      <c r="AQ117" s="59" t="str">
        <f t="shared" ref="AQ117" si="611">+IF(OR($F117="",AP117=""),"",$F117*AP117)</f>
        <v/>
      </c>
      <c r="AR117" s="60"/>
      <c r="AS117" s="59" t="str">
        <f t="shared" ref="AS117" si="612">+IF(OR($F117="",AR117=""),"",$F117*AR117)</f>
        <v/>
      </c>
      <c r="AT117" s="60"/>
      <c r="AU117" s="59" t="str">
        <f t="shared" ref="AU117" si="613">+IF(OR($F117="",AT117=""),"",$F117*AT117)</f>
        <v/>
      </c>
      <c r="AV117" s="60"/>
      <c r="AW117" s="59" t="str">
        <f t="shared" ref="AW117" si="614">+IF(OR($F117="",AV117=""),"",$F117*AV117)</f>
        <v/>
      </c>
      <c r="AX117" s="60"/>
      <c r="AY117" s="59" t="str">
        <f t="shared" ref="AY117" si="615">+IF(OR($F117="",AX117=""),"",$F117*AX117)</f>
        <v/>
      </c>
      <c r="AZ117" s="60"/>
      <c r="BA117" s="59" t="str">
        <f t="shared" ref="BA117" si="616">+IF(OR($F117="",AZ117=""),"",$F117*AZ117)</f>
        <v/>
      </c>
      <c r="BB117" s="60"/>
      <c r="BC117" s="59" t="str">
        <f t="shared" ref="BC117" si="617">+IF(OR($F117="",BB117=""),"",$F117*BB117)</f>
        <v/>
      </c>
      <c r="BD117" s="61">
        <f t="shared" si="539"/>
        <v>0</v>
      </c>
      <c r="BE117" s="59">
        <f t="shared" si="540"/>
        <v>0</v>
      </c>
      <c r="BF117" s="61">
        <f t="shared" si="541"/>
        <v>-123</v>
      </c>
      <c r="BG117" s="59">
        <f t="shared" si="542"/>
        <v>-5313.6</v>
      </c>
      <c r="BH117" s="196"/>
      <c r="BI117" s="1">
        <f t="shared" si="543"/>
        <v>0</v>
      </c>
      <c r="BJ117" s="1">
        <f t="shared" si="544"/>
        <v>0</v>
      </c>
      <c r="BK117" s="1">
        <f t="shared" si="545"/>
        <v>0</v>
      </c>
      <c r="BL117" s="1">
        <f t="shared" si="546"/>
        <v>0</v>
      </c>
      <c r="BM117" s="1">
        <f t="shared" si="547"/>
        <v>0</v>
      </c>
      <c r="BN117" s="1">
        <f t="shared" si="548"/>
        <v>0</v>
      </c>
      <c r="BO117" s="1">
        <f t="shared" si="549"/>
        <v>0</v>
      </c>
      <c r="BP117" s="1">
        <f t="shared" si="550"/>
        <v>0</v>
      </c>
      <c r="BQ117" s="1">
        <f t="shared" si="551"/>
        <v>0</v>
      </c>
      <c r="BR117" s="1">
        <f t="shared" si="552"/>
        <v>0</v>
      </c>
      <c r="BS117" s="1">
        <f t="shared" si="553"/>
        <v>0</v>
      </c>
      <c r="BT117" s="1">
        <f t="shared" si="554"/>
        <v>0</v>
      </c>
      <c r="BU117" s="1">
        <f t="shared" si="555"/>
        <v>0</v>
      </c>
      <c r="BV117" s="1">
        <f t="shared" si="556"/>
        <v>0</v>
      </c>
      <c r="BW117" s="1">
        <f t="shared" si="557"/>
        <v>0</v>
      </c>
      <c r="BX117" s="1">
        <f t="shared" si="558"/>
        <v>0</v>
      </c>
      <c r="BY117" s="1">
        <f t="shared" si="559"/>
        <v>0</v>
      </c>
      <c r="BZ117" s="1">
        <f t="shared" si="560"/>
        <v>0</v>
      </c>
      <c r="CA117" s="1">
        <f t="shared" si="561"/>
        <v>0</v>
      </c>
      <c r="CB117" s="1">
        <f t="shared" si="562"/>
        <v>0</v>
      </c>
      <c r="CC117" s="1">
        <f t="shared" si="563"/>
        <v>0</v>
      </c>
      <c r="CD117" s="1">
        <f t="shared" si="564"/>
        <v>0</v>
      </c>
      <c r="CE117" s="1">
        <f t="shared" si="565"/>
        <v>0</v>
      </c>
      <c r="CF117" s="1">
        <f t="shared" si="566"/>
        <v>0</v>
      </c>
      <c r="CG117" s="215">
        <f t="shared" si="567"/>
        <v>0</v>
      </c>
    </row>
    <row r="118" spans="3:85" ht="89.25" outlineLevel="1">
      <c r="C118" s="198" t="s">
        <v>870</v>
      </c>
      <c r="D118" s="55">
        <v>-107.3</v>
      </c>
      <c r="E118" s="88" t="s">
        <v>874</v>
      </c>
      <c r="F118" s="56">
        <v>77.400000000000006</v>
      </c>
      <c r="G118" s="57">
        <f t="shared" si="515"/>
        <v>-8305.02</v>
      </c>
      <c r="H118" s="28"/>
      <c r="I118" s="59" t="str">
        <f t="shared" si="516"/>
        <v/>
      </c>
      <c r="J118" s="60"/>
      <c r="K118" s="59" t="str">
        <f t="shared" si="517"/>
        <v/>
      </c>
      <c r="L118" s="60"/>
      <c r="M118" s="59" t="str">
        <f t="shared" si="518"/>
        <v/>
      </c>
      <c r="N118" s="60"/>
      <c r="O118" s="59" t="str">
        <f t="shared" si="519"/>
        <v/>
      </c>
      <c r="P118" s="60"/>
      <c r="Q118" s="59" t="str">
        <f t="shared" si="520"/>
        <v/>
      </c>
      <c r="R118" s="60"/>
      <c r="S118" s="59" t="str">
        <f t="shared" si="521"/>
        <v/>
      </c>
      <c r="T118" s="60"/>
      <c r="U118" s="59" t="str">
        <f t="shared" si="522"/>
        <v/>
      </c>
      <c r="V118" s="60"/>
      <c r="W118" s="59" t="str">
        <f t="shared" si="523"/>
        <v/>
      </c>
      <c r="X118" s="95"/>
      <c r="Y118" s="59" t="str">
        <f t="shared" si="524"/>
        <v/>
      </c>
      <c r="Z118" s="95"/>
      <c r="AA118" s="59" t="str">
        <f t="shared" si="525"/>
        <v/>
      </c>
      <c r="AB118" s="60"/>
      <c r="AC118" s="59" t="str">
        <f t="shared" si="526"/>
        <v/>
      </c>
      <c r="AD118" s="60"/>
      <c r="AE118" s="59" t="str">
        <f t="shared" si="527"/>
        <v/>
      </c>
      <c r="AF118" s="95"/>
      <c r="AG118" s="59" t="str">
        <f t="shared" ref="AG118" si="618">+IF(OR($F118="",AF118=""),"",$F118*AF118)</f>
        <v/>
      </c>
      <c r="AH118" s="207"/>
      <c r="AI118" s="59" t="str">
        <f t="shared" si="529"/>
        <v/>
      </c>
      <c r="AJ118" s="60"/>
      <c r="AK118" s="59" t="str">
        <f t="shared" si="529"/>
        <v/>
      </c>
      <c r="AL118" s="60"/>
      <c r="AM118" s="59" t="str">
        <f t="shared" ref="AM118" si="619">+IF(OR($F118="",AL118=""),"",$F118*AL118)</f>
        <v/>
      </c>
      <c r="AN118" s="60"/>
      <c r="AO118" s="59" t="str">
        <f t="shared" ref="AO118" si="620">+IF(OR($F118="",AN118=""),"",$F118*AN118)</f>
        <v/>
      </c>
      <c r="AP118" s="60"/>
      <c r="AQ118" s="59" t="str">
        <f t="shared" ref="AQ118" si="621">+IF(OR($F118="",AP118=""),"",$F118*AP118)</f>
        <v/>
      </c>
      <c r="AR118" s="60"/>
      <c r="AS118" s="59" t="str">
        <f t="shared" ref="AS118" si="622">+IF(OR($F118="",AR118=""),"",$F118*AR118)</f>
        <v/>
      </c>
      <c r="AT118" s="60"/>
      <c r="AU118" s="59" t="str">
        <f t="shared" ref="AU118" si="623">+IF(OR($F118="",AT118=""),"",$F118*AT118)</f>
        <v/>
      </c>
      <c r="AV118" s="60"/>
      <c r="AW118" s="59" t="str">
        <f t="shared" ref="AW118" si="624">+IF(OR($F118="",AV118=""),"",$F118*AV118)</f>
        <v/>
      </c>
      <c r="AX118" s="60"/>
      <c r="AY118" s="59" t="str">
        <f t="shared" ref="AY118" si="625">+IF(OR($F118="",AX118=""),"",$F118*AX118)</f>
        <v/>
      </c>
      <c r="AZ118" s="60"/>
      <c r="BA118" s="59" t="str">
        <f t="shared" ref="BA118" si="626">+IF(OR($F118="",AZ118=""),"",$F118*AZ118)</f>
        <v/>
      </c>
      <c r="BB118" s="60"/>
      <c r="BC118" s="59" t="str">
        <f t="shared" ref="BC118" si="627">+IF(OR($F118="",BB118=""),"",$F118*BB118)</f>
        <v/>
      </c>
      <c r="BD118" s="61">
        <f t="shared" si="539"/>
        <v>0</v>
      </c>
      <c r="BE118" s="59">
        <f t="shared" si="540"/>
        <v>0</v>
      </c>
      <c r="BF118" s="61">
        <f t="shared" si="541"/>
        <v>-107.3</v>
      </c>
      <c r="BG118" s="59">
        <f t="shared" si="542"/>
        <v>-8305.02</v>
      </c>
      <c r="BH118" s="196"/>
      <c r="BI118" s="1">
        <f t="shared" si="543"/>
        <v>0</v>
      </c>
      <c r="BJ118" s="1">
        <f t="shared" si="544"/>
        <v>0</v>
      </c>
      <c r="BK118" s="1">
        <f t="shared" si="545"/>
        <v>0</v>
      </c>
      <c r="BL118" s="1">
        <f t="shared" si="546"/>
        <v>0</v>
      </c>
      <c r="BM118" s="1">
        <f t="shared" si="547"/>
        <v>0</v>
      </c>
      <c r="BN118" s="1">
        <f t="shared" si="548"/>
        <v>0</v>
      </c>
      <c r="BO118" s="1">
        <f t="shared" si="549"/>
        <v>0</v>
      </c>
      <c r="BP118" s="1">
        <f t="shared" si="550"/>
        <v>0</v>
      </c>
      <c r="BQ118" s="1">
        <f t="shared" si="551"/>
        <v>0</v>
      </c>
      <c r="BR118" s="1">
        <f t="shared" si="552"/>
        <v>0</v>
      </c>
      <c r="BS118" s="1">
        <f t="shared" si="553"/>
        <v>0</v>
      </c>
      <c r="BT118" s="1">
        <f t="shared" si="554"/>
        <v>0</v>
      </c>
      <c r="BU118" s="1">
        <f t="shared" si="555"/>
        <v>0</v>
      </c>
      <c r="BV118" s="1">
        <f t="shared" si="556"/>
        <v>0</v>
      </c>
      <c r="BW118" s="1">
        <f t="shared" si="557"/>
        <v>0</v>
      </c>
      <c r="BX118" s="1">
        <f t="shared" si="558"/>
        <v>0</v>
      </c>
      <c r="BY118" s="1">
        <f t="shared" si="559"/>
        <v>0</v>
      </c>
      <c r="BZ118" s="1">
        <f t="shared" si="560"/>
        <v>0</v>
      </c>
      <c r="CA118" s="1">
        <f t="shared" si="561"/>
        <v>0</v>
      </c>
      <c r="CB118" s="1">
        <f t="shared" si="562"/>
        <v>0</v>
      </c>
      <c r="CC118" s="1">
        <f t="shared" si="563"/>
        <v>0</v>
      </c>
      <c r="CD118" s="1">
        <f t="shared" si="564"/>
        <v>0</v>
      </c>
      <c r="CE118" s="1">
        <f t="shared" si="565"/>
        <v>0</v>
      </c>
      <c r="CF118" s="1">
        <f t="shared" si="566"/>
        <v>0</v>
      </c>
      <c r="CG118" s="215">
        <f t="shared" si="567"/>
        <v>0</v>
      </c>
    </row>
    <row r="119" spans="3:85" ht="89.25" outlineLevel="1">
      <c r="C119" s="198" t="s">
        <v>870</v>
      </c>
      <c r="D119" s="55">
        <v>-36</v>
      </c>
      <c r="E119" s="88" t="s">
        <v>874</v>
      </c>
      <c r="F119" s="56">
        <v>97.2</v>
      </c>
      <c r="G119" s="57">
        <f t="shared" si="515"/>
        <v>-3499.2000000000003</v>
      </c>
      <c r="H119" s="28"/>
      <c r="I119" s="59" t="str">
        <f t="shared" si="516"/>
        <v/>
      </c>
      <c r="J119" s="60"/>
      <c r="K119" s="59" t="str">
        <f t="shared" si="517"/>
        <v/>
      </c>
      <c r="L119" s="60"/>
      <c r="M119" s="59" t="str">
        <f t="shared" si="518"/>
        <v/>
      </c>
      <c r="N119" s="60"/>
      <c r="O119" s="59" t="str">
        <f t="shared" si="519"/>
        <v/>
      </c>
      <c r="P119" s="60"/>
      <c r="Q119" s="59" t="str">
        <f t="shared" si="520"/>
        <v/>
      </c>
      <c r="R119" s="60"/>
      <c r="S119" s="59" t="str">
        <f t="shared" si="521"/>
        <v/>
      </c>
      <c r="T119" s="60"/>
      <c r="U119" s="59" t="str">
        <f t="shared" si="522"/>
        <v/>
      </c>
      <c r="V119" s="60"/>
      <c r="W119" s="59" t="str">
        <f t="shared" si="523"/>
        <v/>
      </c>
      <c r="X119" s="95"/>
      <c r="Y119" s="59" t="str">
        <f t="shared" si="524"/>
        <v/>
      </c>
      <c r="Z119" s="95"/>
      <c r="AA119" s="59" t="str">
        <f t="shared" si="525"/>
        <v/>
      </c>
      <c r="AB119" s="60"/>
      <c r="AC119" s="59" t="str">
        <f t="shared" si="526"/>
        <v/>
      </c>
      <c r="AD119" s="60"/>
      <c r="AE119" s="59" t="str">
        <f t="shared" si="527"/>
        <v/>
      </c>
      <c r="AF119" s="95"/>
      <c r="AG119" s="59" t="str">
        <f t="shared" ref="AG119" si="628">+IF(OR($F119="",AF119=""),"",$F119*AF119)</f>
        <v/>
      </c>
      <c r="AH119" s="207"/>
      <c r="AI119" s="59" t="str">
        <f t="shared" si="529"/>
        <v/>
      </c>
      <c r="AJ119" s="60"/>
      <c r="AK119" s="59" t="str">
        <f t="shared" si="529"/>
        <v/>
      </c>
      <c r="AL119" s="60"/>
      <c r="AM119" s="59" t="str">
        <f t="shared" ref="AM119" si="629">+IF(OR($F119="",AL119=""),"",$F119*AL119)</f>
        <v/>
      </c>
      <c r="AN119" s="60"/>
      <c r="AO119" s="59" t="str">
        <f t="shared" ref="AO119" si="630">+IF(OR($F119="",AN119=""),"",$F119*AN119)</f>
        <v/>
      </c>
      <c r="AP119" s="60"/>
      <c r="AQ119" s="59" t="str">
        <f t="shared" ref="AQ119" si="631">+IF(OR($F119="",AP119=""),"",$F119*AP119)</f>
        <v/>
      </c>
      <c r="AR119" s="60"/>
      <c r="AS119" s="59" t="str">
        <f t="shared" ref="AS119" si="632">+IF(OR($F119="",AR119=""),"",$F119*AR119)</f>
        <v/>
      </c>
      <c r="AT119" s="60"/>
      <c r="AU119" s="59" t="str">
        <f t="shared" ref="AU119" si="633">+IF(OR($F119="",AT119=""),"",$F119*AT119)</f>
        <v/>
      </c>
      <c r="AV119" s="60"/>
      <c r="AW119" s="59" t="str">
        <f t="shared" ref="AW119" si="634">+IF(OR($F119="",AV119=""),"",$F119*AV119)</f>
        <v/>
      </c>
      <c r="AX119" s="60"/>
      <c r="AY119" s="59" t="str">
        <f t="shared" ref="AY119" si="635">+IF(OR($F119="",AX119=""),"",$F119*AX119)</f>
        <v/>
      </c>
      <c r="AZ119" s="60"/>
      <c r="BA119" s="59" t="str">
        <f t="shared" ref="BA119" si="636">+IF(OR($F119="",AZ119=""),"",$F119*AZ119)</f>
        <v/>
      </c>
      <c r="BB119" s="60"/>
      <c r="BC119" s="59" t="str">
        <f t="shared" ref="BC119" si="637">+IF(OR($F119="",BB119=""),"",$F119*BB119)</f>
        <v/>
      </c>
      <c r="BD119" s="61">
        <f t="shared" si="539"/>
        <v>0</v>
      </c>
      <c r="BE119" s="59">
        <f t="shared" si="540"/>
        <v>0</v>
      </c>
      <c r="BF119" s="61">
        <f t="shared" si="541"/>
        <v>-36</v>
      </c>
      <c r="BG119" s="59">
        <f t="shared" si="542"/>
        <v>-3499.2000000000003</v>
      </c>
      <c r="BH119" s="196"/>
      <c r="BI119" s="1">
        <f t="shared" si="543"/>
        <v>0</v>
      </c>
      <c r="BJ119" s="1">
        <f t="shared" si="544"/>
        <v>0</v>
      </c>
      <c r="BK119" s="1">
        <f t="shared" si="545"/>
        <v>0</v>
      </c>
      <c r="BL119" s="1">
        <f t="shared" si="546"/>
        <v>0</v>
      </c>
      <c r="BM119" s="1">
        <f t="shared" si="547"/>
        <v>0</v>
      </c>
      <c r="BN119" s="1">
        <f t="shared" si="548"/>
        <v>0</v>
      </c>
      <c r="BO119" s="1">
        <f t="shared" si="549"/>
        <v>0</v>
      </c>
      <c r="BP119" s="1">
        <f t="shared" si="550"/>
        <v>0</v>
      </c>
      <c r="BQ119" s="1">
        <f t="shared" si="551"/>
        <v>0</v>
      </c>
      <c r="BR119" s="1">
        <f t="shared" si="552"/>
        <v>0</v>
      </c>
      <c r="BS119" s="1">
        <f t="shared" si="553"/>
        <v>0</v>
      </c>
      <c r="BT119" s="1">
        <f t="shared" si="554"/>
        <v>0</v>
      </c>
      <c r="BU119" s="1">
        <f t="shared" si="555"/>
        <v>0</v>
      </c>
      <c r="BV119" s="1">
        <f t="shared" si="556"/>
        <v>0</v>
      </c>
      <c r="BW119" s="1">
        <f t="shared" si="557"/>
        <v>0</v>
      </c>
      <c r="BX119" s="1">
        <f t="shared" si="558"/>
        <v>0</v>
      </c>
      <c r="BY119" s="1">
        <f t="shared" si="559"/>
        <v>0</v>
      </c>
      <c r="BZ119" s="1">
        <f t="shared" si="560"/>
        <v>0</v>
      </c>
      <c r="CA119" s="1">
        <f t="shared" si="561"/>
        <v>0</v>
      </c>
      <c r="CB119" s="1">
        <f t="shared" si="562"/>
        <v>0</v>
      </c>
      <c r="CC119" s="1">
        <f t="shared" si="563"/>
        <v>0</v>
      </c>
      <c r="CD119" s="1">
        <f t="shared" si="564"/>
        <v>0</v>
      </c>
      <c r="CE119" s="1">
        <f t="shared" si="565"/>
        <v>0</v>
      </c>
      <c r="CF119" s="1">
        <f t="shared" si="566"/>
        <v>0</v>
      </c>
      <c r="CG119" s="215">
        <f t="shared" si="567"/>
        <v>0</v>
      </c>
    </row>
    <row r="120" spans="3:85" ht="102" outlineLevel="1">
      <c r="C120" s="198" t="s">
        <v>869</v>
      </c>
      <c r="D120" s="55">
        <v>-566</v>
      </c>
      <c r="E120" s="88" t="s">
        <v>874</v>
      </c>
      <c r="F120" s="56">
        <v>7.21</v>
      </c>
      <c r="G120" s="57">
        <f t="shared" si="515"/>
        <v>-4080.86</v>
      </c>
      <c r="H120" s="28"/>
      <c r="I120" s="59" t="str">
        <f t="shared" si="516"/>
        <v/>
      </c>
      <c r="J120" s="60"/>
      <c r="K120" s="59" t="str">
        <f t="shared" si="517"/>
        <v/>
      </c>
      <c r="L120" s="60"/>
      <c r="M120" s="59" t="str">
        <f t="shared" si="518"/>
        <v/>
      </c>
      <c r="N120" s="60"/>
      <c r="O120" s="59" t="str">
        <f t="shared" si="519"/>
        <v/>
      </c>
      <c r="P120" s="60"/>
      <c r="Q120" s="59" t="str">
        <f t="shared" si="520"/>
        <v/>
      </c>
      <c r="R120" s="60"/>
      <c r="S120" s="59" t="str">
        <f t="shared" si="521"/>
        <v/>
      </c>
      <c r="T120" s="60"/>
      <c r="U120" s="59" t="str">
        <f t="shared" si="522"/>
        <v/>
      </c>
      <c r="V120" s="60"/>
      <c r="W120" s="59" t="str">
        <f t="shared" si="523"/>
        <v/>
      </c>
      <c r="X120" s="95"/>
      <c r="Y120" s="59" t="str">
        <f t="shared" si="524"/>
        <v/>
      </c>
      <c r="Z120" s="95"/>
      <c r="AA120" s="59" t="str">
        <f t="shared" si="525"/>
        <v/>
      </c>
      <c r="AB120" s="60"/>
      <c r="AC120" s="59" t="str">
        <f t="shared" si="526"/>
        <v/>
      </c>
      <c r="AD120" s="60"/>
      <c r="AE120" s="59" t="str">
        <f t="shared" si="527"/>
        <v/>
      </c>
      <c r="AF120" s="95"/>
      <c r="AG120" s="59" t="str">
        <f t="shared" ref="AG120" si="638">+IF(OR($F120="",AF120=""),"",$F120*AF120)</f>
        <v/>
      </c>
      <c r="AH120" s="95"/>
      <c r="AI120" s="59" t="str">
        <f t="shared" si="529"/>
        <v/>
      </c>
      <c r="AJ120" s="60"/>
      <c r="AK120" s="59" t="str">
        <f t="shared" si="529"/>
        <v/>
      </c>
      <c r="AL120" s="60"/>
      <c r="AM120" s="59" t="str">
        <f t="shared" ref="AM120" si="639">+IF(OR($F120="",AL120=""),"",$F120*AL120)</f>
        <v/>
      </c>
      <c r="AN120" s="60"/>
      <c r="AO120" s="59" t="str">
        <f t="shared" ref="AO120" si="640">+IF(OR($F120="",AN120=""),"",$F120*AN120)</f>
        <v/>
      </c>
      <c r="AP120" s="60"/>
      <c r="AQ120" s="59" t="str">
        <f t="shared" ref="AQ120" si="641">+IF(OR($F120="",AP120=""),"",$F120*AP120)</f>
        <v/>
      </c>
      <c r="AR120" s="60"/>
      <c r="AS120" s="59" t="str">
        <f t="shared" ref="AS120" si="642">+IF(OR($F120="",AR120=""),"",$F120*AR120)</f>
        <v/>
      </c>
      <c r="AT120" s="60"/>
      <c r="AU120" s="59" t="str">
        <f t="shared" ref="AU120" si="643">+IF(OR($F120="",AT120=""),"",$F120*AT120)</f>
        <v/>
      </c>
      <c r="AV120" s="60"/>
      <c r="AW120" s="59" t="str">
        <f t="shared" ref="AW120" si="644">+IF(OR($F120="",AV120=""),"",$F120*AV120)</f>
        <v/>
      </c>
      <c r="AX120" s="60"/>
      <c r="AY120" s="59" t="str">
        <f t="shared" ref="AY120" si="645">+IF(OR($F120="",AX120=""),"",$F120*AX120)</f>
        <v/>
      </c>
      <c r="AZ120" s="60"/>
      <c r="BA120" s="59" t="str">
        <f t="shared" ref="BA120" si="646">+IF(OR($F120="",AZ120=""),"",$F120*AZ120)</f>
        <v/>
      </c>
      <c r="BB120" s="60"/>
      <c r="BC120" s="59" t="str">
        <f t="shared" ref="BC120" si="647">+IF(OR($F120="",BB120=""),"",$F120*BB120)</f>
        <v/>
      </c>
      <c r="BD120" s="61">
        <f t="shared" si="539"/>
        <v>0</v>
      </c>
      <c r="BE120" s="59">
        <f t="shared" si="540"/>
        <v>0</v>
      </c>
      <c r="BF120" s="61">
        <f t="shared" si="541"/>
        <v>-566</v>
      </c>
      <c r="BG120" s="59">
        <f t="shared" si="542"/>
        <v>-4080.86</v>
      </c>
      <c r="BH120" s="196"/>
      <c r="BI120" s="1">
        <f t="shared" si="543"/>
        <v>0</v>
      </c>
      <c r="BJ120" s="1">
        <f t="shared" si="544"/>
        <v>0</v>
      </c>
      <c r="BK120" s="1">
        <f t="shared" si="545"/>
        <v>0</v>
      </c>
      <c r="BL120" s="1">
        <f t="shared" si="546"/>
        <v>0</v>
      </c>
      <c r="BM120" s="1">
        <f t="shared" si="547"/>
        <v>0</v>
      </c>
      <c r="BN120" s="1">
        <f t="shared" si="548"/>
        <v>0</v>
      </c>
      <c r="BO120" s="1">
        <f t="shared" si="549"/>
        <v>0</v>
      </c>
      <c r="BP120" s="1">
        <f t="shared" si="550"/>
        <v>0</v>
      </c>
      <c r="BQ120" s="1">
        <f t="shared" si="551"/>
        <v>0</v>
      </c>
      <c r="BR120" s="1">
        <f t="shared" si="552"/>
        <v>0</v>
      </c>
      <c r="BS120" s="1">
        <f t="shared" si="553"/>
        <v>0</v>
      </c>
      <c r="BT120" s="1">
        <f t="shared" si="554"/>
        <v>0</v>
      </c>
      <c r="BU120" s="1">
        <f t="shared" si="555"/>
        <v>0</v>
      </c>
      <c r="BV120" s="1">
        <f t="shared" si="556"/>
        <v>0</v>
      </c>
      <c r="BW120" s="1">
        <f t="shared" si="557"/>
        <v>0</v>
      </c>
      <c r="BX120" s="1">
        <f t="shared" si="558"/>
        <v>0</v>
      </c>
      <c r="BY120" s="1">
        <f t="shared" si="559"/>
        <v>0</v>
      </c>
      <c r="BZ120" s="1">
        <f t="shared" si="560"/>
        <v>0</v>
      </c>
      <c r="CA120" s="1">
        <f t="shared" si="561"/>
        <v>0</v>
      </c>
      <c r="CB120" s="1">
        <f t="shared" si="562"/>
        <v>0</v>
      </c>
      <c r="CC120" s="1">
        <f t="shared" si="563"/>
        <v>0</v>
      </c>
      <c r="CD120" s="1">
        <f t="shared" si="564"/>
        <v>0</v>
      </c>
      <c r="CE120" s="1">
        <f t="shared" si="565"/>
        <v>0</v>
      </c>
      <c r="CF120" s="1">
        <f t="shared" si="566"/>
        <v>0</v>
      </c>
      <c r="CG120" s="195">
        <f t="shared" si="567"/>
        <v>0</v>
      </c>
    </row>
    <row r="121" spans="3:85" ht="102" outlineLevel="1">
      <c r="C121" s="198" t="s">
        <v>868</v>
      </c>
      <c r="D121" s="55">
        <v>-357.3</v>
      </c>
      <c r="E121" s="88" t="s">
        <v>874</v>
      </c>
      <c r="F121" s="56">
        <v>26.4</v>
      </c>
      <c r="G121" s="57">
        <f t="shared" si="515"/>
        <v>-9432.7199999999993</v>
      </c>
      <c r="H121" s="28"/>
      <c r="I121" s="59" t="str">
        <f t="shared" si="516"/>
        <v/>
      </c>
      <c r="J121" s="60"/>
      <c r="K121" s="59" t="str">
        <f t="shared" si="517"/>
        <v/>
      </c>
      <c r="L121" s="60"/>
      <c r="M121" s="59" t="str">
        <f t="shared" si="518"/>
        <v/>
      </c>
      <c r="N121" s="60"/>
      <c r="O121" s="59" t="str">
        <f t="shared" si="519"/>
        <v/>
      </c>
      <c r="P121" s="60"/>
      <c r="Q121" s="59" t="str">
        <f t="shared" si="520"/>
        <v/>
      </c>
      <c r="R121" s="60"/>
      <c r="S121" s="59" t="str">
        <f t="shared" si="521"/>
        <v/>
      </c>
      <c r="T121" s="60"/>
      <c r="U121" s="59" t="str">
        <f t="shared" si="522"/>
        <v/>
      </c>
      <c r="V121" s="60"/>
      <c r="W121" s="59" t="str">
        <f t="shared" si="523"/>
        <v/>
      </c>
      <c r="X121" s="95"/>
      <c r="Y121" s="59" t="str">
        <f t="shared" si="524"/>
        <v/>
      </c>
      <c r="Z121" s="95"/>
      <c r="AA121" s="59" t="str">
        <f t="shared" si="525"/>
        <v/>
      </c>
      <c r="AB121" s="60"/>
      <c r="AC121" s="59" t="str">
        <f t="shared" si="526"/>
        <v/>
      </c>
      <c r="AD121" s="60"/>
      <c r="AE121" s="59" t="str">
        <f t="shared" si="527"/>
        <v/>
      </c>
      <c r="AF121" s="95"/>
      <c r="AG121" s="59" t="str">
        <f t="shared" ref="AG121" si="648">+IF(OR($F121="",AF121=""),"",$F121*AF121)</f>
        <v/>
      </c>
      <c r="AH121" s="95"/>
      <c r="AI121" s="59" t="str">
        <f t="shared" si="529"/>
        <v/>
      </c>
      <c r="AJ121" s="60"/>
      <c r="AK121" s="59" t="str">
        <f t="shared" si="529"/>
        <v/>
      </c>
      <c r="AL121" s="60"/>
      <c r="AM121" s="59" t="str">
        <f t="shared" ref="AM121" si="649">+IF(OR($F121="",AL121=""),"",$F121*AL121)</f>
        <v/>
      </c>
      <c r="AN121" s="60"/>
      <c r="AO121" s="59" t="str">
        <f t="shared" ref="AO121" si="650">+IF(OR($F121="",AN121=""),"",$F121*AN121)</f>
        <v/>
      </c>
      <c r="AP121" s="60"/>
      <c r="AQ121" s="59" t="str">
        <f t="shared" ref="AQ121" si="651">+IF(OR($F121="",AP121=""),"",$F121*AP121)</f>
        <v/>
      </c>
      <c r="AR121" s="60"/>
      <c r="AS121" s="59" t="str">
        <f t="shared" ref="AS121" si="652">+IF(OR($F121="",AR121=""),"",$F121*AR121)</f>
        <v/>
      </c>
      <c r="AT121" s="60"/>
      <c r="AU121" s="59" t="str">
        <f t="shared" ref="AU121" si="653">+IF(OR($F121="",AT121=""),"",$F121*AT121)</f>
        <v/>
      </c>
      <c r="AV121" s="60"/>
      <c r="AW121" s="59" t="str">
        <f t="shared" ref="AW121" si="654">+IF(OR($F121="",AV121=""),"",$F121*AV121)</f>
        <v/>
      </c>
      <c r="AX121" s="60"/>
      <c r="AY121" s="59" t="str">
        <f t="shared" ref="AY121" si="655">+IF(OR($F121="",AX121=""),"",$F121*AX121)</f>
        <v/>
      </c>
      <c r="AZ121" s="60"/>
      <c r="BA121" s="59" t="str">
        <f t="shared" ref="BA121" si="656">+IF(OR($F121="",AZ121=""),"",$F121*AZ121)</f>
        <v/>
      </c>
      <c r="BB121" s="60"/>
      <c r="BC121" s="59" t="str">
        <f t="shared" ref="BC121" si="657">+IF(OR($F121="",BB121=""),"",$F121*BB121)</f>
        <v/>
      </c>
      <c r="BD121" s="61">
        <f t="shared" si="539"/>
        <v>0</v>
      </c>
      <c r="BE121" s="59">
        <f t="shared" si="540"/>
        <v>0</v>
      </c>
      <c r="BF121" s="61">
        <f t="shared" si="541"/>
        <v>-357.3</v>
      </c>
      <c r="BG121" s="59">
        <f t="shared" si="542"/>
        <v>-9432.7199999999993</v>
      </c>
      <c r="BH121" s="196"/>
      <c r="BI121" s="1">
        <f t="shared" si="543"/>
        <v>0</v>
      </c>
      <c r="BJ121" s="1">
        <f t="shared" si="544"/>
        <v>0</v>
      </c>
      <c r="BK121" s="1">
        <f t="shared" si="545"/>
        <v>0</v>
      </c>
      <c r="BL121" s="1">
        <f t="shared" si="546"/>
        <v>0</v>
      </c>
      <c r="BM121" s="1">
        <f t="shared" si="547"/>
        <v>0</v>
      </c>
      <c r="BN121" s="1">
        <f t="shared" si="548"/>
        <v>0</v>
      </c>
      <c r="BO121" s="1">
        <f t="shared" si="549"/>
        <v>0</v>
      </c>
      <c r="BP121" s="1">
        <f t="shared" si="550"/>
        <v>0</v>
      </c>
      <c r="BQ121" s="1">
        <f t="shared" si="551"/>
        <v>0</v>
      </c>
      <c r="BR121" s="1">
        <f t="shared" si="552"/>
        <v>0</v>
      </c>
      <c r="BS121" s="1">
        <f t="shared" si="553"/>
        <v>0</v>
      </c>
      <c r="BT121" s="1">
        <f t="shared" si="554"/>
        <v>0</v>
      </c>
      <c r="BU121" s="1">
        <f t="shared" si="555"/>
        <v>0</v>
      </c>
      <c r="BV121" s="1">
        <f t="shared" si="556"/>
        <v>0</v>
      </c>
      <c r="BW121" s="1">
        <f t="shared" si="557"/>
        <v>0</v>
      </c>
      <c r="BX121" s="1">
        <f t="shared" si="558"/>
        <v>0</v>
      </c>
      <c r="BY121" s="1">
        <f t="shared" si="559"/>
        <v>0</v>
      </c>
      <c r="BZ121" s="1">
        <f t="shared" si="560"/>
        <v>0</v>
      </c>
      <c r="CA121" s="1">
        <f t="shared" si="561"/>
        <v>0</v>
      </c>
      <c r="CB121" s="1">
        <f t="shared" si="562"/>
        <v>0</v>
      </c>
      <c r="CC121" s="1">
        <f t="shared" si="563"/>
        <v>0</v>
      </c>
      <c r="CD121" s="1">
        <f t="shared" si="564"/>
        <v>0</v>
      </c>
      <c r="CE121" s="1">
        <f t="shared" si="565"/>
        <v>0</v>
      </c>
      <c r="CF121" s="1">
        <f t="shared" si="566"/>
        <v>0</v>
      </c>
      <c r="CG121" s="195">
        <f t="shared" si="567"/>
        <v>0</v>
      </c>
    </row>
    <row r="122" spans="3:85" ht="89.25" outlineLevel="1">
      <c r="C122" s="198" t="s">
        <v>867</v>
      </c>
      <c r="D122" s="55">
        <v>-166.1</v>
      </c>
      <c r="E122" s="88" t="s">
        <v>874</v>
      </c>
      <c r="F122" s="56">
        <v>33.6</v>
      </c>
      <c r="G122" s="57">
        <f t="shared" si="515"/>
        <v>-5580.96</v>
      </c>
      <c r="H122" s="28"/>
      <c r="I122" s="59" t="str">
        <f t="shared" si="516"/>
        <v/>
      </c>
      <c r="J122" s="60"/>
      <c r="K122" s="59" t="str">
        <f t="shared" si="517"/>
        <v/>
      </c>
      <c r="L122" s="60"/>
      <c r="M122" s="59" t="str">
        <f t="shared" si="518"/>
        <v/>
      </c>
      <c r="N122" s="60"/>
      <c r="O122" s="59" t="str">
        <f t="shared" si="519"/>
        <v/>
      </c>
      <c r="P122" s="60"/>
      <c r="Q122" s="59" t="str">
        <f t="shared" si="520"/>
        <v/>
      </c>
      <c r="R122" s="60"/>
      <c r="S122" s="59" t="str">
        <f t="shared" si="521"/>
        <v/>
      </c>
      <c r="T122" s="60"/>
      <c r="U122" s="59" t="str">
        <f t="shared" si="522"/>
        <v/>
      </c>
      <c r="V122" s="60"/>
      <c r="W122" s="59" t="str">
        <f t="shared" si="523"/>
        <v/>
      </c>
      <c r="X122" s="95"/>
      <c r="Y122" s="59" t="str">
        <f t="shared" si="524"/>
        <v/>
      </c>
      <c r="Z122" s="95"/>
      <c r="AA122" s="59" t="str">
        <f t="shared" si="525"/>
        <v/>
      </c>
      <c r="AB122" s="60"/>
      <c r="AC122" s="59" t="str">
        <f t="shared" si="526"/>
        <v/>
      </c>
      <c r="AD122" s="60"/>
      <c r="AE122" s="59" t="str">
        <f t="shared" si="527"/>
        <v/>
      </c>
      <c r="AF122" s="95"/>
      <c r="AG122" s="59" t="str">
        <f t="shared" ref="AG122" si="658">+IF(OR($F122="",AF122=""),"",$F122*AF122)</f>
        <v/>
      </c>
      <c r="AH122" s="95"/>
      <c r="AI122" s="59" t="str">
        <f t="shared" si="529"/>
        <v/>
      </c>
      <c r="AJ122" s="60"/>
      <c r="AK122" s="59" t="str">
        <f t="shared" si="529"/>
        <v/>
      </c>
      <c r="AL122" s="60"/>
      <c r="AM122" s="59" t="str">
        <f t="shared" ref="AM122" si="659">+IF(OR($F122="",AL122=""),"",$F122*AL122)</f>
        <v/>
      </c>
      <c r="AN122" s="60"/>
      <c r="AO122" s="59" t="str">
        <f t="shared" ref="AO122" si="660">+IF(OR($F122="",AN122=""),"",$F122*AN122)</f>
        <v/>
      </c>
      <c r="AP122" s="60"/>
      <c r="AQ122" s="59" t="str">
        <f t="shared" ref="AQ122" si="661">+IF(OR($F122="",AP122=""),"",$F122*AP122)</f>
        <v/>
      </c>
      <c r="AR122" s="60"/>
      <c r="AS122" s="59" t="str">
        <f t="shared" ref="AS122" si="662">+IF(OR($F122="",AR122=""),"",$F122*AR122)</f>
        <v/>
      </c>
      <c r="AT122" s="60"/>
      <c r="AU122" s="59" t="str">
        <f t="shared" ref="AU122" si="663">+IF(OR($F122="",AT122=""),"",$F122*AT122)</f>
        <v/>
      </c>
      <c r="AV122" s="60"/>
      <c r="AW122" s="59" t="str">
        <f t="shared" ref="AW122" si="664">+IF(OR($F122="",AV122=""),"",$F122*AV122)</f>
        <v/>
      </c>
      <c r="AX122" s="60"/>
      <c r="AY122" s="59" t="str">
        <f t="shared" ref="AY122" si="665">+IF(OR($F122="",AX122=""),"",$F122*AX122)</f>
        <v/>
      </c>
      <c r="AZ122" s="60"/>
      <c r="BA122" s="59" t="str">
        <f t="shared" ref="BA122" si="666">+IF(OR($F122="",AZ122=""),"",$F122*AZ122)</f>
        <v/>
      </c>
      <c r="BB122" s="60"/>
      <c r="BC122" s="59" t="str">
        <f t="shared" ref="BC122" si="667">+IF(OR($F122="",BB122=""),"",$F122*BB122)</f>
        <v/>
      </c>
      <c r="BD122" s="61">
        <f t="shared" si="539"/>
        <v>0</v>
      </c>
      <c r="BE122" s="59">
        <f t="shared" si="540"/>
        <v>0</v>
      </c>
      <c r="BF122" s="61">
        <f t="shared" si="541"/>
        <v>-166.1</v>
      </c>
      <c r="BG122" s="59">
        <f t="shared" si="542"/>
        <v>-5580.96</v>
      </c>
      <c r="BH122" s="196"/>
      <c r="BI122" s="1">
        <f t="shared" si="543"/>
        <v>0</v>
      </c>
      <c r="BJ122" s="1">
        <f t="shared" si="544"/>
        <v>0</v>
      </c>
      <c r="BK122" s="1">
        <f t="shared" si="545"/>
        <v>0</v>
      </c>
      <c r="BL122" s="1">
        <f t="shared" si="546"/>
        <v>0</v>
      </c>
      <c r="BM122" s="1">
        <f t="shared" si="547"/>
        <v>0</v>
      </c>
      <c r="BN122" s="1">
        <f t="shared" si="548"/>
        <v>0</v>
      </c>
      <c r="BO122" s="1">
        <f t="shared" si="549"/>
        <v>0</v>
      </c>
      <c r="BP122" s="1">
        <f t="shared" si="550"/>
        <v>0</v>
      </c>
      <c r="BQ122" s="1">
        <f t="shared" si="551"/>
        <v>0</v>
      </c>
      <c r="BR122" s="1">
        <f t="shared" si="552"/>
        <v>0</v>
      </c>
      <c r="BS122" s="1">
        <f t="shared" si="553"/>
        <v>0</v>
      </c>
      <c r="BT122" s="1">
        <f t="shared" si="554"/>
        <v>0</v>
      </c>
      <c r="BU122" s="1">
        <f t="shared" si="555"/>
        <v>0</v>
      </c>
      <c r="BV122" s="1">
        <f t="shared" si="556"/>
        <v>0</v>
      </c>
      <c r="BW122" s="1">
        <f t="shared" si="557"/>
        <v>0</v>
      </c>
      <c r="BX122" s="1">
        <f t="shared" si="558"/>
        <v>0</v>
      </c>
      <c r="BY122" s="1">
        <f t="shared" si="559"/>
        <v>0</v>
      </c>
      <c r="BZ122" s="1">
        <f t="shared" si="560"/>
        <v>0</v>
      </c>
      <c r="CA122" s="1">
        <f t="shared" si="561"/>
        <v>0</v>
      </c>
      <c r="CB122" s="1">
        <f t="shared" si="562"/>
        <v>0</v>
      </c>
      <c r="CC122" s="1">
        <f t="shared" si="563"/>
        <v>0</v>
      </c>
      <c r="CD122" s="1">
        <f t="shared" si="564"/>
        <v>0</v>
      </c>
      <c r="CE122" s="1">
        <f t="shared" si="565"/>
        <v>0</v>
      </c>
      <c r="CF122" s="1">
        <f t="shared" si="566"/>
        <v>0</v>
      </c>
      <c r="CG122" s="195">
        <f t="shared" si="567"/>
        <v>0</v>
      </c>
    </row>
    <row r="123" spans="3:85" ht="76.5" outlineLevel="1">
      <c r="C123" s="198" t="s">
        <v>866</v>
      </c>
      <c r="D123" s="55">
        <v>-200</v>
      </c>
      <c r="E123" s="88" t="s">
        <v>874</v>
      </c>
      <c r="F123" s="56">
        <v>37.200000000000003</v>
      </c>
      <c r="G123" s="57">
        <f t="shared" si="515"/>
        <v>-7440.0000000000009</v>
      </c>
      <c r="H123" s="28"/>
      <c r="I123" s="59" t="str">
        <f t="shared" si="516"/>
        <v/>
      </c>
      <c r="J123" s="60"/>
      <c r="K123" s="59" t="str">
        <f t="shared" si="517"/>
        <v/>
      </c>
      <c r="L123" s="60"/>
      <c r="M123" s="59" t="str">
        <f t="shared" si="518"/>
        <v/>
      </c>
      <c r="N123" s="60"/>
      <c r="O123" s="59" t="str">
        <f t="shared" si="519"/>
        <v/>
      </c>
      <c r="P123" s="60"/>
      <c r="Q123" s="59" t="str">
        <f t="shared" si="520"/>
        <v/>
      </c>
      <c r="R123" s="60"/>
      <c r="S123" s="59" t="str">
        <f t="shared" si="521"/>
        <v/>
      </c>
      <c r="T123" s="60"/>
      <c r="U123" s="59" t="str">
        <f t="shared" si="522"/>
        <v/>
      </c>
      <c r="V123" s="60"/>
      <c r="W123" s="59" t="str">
        <f t="shared" si="523"/>
        <v/>
      </c>
      <c r="X123" s="95"/>
      <c r="Y123" s="59" t="str">
        <f t="shared" si="524"/>
        <v/>
      </c>
      <c r="Z123" s="95"/>
      <c r="AA123" s="59" t="str">
        <f t="shared" si="525"/>
        <v/>
      </c>
      <c r="AB123" s="60"/>
      <c r="AC123" s="59" t="str">
        <f t="shared" si="526"/>
        <v/>
      </c>
      <c r="AD123" s="60"/>
      <c r="AE123" s="59" t="str">
        <f t="shared" si="527"/>
        <v/>
      </c>
      <c r="AF123" s="95"/>
      <c r="AG123" s="59" t="str">
        <f t="shared" ref="AG123" si="668">+IF(OR($F123="",AF123=""),"",$F123*AF123)</f>
        <v/>
      </c>
      <c r="AH123" s="95"/>
      <c r="AI123" s="59" t="str">
        <f t="shared" si="529"/>
        <v/>
      </c>
      <c r="AJ123" s="60"/>
      <c r="AK123" s="59" t="str">
        <f t="shared" si="529"/>
        <v/>
      </c>
      <c r="AL123" s="60"/>
      <c r="AM123" s="59" t="str">
        <f t="shared" ref="AM123" si="669">+IF(OR($F123="",AL123=""),"",$F123*AL123)</f>
        <v/>
      </c>
      <c r="AN123" s="60"/>
      <c r="AO123" s="59" t="str">
        <f t="shared" ref="AO123" si="670">+IF(OR($F123="",AN123=""),"",$F123*AN123)</f>
        <v/>
      </c>
      <c r="AP123" s="60"/>
      <c r="AQ123" s="59" t="str">
        <f t="shared" ref="AQ123" si="671">+IF(OR($F123="",AP123=""),"",$F123*AP123)</f>
        <v/>
      </c>
      <c r="AR123" s="60"/>
      <c r="AS123" s="59" t="str">
        <f t="shared" ref="AS123" si="672">+IF(OR($F123="",AR123=""),"",$F123*AR123)</f>
        <v/>
      </c>
      <c r="AT123" s="60"/>
      <c r="AU123" s="59" t="str">
        <f t="shared" ref="AU123" si="673">+IF(OR($F123="",AT123=""),"",$F123*AT123)</f>
        <v/>
      </c>
      <c r="AV123" s="60"/>
      <c r="AW123" s="59" t="str">
        <f t="shared" ref="AW123" si="674">+IF(OR($F123="",AV123=""),"",$F123*AV123)</f>
        <v/>
      </c>
      <c r="AX123" s="60"/>
      <c r="AY123" s="59" t="str">
        <f t="shared" ref="AY123" si="675">+IF(OR($F123="",AX123=""),"",$F123*AX123)</f>
        <v/>
      </c>
      <c r="AZ123" s="60"/>
      <c r="BA123" s="59" t="str">
        <f t="shared" ref="BA123" si="676">+IF(OR($F123="",AZ123=""),"",$F123*AZ123)</f>
        <v/>
      </c>
      <c r="BB123" s="60"/>
      <c r="BC123" s="59" t="str">
        <f t="shared" ref="BC123" si="677">+IF(OR($F123="",BB123=""),"",$F123*BB123)</f>
        <v/>
      </c>
      <c r="BD123" s="61">
        <f t="shared" si="539"/>
        <v>0</v>
      </c>
      <c r="BE123" s="59">
        <f t="shared" si="540"/>
        <v>0</v>
      </c>
      <c r="BF123" s="61">
        <f t="shared" si="541"/>
        <v>-200</v>
      </c>
      <c r="BG123" s="59">
        <f t="shared" si="542"/>
        <v>-7440.0000000000009</v>
      </c>
      <c r="BH123" s="196"/>
      <c r="BI123" s="1">
        <f t="shared" si="543"/>
        <v>0</v>
      </c>
      <c r="BJ123" s="1">
        <f t="shared" si="544"/>
        <v>0</v>
      </c>
      <c r="BK123" s="1">
        <f t="shared" si="545"/>
        <v>0</v>
      </c>
      <c r="BL123" s="1">
        <f t="shared" si="546"/>
        <v>0</v>
      </c>
      <c r="BM123" s="1">
        <f t="shared" si="547"/>
        <v>0</v>
      </c>
      <c r="BN123" s="1">
        <f t="shared" si="548"/>
        <v>0</v>
      </c>
      <c r="BO123" s="1">
        <f t="shared" si="549"/>
        <v>0</v>
      </c>
      <c r="BP123" s="1">
        <f t="shared" si="550"/>
        <v>0</v>
      </c>
      <c r="BQ123" s="1">
        <f t="shared" si="551"/>
        <v>0</v>
      </c>
      <c r="BR123" s="1">
        <f t="shared" si="552"/>
        <v>0</v>
      </c>
      <c r="BS123" s="1">
        <f t="shared" si="553"/>
        <v>0</v>
      </c>
      <c r="BT123" s="1">
        <f t="shared" si="554"/>
        <v>0</v>
      </c>
      <c r="BU123" s="1">
        <f t="shared" si="555"/>
        <v>0</v>
      </c>
      <c r="BV123" s="1">
        <f t="shared" si="556"/>
        <v>0</v>
      </c>
      <c r="BW123" s="1">
        <f t="shared" si="557"/>
        <v>0</v>
      </c>
      <c r="BX123" s="1">
        <f t="shared" si="558"/>
        <v>0</v>
      </c>
      <c r="BY123" s="1">
        <f t="shared" si="559"/>
        <v>0</v>
      </c>
      <c r="BZ123" s="1">
        <f t="shared" si="560"/>
        <v>0</v>
      </c>
      <c r="CA123" s="1">
        <f t="shared" si="561"/>
        <v>0</v>
      </c>
      <c r="CB123" s="1">
        <f t="shared" si="562"/>
        <v>0</v>
      </c>
      <c r="CC123" s="1">
        <f t="shared" si="563"/>
        <v>0</v>
      </c>
      <c r="CD123" s="1">
        <f t="shared" si="564"/>
        <v>0</v>
      </c>
      <c r="CE123" s="1">
        <f t="shared" si="565"/>
        <v>0</v>
      </c>
      <c r="CF123" s="1">
        <f t="shared" si="566"/>
        <v>0</v>
      </c>
      <c r="CG123" s="195">
        <f t="shared" si="567"/>
        <v>0</v>
      </c>
    </row>
    <row r="124" spans="3:85" ht="76.5" outlineLevel="1">
      <c r="C124" s="198" t="s">
        <v>853</v>
      </c>
      <c r="D124" s="55">
        <v>-30.1</v>
      </c>
      <c r="E124" s="88" t="s">
        <v>874</v>
      </c>
      <c r="F124" s="56">
        <v>33.6</v>
      </c>
      <c r="G124" s="57">
        <f t="shared" si="515"/>
        <v>-1011.3600000000001</v>
      </c>
      <c r="H124" s="28"/>
      <c r="I124" s="59" t="str">
        <f t="shared" si="516"/>
        <v/>
      </c>
      <c r="J124" s="60"/>
      <c r="K124" s="59" t="str">
        <f t="shared" si="517"/>
        <v/>
      </c>
      <c r="L124" s="60"/>
      <c r="M124" s="59" t="str">
        <f t="shared" si="518"/>
        <v/>
      </c>
      <c r="N124" s="60"/>
      <c r="O124" s="59" t="str">
        <f t="shared" si="519"/>
        <v/>
      </c>
      <c r="P124" s="60"/>
      <c r="Q124" s="59" t="str">
        <f t="shared" si="520"/>
        <v/>
      </c>
      <c r="R124" s="60"/>
      <c r="S124" s="59" t="str">
        <f t="shared" si="521"/>
        <v/>
      </c>
      <c r="T124" s="60"/>
      <c r="U124" s="59" t="str">
        <f t="shared" si="522"/>
        <v/>
      </c>
      <c r="V124" s="60"/>
      <c r="W124" s="59" t="str">
        <f t="shared" si="523"/>
        <v/>
      </c>
      <c r="X124" s="95"/>
      <c r="Y124" s="59" t="str">
        <f t="shared" si="524"/>
        <v/>
      </c>
      <c r="Z124" s="95"/>
      <c r="AA124" s="59" t="str">
        <f t="shared" si="525"/>
        <v/>
      </c>
      <c r="AB124" s="60"/>
      <c r="AC124" s="59" t="str">
        <f t="shared" si="526"/>
        <v/>
      </c>
      <c r="AD124" s="60"/>
      <c r="AE124" s="59" t="str">
        <f t="shared" si="527"/>
        <v/>
      </c>
      <c r="AF124" s="95"/>
      <c r="AG124" s="59" t="str">
        <f t="shared" ref="AG124" si="678">+IF(OR($F124="",AF124=""),"",$F124*AF124)</f>
        <v/>
      </c>
      <c r="AH124" s="95"/>
      <c r="AI124" s="59" t="str">
        <f t="shared" si="529"/>
        <v/>
      </c>
      <c r="AJ124" s="60"/>
      <c r="AK124" s="59" t="str">
        <f t="shared" si="529"/>
        <v/>
      </c>
      <c r="AL124" s="60"/>
      <c r="AM124" s="59" t="str">
        <f t="shared" ref="AM124" si="679">+IF(OR($F124="",AL124=""),"",$F124*AL124)</f>
        <v/>
      </c>
      <c r="AN124" s="60"/>
      <c r="AO124" s="59" t="str">
        <f t="shared" ref="AO124" si="680">+IF(OR($F124="",AN124=""),"",$F124*AN124)</f>
        <v/>
      </c>
      <c r="AP124" s="60"/>
      <c r="AQ124" s="59" t="str">
        <f t="shared" ref="AQ124" si="681">+IF(OR($F124="",AP124=""),"",$F124*AP124)</f>
        <v/>
      </c>
      <c r="AR124" s="60"/>
      <c r="AS124" s="59" t="str">
        <f t="shared" ref="AS124" si="682">+IF(OR($F124="",AR124=""),"",$F124*AR124)</f>
        <v/>
      </c>
      <c r="AT124" s="60"/>
      <c r="AU124" s="59" t="str">
        <f t="shared" ref="AU124" si="683">+IF(OR($F124="",AT124=""),"",$F124*AT124)</f>
        <v/>
      </c>
      <c r="AV124" s="60"/>
      <c r="AW124" s="59" t="str">
        <f t="shared" ref="AW124" si="684">+IF(OR($F124="",AV124=""),"",$F124*AV124)</f>
        <v/>
      </c>
      <c r="AX124" s="60"/>
      <c r="AY124" s="59" t="str">
        <f t="shared" ref="AY124" si="685">+IF(OR($F124="",AX124=""),"",$F124*AX124)</f>
        <v/>
      </c>
      <c r="AZ124" s="60"/>
      <c r="BA124" s="59" t="str">
        <f t="shared" ref="BA124" si="686">+IF(OR($F124="",AZ124=""),"",$F124*AZ124)</f>
        <v/>
      </c>
      <c r="BB124" s="60"/>
      <c r="BC124" s="59" t="str">
        <f t="shared" ref="BC124" si="687">+IF(OR($F124="",BB124=""),"",$F124*BB124)</f>
        <v/>
      </c>
      <c r="BD124" s="61">
        <f t="shared" si="539"/>
        <v>0</v>
      </c>
      <c r="BE124" s="59">
        <f t="shared" si="540"/>
        <v>0</v>
      </c>
      <c r="BF124" s="61">
        <f t="shared" si="541"/>
        <v>-30.1</v>
      </c>
      <c r="BG124" s="59">
        <f t="shared" si="542"/>
        <v>-1011.3600000000001</v>
      </c>
      <c r="BH124" s="196"/>
      <c r="BI124" s="1">
        <f t="shared" si="543"/>
        <v>0</v>
      </c>
      <c r="BJ124" s="1">
        <f t="shared" si="544"/>
        <v>0</v>
      </c>
      <c r="BK124" s="1">
        <f t="shared" si="545"/>
        <v>0</v>
      </c>
      <c r="BL124" s="1">
        <f t="shared" si="546"/>
        <v>0</v>
      </c>
      <c r="BM124" s="1">
        <f t="shared" si="547"/>
        <v>0</v>
      </c>
      <c r="BN124" s="1">
        <f t="shared" si="548"/>
        <v>0</v>
      </c>
      <c r="BO124" s="1">
        <f t="shared" si="549"/>
        <v>0</v>
      </c>
      <c r="BP124" s="1">
        <f t="shared" si="550"/>
        <v>0</v>
      </c>
      <c r="BQ124" s="1">
        <f t="shared" si="551"/>
        <v>0</v>
      </c>
      <c r="BR124" s="1">
        <f t="shared" si="552"/>
        <v>0</v>
      </c>
      <c r="BS124" s="1">
        <f t="shared" si="553"/>
        <v>0</v>
      </c>
      <c r="BT124" s="1">
        <f t="shared" si="554"/>
        <v>0</v>
      </c>
      <c r="BU124" s="1">
        <f t="shared" si="555"/>
        <v>0</v>
      </c>
      <c r="BV124" s="1">
        <f t="shared" si="556"/>
        <v>0</v>
      </c>
      <c r="BW124" s="1">
        <f t="shared" si="557"/>
        <v>0</v>
      </c>
      <c r="BX124" s="1">
        <f t="shared" si="558"/>
        <v>0</v>
      </c>
      <c r="BY124" s="1">
        <f t="shared" si="559"/>
        <v>0</v>
      </c>
      <c r="BZ124" s="1">
        <f t="shared" si="560"/>
        <v>0</v>
      </c>
      <c r="CA124" s="1">
        <f t="shared" si="561"/>
        <v>0</v>
      </c>
      <c r="CB124" s="1">
        <f t="shared" si="562"/>
        <v>0</v>
      </c>
      <c r="CC124" s="1">
        <f t="shared" si="563"/>
        <v>0</v>
      </c>
      <c r="CD124" s="1">
        <f t="shared" si="564"/>
        <v>0</v>
      </c>
      <c r="CE124" s="1">
        <f t="shared" si="565"/>
        <v>0</v>
      </c>
      <c r="CF124" s="1">
        <f t="shared" si="566"/>
        <v>0</v>
      </c>
      <c r="CG124" s="195">
        <f t="shared" si="567"/>
        <v>0</v>
      </c>
    </row>
    <row r="125" spans="3:85" ht="89.25" outlineLevel="1">
      <c r="C125" s="198" t="s">
        <v>863</v>
      </c>
      <c r="D125" s="55">
        <v>-379.1</v>
      </c>
      <c r="E125" s="88" t="s">
        <v>874</v>
      </c>
      <c r="F125" s="56">
        <v>9.83</v>
      </c>
      <c r="G125" s="57">
        <f t="shared" si="515"/>
        <v>-3726.5530000000003</v>
      </c>
      <c r="H125" s="28"/>
      <c r="I125" s="59" t="str">
        <f t="shared" si="516"/>
        <v/>
      </c>
      <c r="J125" s="60"/>
      <c r="K125" s="59" t="str">
        <f t="shared" si="517"/>
        <v/>
      </c>
      <c r="L125" s="60"/>
      <c r="M125" s="59" t="str">
        <f t="shared" si="518"/>
        <v/>
      </c>
      <c r="N125" s="60"/>
      <c r="O125" s="59" t="str">
        <f t="shared" si="519"/>
        <v/>
      </c>
      <c r="P125" s="60"/>
      <c r="Q125" s="59" t="str">
        <f t="shared" si="520"/>
        <v/>
      </c>
      <c r="R125" s="60"/>
      <c r="S125" s="59" t="str">
        <f t="shared" si="521"/>
        <v/>
      </c>
      <c r="T125" s="60"/>
      <c r="U125" s="59" t="str">
        <f t="shared" si="522"/>
        <v/>
      </c>
      <c r="V125" s="60"/>
      <c r="W125" s="59" t="str">
        <f t="shared" si="523"/>
        <v/>
      </c>
      <c r="X125" s="95"/>
      <c r="Y125" s="59" t="str">
        <f t="shared" si="524"/>
        <v/>
      </c>
      <c r="Z125" s="95"/>
      <c r="AA125" s="59" t="str">
        <f t="shared" si="525"/>
        <v/>
      </c>
      <c r="AB125" s="60"/>
      <c r="AC125" s="59" t="str">
        <f t="shared" si="526"/>
        <v/>
      </c>
      <c r="AD125" s="60"/>
      <c r="AE125" s="59" t="str">
        <f t="shared" si="527"/>
        <v/>
      </c>
      <c r="AF125" s="95"/>
      <c r="AG125" s="59" t="str">
        <f t="shared" ref="AG125" si="688">+IF(OR($F125="",AF125=""),"",$F125*AF125)</f>
        <v/>
      </c>
      <c r="AH125" s="95"/>
      <c r="AI125" s="59" t="str">
        <f t="shared" si="529"/>
        <v/>
      </c>
      <c r="AJ125" s="60"/>
      <c r="AK125" s="59" t="str">
        <f t="shared" si="529"/>
        <v/>
      </c>
      <c r="AL125" s="60"/>
      <c r="AM125" s="59" t="str">
        <f t="shared" ref="AM125" si="689">+IF(OR($F125="",AL125=""),"",$F125*AL125)</f>
        <v/>
      </c>
      <c r="AN125" s="60"/>
      <c r="AO125" s="59" t="str">
        <f t="shared" ref="AO125" si="690">+IF(OR($F125="",AN125=""),"",$F125*AN125)</f>
        <v/>
      </c>
      <c r="AP125" s="60"/>
      <c r="AQ125" s="59" t="str">
        <f t="shared" ref="AQ125" si="691">+IF(OR($F125="",AP125=""),"",$F125*AP125)</f>
        <v/>
      </c>
      <c r="AR125" s="60"/>
      <c r="AS125" s="59" t="str">
        <f t="shared" ref="AS125" si="692">+IF(OR($F125="",AR125=""),"",$F125*AR125)</f>
        <v/>
      </c>
      <c r="AT125" s="60"/>
      <c r="AU125" s="59" t="str">
        <f t="shared" ref="AU125" si="693">+IF(OR($F125="",AT125=""),"",$F125*AT125)</f>
        <v/>
      </c>
      <c r="AV125" s="60"/>
      <c r="AW125" s="59" t="str">
        <f t="shared" ref="AW125" si="694">+IF(OR($F125="",AV125=""),"",$F125*AV125)</f>
        <v/>
      </c>
      <c r="AX125" s="60"/>
      <c r="AY125" s="59" t="str">
        <f t="shared" ref="AY125" si="695">+IF(OR($F125="",AX125=""),"",$F125*AX125)</f>
        <v/>
      </c>
      <c r="AZ125" s="60"/>
      <c r="BA125" s="59" t="str">
        <f t="shared" ref="BA125" si="696">+IF(OR($F125="",AZ125=""),"",$F125*AZ125)</f>
        <v/>
      </c>
      <c r="BB125" s="60"/>
      <c r="BC125" s="59" t="str">
        <f t="shared" ref="BC125" si="697">+IF(OR($F125="",BB125=""),"",$F125*BB125)</f>
        <v/>
      </c>
      <c r="BD125" s="61">
        <f t="shared" si="539"/>
        <v>0</v>
      </c>
      <c r="BE125" s="59">
        <f t="shared" si="540"/>
        <v>0</v>
      </c>
      <c r="BF125" s="61">
        <f t="shared" si="541"/>
        <v>-379.1</v>
      </c>
      <c r="BG125" s="59">
        <f t="shared" si="542"/>
        <v>-3726.5530000000003</v>
      </c>
      <c r="BH125" s="196"/>
      <c r="BI125" s="1">
        <f t="shared" si="543"/>
        <v>0</v>
      </c>
      <c r="BJ125" s="1">
        <f t="shared" si="544"/>
        <v>0</v>
      </c>
      <c r="BK125" s="1">
        <f t="shared" si="545"/>
        <v>0</v>
      </c>
      <c r="BL125" s="1">
        <f t="shared" si="546"/>
        <v>0</v>
      </c>
      <c r="BM125" s="1">
        <f t="shared" si="547"/>
        <v>0</v>
      </c>
      <c r="BN125" s="1">
        <f t="shared" si="548"/>
        <v>0</v>
      </c>
      <c r="BO125" s="1">
        <f t="shared" si="549"/>
        <v>0</v>
      </c>
      <c r="BP125" s="1">
        <f t="shared" si="550"/>
        <v>0</v>
      </c>
      <c r="BQ125" s="1">
        <f t="shared" si="551"/>
        <v>0</v>
      </c>
      <c r="BR125" s="1">
        <f t="shared" si="552"/>
        <v>0</v>
      </c>
      <c r="BS125" s="1">
        <f t="shared" si="553"/>
        <v>0</v>
      </c>
      <c r="BT125" s="1">
        <f t="shared" si="554"/>
        <v>0</v>
      </c>
      <c r="BU125" s="1">
        <f t="shared" si="555"/>
        <v>0</v>
      </c>
      <c r="BV125" s="1">
        <f t="shared" si="556"/>
        <v>0</v>
      </c>
      <c r="BW125" s="1">
        <f t="shared" si="557"/>
        <v>0</v>
      </c>
      <c r="BX125" s="1">
        <f t="shared" si="558"/>
        <v>0</v>
      </c>
      <c r="BY125" s="1">
        <f t="shared" si="559"/>
        <v>0</v>
      </c>
      <c r="BZ125" s="1">
        <f t="shared" si="560"/>
        <v>0</v>
      </c>
      <c r="CA125" s="1">
        <f t="shared" si="561"/>
        <v>0</v>
      </c>
      <c r="CB125" s="1">
        <f t="shared" si="562"/>
        <v>0</v>
      </c>
      <c r="CC125" s="1">
        <f t="shared" si="563"/>
        <v>0</v>
      </c>
      <c r="CD125" s="1">
        <f t="shared" si="564"/>
        <v>0</v>
      </c>
      <c r="CE125" s="1">
        <f t="shared" si="565"/>
        <v>0</v>
      </c>
      <c r="CF125" s="1">
        <f t="shared" si="566"/>
        <v>0</v>
      </c>
      <c r="CG125" s="195">
        <f t="shared" si="567"/>
        <v>0</v>
      </c>
    </row>
    <row r="126" spans="3:85" ht="89.25" outlineLevel="1">
      <c r="C126" s="198" t="s">
        <v>858</v>
      </c>
      <c r="D126" s="55">
        <v>-203</v>
      </c>
      <c r="E126" s="88" t="s">
        <v>875</v>
      </c>
      <c r="F126" s="56">
        <v>18.48</v>
      </c>
      <c r="G126" s="57">
        <f t="shared" si="515"/>
        <v>-3751.44</v>
      </c>
      <c r="H126" s="28"/>
      <c r="I126" s="59" t="str">
        <f t="shared" si="516"/>
        <v/>
      </c>
      <c r="J126" s="60"/>
      <c r="K126" s="59" t="str">
        <f t="shared" si="517"/>
        <v/>
      </c>
      <c r="L126" s="60"/>
      <c r="M126" s="59" t="str">
        <f t="shared" si="518"/>
        <v/>
      </c>
      <c r="N126" s="60"/>
      <c r="O126" s="59" t="str">
        <f t="shared" si="519"/>
        <v/>
      </c>
      <c r="P126" s="60"/>
      <c r="Q126" s="59" t="str">
        <f t="shared" si="520"/>
        <v/>
      </c>
      <c r="R126" s="60"/>
      <c r="S126" s="59" t="str">
        <f t="shared" si="521"/>
        <v/>
      </c>
      <c r="T126" s="60"/>
      <c r="U126" s="59" t="str">
        <f t="shared" si="522"/>
        <v/>
      </c>
      <c r="V126" s="60"/>
      <c r="W126" s="59" t="str">
        <f t="shared" si="523"/>
        <v/>
      </c>
      <c r="X126" s="95"/>
      <c r="Y126" s="59" t="str">
        <f t="shared" si="524"/>
        <v/>
      </c>
      <c r="Z126" s="95"/>
      <c r="AA126" s="59" t="str">
        <f t="shared" si="525"/>
        <v/>
      </c>
      <c r="AB126" s="60"/>
      <c r="AC126" s="59" t="str">
        <f t="shared" si="526"/>
        <v/>
      </c>
      <c r="AD126" s="60"/>
      <c r="AE126" s="59" t="str">
        <f t="shared" si="527"/>
        <v/>
      </c>
      <c r="AF126" s="95"/>
      <c r="AG126" s="59" t="str">
        <f t="shared" ref="AG126" si="698">+IF(OR($F126="",AF126=""),"",$F126*AF126)</f>
        <v/>
      </c>
      <c r="AH126" s="95"/>
      <c r="AI126" s="59" t="str">
        <f t="shared" si="529"/>
        <v/>
      </c>
      <c r="AJ126" s="60"/>
      <c r="AK126" s="59" t="str">
        <f t="shared" si="529"/>
        <v/>
      </c>
      <c r="AL126" s="60"/>
      <c r="AM126" s="59" t="str">
        <f t="shared" ref="AM126" si="699">+IF(OR($F126="",AL126=""),"",$F126*AL126)</f>
        <v/>
      </c>
      <c r="AN126" s="60"/>
      <c r="AO126" s="59" t="str">
        <f t="shared" ref="AO126" si="700">+IF(OR($F126="",AN126=""),"",$F126*AN126)</f>
        <v/>
      </c>
      <c r="AP126" s="60"/>
      <c r="AQ126" s="59" t="str">
        <f t="shared" ref="AQ126" si="701">+IF(OR($F126="",AP126=""),"",$F126*AP126)</f>
        <v/>
      </c>
      <c r="AR126" s="60"/>
      <c r="AS126" s="59" t="str">
        <f t="shared" ref="AS126" si="702">+IF(OR($F126="",AR126=""),"",$F126*AR126)</f>
        <v/>
      </c>
      <c r="AT126" s="60"/>
      <c r="AU126" s="59" t="str">
        <f t="shared" ref="AU126" si="703">+IF(OR($F126="",AT126=""),"",$F126*AT126)</f>
        <v/>
      </c>
      <c r="AV126" s="60"/>
      <c r="AW126" s="59" t="str">
        <f t="shared" ref="AW126" si="704">+IF(OR($F126="",AV126=""),"",$F126*AV126)</f>
        <v/>
      </c>
      <c r="AX126" s="60"/>
      <c r="AY126" s="59" t="str">
        <f t="shared" ref="AY126" si="705">+IF(OR($F126="",AX126=""),"",$F126*AX126)</f>
        <v/>
      </c>
      <c r="AZ126" s="60"/>
      <c r="BA126" s="59" t="str">
        <f t="shared" ref="BA126" si="706">+IF(OR($F126="",AZ126=""),"",$F126*AZ126)</f>
        <v/>
      </c>
      <c r="BB126" s="60"/>
      <c r="BC126" s="59" t="str">
        <f t="shared" ref="BC126" si="707">+IF(OR($F126="",BB126=""),"",$F126*BB126)</f>
        <v/>
      </c>
      <c r="BD126" s="61">
        <f t="shared" si="539"/>
        <v>0</v>
      </c>
      <c r="BE126" s="59">
        <f t="shared" si="540"/>
        <v>0</v>
      </c>
      <c r="BF126" s="61">
        <f t="shared" si="541"/>
        <v>-203</v>
      </c>
      <c r="BG126" s="59">
        <f t="shared" si="542"/>
        <v>-3751.44</v>
      </c>
      <c r="BH126" s="196"/>
      <c r="BI126" s="1">
        <f t="shared" si="543"/>
        <v>0</v>
      </c>
      <c r="BJ126" s="1">
        <f t="shared" si="544"/>
        <v>0</v>
      </c>
      <c r="BK126" s="1">
        <f t="shared" si="545"/>
        <v>0</v>
      </c>
      <c r="BL126" s="1">
        <f t="shared" si="546"/>
        <v>0</v>
      </c>
      <c r="BM126" s="1">
        <f t="shared" si="547"/>
        <v>0</v>
      </c>
      <c r="BN126" s="1">
        <f t="shared" si="548"/>
        <v>0</v>
      </c>
      <c r="BO126" s="1">
        <f t="shared" si="549"/>
        <v>0</v>
      </c>
      <c r="BP126" s="1">
        <f t="shared" si="550"/>
        <v>0</v>
      </c>
      <c r="BQ126" s="1">
        <f t="shared" si="551"/>
        <v>0</v>
      </c>
      <c r="BR126" s="1">
        <f t="shared" si="552"/>
        <v>0</v>
      </c>
      <c r="BS126" s="1">
        <f t="shared" si="553"/>
        <v>0</v>
      </c>
      <c r="BT126" s="1">
        <f t="shared" si="554"/>
        <v>0</v>
      </c>
      <c r="BU126" s="1">
        <f t="shared" si="555"/>
        <v>0</v>
      </c>
      <c r="BV126" s="1">
        <f t="shared" si="556"/>
        <v>0</v>
      </c>
      <c r="BW126" s="1">
        <f t="shared" si="557"/>
        <v>0</v>
      </c>
      <c r="BX126" s="1">
        <f t="shared" si="558"/>
        <v>0</v>
      </c>
      <c r="BY126" s="1">
        <f t="shared" si="559"/>
        <v>0</v>
      </c>
      <c r="BZ126" s="1">
        <f t="shared" si="560"/>
        <v>0</v>
      </c>
      <c r="CA126" s="1">
        <f t="shared" si="561"/>
        <v>0</v>
      </c>
      <c r="CB126" s="1">
        <f t="shared" si="562"/>
        <v>0</v>
      </c>
      <c r="CC126" s="1">
        <f t="shared" si="563"/>
        <v>0</v>
      </c>
      <c r="CD126" s="1">
        <f t="shared" si="564"/>
        <v>0</v>
      </c>
      <c r="CE126" s="1">
        <f t="shared" si="565"/>
        <v>0</v>
      </c>
      <c r="CF126" s="1">
        <f t="shared" si="566"/>
        <v>0</v>
      </c>
    </row>
    <row r="127" spans="3:85" ht="38.25" outlineLevel="1">
      <c r="C127" s="198" t="s">
        <v>864</v>
      </c>
      <c r="D127" s="55">
        <v>-7</v>
      </c>
      <c r="E127" s="88" t="s">
        <v>828</v>
      </c>
      <c r="F127" s="56">
        <v>698.45</v>
      </c>
      <c r="G127" s="57">
        <f t="shared" si="515"/>
        <v>-4889.1500000000005</v>
      </c>
      <c r="H127" s="28"/>
      <c r="I127" s="59" t="str">
        <f t="shared" si="516"/>
        <v/>
      </c>
      <c r="J127" s="60"/>
      <c r="K127" s="59" t="str">
        <f t="shared" si="517"/>
        <v/>
      </c>
      <c r="L127" s="60"/>
      <c r="M127" s="59" t="str">
        <f t="shared" si="518"/>
        <v/>
      </c>
      <c r="N127" s="60"/>
      <c r="O127" s="59" t="str">
        <f t="shared" si="519"/>
        <v/>
      </c>
      <c r="P127" s="60"/>
      <c r="Q127" s="59" t="str">
        <f t="shared" si="520"/>
        <v/>
      </c>
      <c r="R127" s="60"/>
      <c r="S127" s="59" t="str">
        <f t="shared" si="521"/>
        <v/>
      </c>
      <c r="T127" s="60"/>
      <c r="U127" s="59" t="str">
        <f t="shared" si="522"/>
        <v/>
      </c>
      <c r="V127" s="60"/>
      <c r="W127" s="59" t="str">
        <f t="shared" si="523"/>
        <v/>
      </c>
      <c r="X127" s="95"/>
      <c r="Y127" s="59" t="str">
        <f t="shared" si="524"/>
        <v/>
      </c>
      <c r="Z127" s="95"/>
      <c r="AA127" s="59" t="str">
        <f t="shared" si="525"/>
        <v/>
      </c>
      <c r="AB127" s="60"/>
      <c r="AC127" s="59" t="str">
        <f t="shared" si="526"/>
        <v/>
      </c>
      <c r="AD127" s="60"/>
      <c r="AE127" s="59" t="str">
        <f t="shared" si="527"/>
        <v/>
      </c>
      <c r="AF127" s="95"/>
      <c r="AG127" s="59" t="str">
        <f t="shared" ref="AG127" si="708">+IF(OR($F127="",AF127=""),"",$F127*AF127)</f>
        <v/>
      </c>
      <c r="AH127" s="95"/>
      <c r="AI127" s="59" t="str">
        <f t="shared" si="529"/>
        <v/>
      </c>
      <c r="AJ127" s="60"/>
      <c r="AK127" s="59" t="str">
        <f t="shared" si="529"/>
        <v/>
      </c>
      <c r="AL127" s="60"/>
      <c r="AM127" s="59" t="str">
        <f t="shared" ref="AM127" si="709">+IF(OR($F127="",AL127=""),"",$F127*AL127)</f>
        <v/>
      </c>
      <c r="AN127" s="60"/>
      <c r="AO127" s="59" t="str">
        <f t="shared" ref="AO127" si="710">+IF(OR($F127="",AN127=""),"",$F127*AN127)</f>
        <v/>
      </c>
      <c r="AP127" s="60"/>
      <c r="AQ127" s="59" t="str">
        <f t="shared" ref="AQ127" si="711">+IF(OR($F127="",AP127=""),"",$F127*AP127)</f>
        <v/>
      </c>
      <c r="AR127" s="60"/>
      <c r="AS127" s="59" t="str">
        <f t="shared" ref="AS127" si="712">+IF(OR($F127="",AR127=""),"",$F127*AR127)</f>
        <v/>
      </c>
      <c r="AT127" s="60"/>
      <c r="AU127" s="59" t="str">
        <f t="shared" ref="AU127" si="713">+IF(OR($F127="",AT127=""),"",$F127*AT127)</f>
        <v/>
      </c>
      <c r="AV127" s="60"/>
      <c r="AW127" s="59" t="str">
        <f t="shared" ref="AW127" si="714">+IF(OR($F127="",AV127=""),"",$F127*AV127)</f>
        <v/>
      </c>
      <c r="AX127" s="60"/>
      <c r="AY127" s="59" t="str">
        <f t="shared" ref="AY127" si="715">+IF(OR($F127="",AX127=""),"",$F127*AX127)</f>
        <v/>
      </c>
      <c r="AZ127" s="60"/>
      <c r="BA127" s="59" t="str">
        <f t="shared" ref="BA127" si="716">+IF(OR($F127="",AZ127=""),"",$F127*AZ127)</f>
        <v/>
      </c>
      <c r="BB127" s="60"/>
      <c r="BC127" s="59" t="str">
        <f t="shared" ref="BC127" si="717">+IF(OR($F127="",BB127=""),"",$F127*BB127)</f>
        <v/>
      </c>
      <c r="BD127" s="61">
        <f t="shared" si="539"/>
        <v>0</v>
      </c>
      <c r="BE127" s="59">
        <f t="shared" si="540"/>
        <v>0</v>
      </c>
      <c r="BF127" s="61">
        <f t="shared" si="541"/>
        <v>-7</v>
      </c>
      <c r="BG127" s="59">
        <f t="shared" si="542"/>
        <v>-4889.1500000000005</v>
      </c>
      <c r="BH127" s="196"/>
      <c r="BI127" s="1">
        <f t="shared" si="543"/>
        <v>0</v>
      </c>
      <c r="BJ127" s="1">
        <f t="shared" si="544"/>
        <v>0</v>
      </c>
      <c r="BK127" s="1">
        <f t="shared" si="545"/>
        <v>0</v>
      </c>
      <c r="BL127" s="1">
        <f t="shared" si="546"/>
        <v>0</v>
      </c>
      <c r="BM127" s="1">
        <f t="shared" si="547"/>
        <v>0</v>
      </c>
      <c r="BN127" s="1">
        <f t="shared" si="548"/>
        <v>0</v>
      </c>
      <c r="BO127" s="1">
        <f t="shared" si="549"/>
        <v>0</v>
      </c>
      <c r="BP127" s="1">
        <f t="shared" si="550"/>
        <v>0</v>
      </c>
      <c r="BQ127" s="1">
        <f t="shared" si="551"/>
        <v>0</v>
      </c>
      <c r="BR127" s="1">
        <f t="shared" si="552"/>
        <v>0</v>
      </c>
      <c r="BS127" s="1">
        <f t="shared" si="553"/>
        <v>0</v>
      </c>
      <c r="BT127" s="1">
        <f t="shared" si="554"/>
        <v>0</v>
      </c>
      <c r="BU127" s="1">
        <f t="shared" si="555"/>
        <v>0</v>
      </c>
      <c r="BV127" s="1">
        <f t="shared" si="556"/>
        <v>0</v>
      </c>
      <c r="BW127" s="1">
        <f t="shared" si="557"/>
        <v>0</v>
      </c>
      <c r="BX127" s="1">
        <f t="shared" si="558"/>
        <v>0</v>
      </c>
      <c r="BY127" s="1">
        <f t="shared" si="559"/>
        <v>0</v>
      </c>
      <c r="BZ127" s="1">
        <f t="shared" si="560"/>
        <v>0</v>
      </c>
      <c r="CA127" s="1">
        <f t="shared" si="561"/>
        <v>0</v>
      </c>
      <c r="CB127" s="1">
        <f t="shared" si="562"/>
        <v>0</v>
      </c>
      <c r="CC127" s="1">
        <f t="shared" si="563"/>
        <v>0</v>
      </c>
      <c r="CD127" s="1">
        <f t="shared" si="564"/>
        <v>0</v>
      </c>
      <c r="CE127" s="1">
        <f t="shared" si="565"/>
        <v>0</v>
      </c>
      <c r="CF127" s="1">
        <f t="shared" si="566"/>
        <v>0</v>
      </c>
    </row>
    <row r="128" spans="3:85" ht="25.5" outlineLevel="1">
      <c r="C128" s="198" t="s">
        <v>852</v>
      </c>
      <c r="D128" s="55">
        <v>-4</v>
      </c>
      <c r="E128" s="88" t="s">
        <v>828</v>
      </c>
      <c r="F128" s="56">
        <v>8441.36</v>
      </c>
      <c r="G128" s="57">
        <f t="shared" si="515"/>
        <v>-33765.440000000002</v>
      </c>
      <c r="H128" s="28"/>
      <c r="I128" s="59" t="str">
        <f t="shared" si="516"/>
        <v/>
      </c>
      <c r="J128" s="60"/>
      <c r="K128" s="59" t="str">
        <f t="shared" si="517"/>
        <v/>
      </c>
      <c r="L128" s="60"/>
      <c r="M128" s="59" t="str">
        <f t="shared" si="518"/>
        <v/>
      </c>
      <c r="N128" s="60"/>
      <c r="O128" s="59" t="str">
        <f t="shared" si="519"/>
        <v/>
      </c>
      <c r="P128" s="60"/>
      <c r="Q128" s="59" t="str">
        <f t="shared" si="520"/>
        <v/>
      </c>
      <c r="R128" s="60"/>
      <c r="S128" s="59" t="str">
        <f t="shared" si="521"/>
        <v/>
      </c>
      <c r="T128" s="60"/>
      <c r="U128" s="59" t="str">
        <f t="shared" si="522"/>
        <v/>
      </c>
      <c r="V128" s="60"/>
      <c r="W128" s="59" t="str">
        <f t="shared" si="523"/>
        <v/>
      </c>
      <c r="X128" s="95"/>
      <c r="Y128" s="59" t="str">
        <f t="shared" si="524"/>
        <v/>
      </c>
      <c r="Z128" s="95"/>
      <c r="AA128" s="59" t="str">
        <f t="shared" si="525"/>
        <v/>
      </c>
      <c r="AB128" s="60"/>
      <c r="AC128" s="59" t="str">
        <f t="shared" si="526"/>
        <v/>
      </c>
      <c r="AD128" s="60"/>
      <c r="AE128" s="59" t="str">
        <f t="shared" si="527"/>
        <v/>
      </c>
      <c r="AF128" s="95"/>
      <c r="AG128" s="59" t="str">
        <f t="shared" ref="AG128" si="718">+IF(OR($F128="",AF128=""),"",$F128*AF128)</f>
        <v/>
      </c>
      <c r="AH128" s="95"/>
      <c r="AI128" s="59" t="str">
        <f t="shared" si="529"/>
        <v/>
      </c>
      <c r="AJ128" s="60"/>
      <c r="AK128" s="59" t="str">
        <f t="shared" si="529"/>
        <v/>
      </c>
      <c r="AL128" s="60"/>
      <c r="AM128" s="59" t="str">
        <f t="shared" ref="AM128" si="719">+IF(OR($F128="",AL128=""),"",$F128*AL128)</f>
        <v/>
      </c>
      <c r="AN128" s="60"/>
      <c r="AO128" s="59" t="str">
        <f t="shared" ref="AO128" si="720">+IF(OR($F128="",AN128=""),"",$F128*AN128)</f>
        <v/>
      </c>
      <c r="AP128" s="60"/>
      <c r="AQ128" s="59" t="str">
        <f t="shared" ref="AQ128" si="721">+IF(OR($F128="",AP128=""),"",$F128*AP128)</f>
        <v/>
      </c>
      <c r="AR128" s="60"/>
      <c r="AS128" s="59" t="str">
        <f t="shared" ref="AS128" si="722">+IF(OR($F128="",AR128=""),"",$F128*AR128)</f>
        <v/>
      </c>
      <c r="AT128" s="60"/>
      <c r="AU128" s="59" t="str">
        <f t="shared" ref="AU128" si="723">+IF(OR($F128="",AT128=""),"",$F128*AT128)</f>
        <v/>
      </c>
      <c r="AV128" s="60"/>
      <c r="AW128" s="59" t="str">
        <f t="shared" ref="AW128" si="724">+IF(OR($F128="",AV128=""),"",$F128*AV128)</f>
        <v/>
      </c>
      <c r="AX128" s="60"/>
      <c r="AY128" s="59" t="str">
        <f t="shared" ref="AY128" si="725">+IF(OR($F128="",AX128=""),"",$F128*AX128)</f>
        <v/>
      </c>
      <c r="AZ128" s="60"/>
      <c r="BA128" s="59" t="str">
        <f t="shared" ref="BA128" si="726">+IF(OR($F128="",AZ128=""),"",$F128*AZ128)</f>
        <v/>
      </c>
      <c r="BB128" s="60"/>
      <c r="BC128" s="59" t="str">
        <f t="shared" ref="BC128" si="727">+IF(OR($F128="",BB128=""),"",$F128*BB128)</f>
        <v/>
      </c>
      <c r="BD128" s="61">
        <f t="shared" si="539"/>
        <v>0</v>
      </c>
      <c r="BE128" s="59">
        <f t="shared" si="540"/>
        <v>0</v>
      </c>
      <c r="BF128" s="61">
        <f t="shared" si="541"/>
        <v>-4</v>
      </c>
      <c r="BG128" s="59">
        <f t="shared" si="542"/>
        <v>-33765.440000000002</v>
      </c>
      <c r="BH128" s="196"/>
      <c r="BI128" s="1">
        <f t="shared" si="543"/>
        <v>0</v>
      </c>
      <c r="BJ128" s="1">
        <f t="shared" si="544"/>
        <v>0</v>
      </c>
      <c r="BK128" s="1">
        <f t="shared" si="545"/>
        <v>0</v>
      </c>
      <c r="BL128" s="1">
        <f t="shared" si="546"/>
        <v>0</v>
      </c>
      <c r="BM128" s="1">
        <f t="shared" si="547"/>
        <v>0</v>
      </c>
      <c r="BN128" s="1">
        <f t="shared" si="548"/>
        <v>0</v>
      </c>
      <c r="BO128" s="1">
        <f t="shared" si="549"/>
        <v>0</v>
      </c>
      <c r="BP128" s="1">
        <f t="shared" si="550"/>
        <v>0</v>
      </c>
      <c r="BQ128" s="1">
        <f t="shared" si="551"/>
        <v>0</v>
      </c>
      <c r="BR128" s="1">
        <f t="shared" si="552"/>
        <v>0</v>
      </c>
      <c r="BS128" s="1">
        <f t="shared" si="553"/>
        <v>0</v>
      </c>
      <c r="BT128" s="1">
        <f t="shared" si="554"/>
        <v>0</v>
      </c>
      <c r="BU128" s="1">
        <f t="shared" si="555"/>
        <v>0</v>
      </c>
      <c r="BV128" s="1">
        <f t="shared" si="556"/>
        <v>0</v>
      </c>
      <c r="BW128" s="1">
        <f t="shared" si="557"/>
        <v>0</v>
      </c>
      <c r="BX128" s="1">
        <f t="shared" si="558"/>
        <v>0</v>
      </c>
      <c r="BY128" s="1">
        <f t="shared" si="559"/>
        <v>0</v>
      </c>
      <c r="BZ128" s="1">
        <f t="shared" si="560"/>
        <v>0</v>
      </c>
      <c r="CA128" s="1">
        <f t="shared" si="561"/>
        <v>0</v>
      </c>
      <c r="CB128" s="1">
        <f t="shared" si="562"/>
        <v>0</v>
      </c>
      <c r="CC128" s="1">
        <f t="shared" si="563"/>
        <v>0</v>
      </c>
      <c r="CD128" s="1">
        <f t="shared" si="564"/>
        <v>0</v>
      </c>
      <c r="CE128" s="1">
        <f t="shared" si="565"/>
        <v>0</v>
      </c>
      <c r="CF128" s="1">
        <f t="shared" si="566"/>
        <v>0</v>
      </c>
    </row>
    <row r="129" spans="2:85" ht="25.5" outlineLevel="1">
      <c r="C129" s="198" t="s">
        <v>865</v>
      </c>
      <c r="D129" s="55">
        <v>-1</v>
      </c>
      <c r="E129" s="88" t="s">
        <v>828</v>
      </c>
      <c r="F129" s="56">
        <v>793.7</v>
      </c>
      <c r="G129" s="57">
        <f t="shared" si="515"/>
        <v>-793.7</v>
      </c>
      <c r="H129" s="28"/>
      <c r="I129" s="59" t="str">
        <f t="shared" si="516"/>
        <v/>
      </c>
      <c r="J129" s="60"/>
      <c r="K129" s="59" t="str">
        <f t="shared" si="517"/>
        <v/>
      </c>
      <c r="L129" s="60"/>
      <c r="M129" s="59" t="str">
        <f t="shared" si="518"/>
        <v/>
      </c>
      <c r="N129" s="60"/>
      <c r="O129" s="59" t="str">
        <f t="shared" si="519"/>
        <v/>
      </c>
      <c r="P129" s="60"/>
      <c r="Q129" s="59" t="str">
        <f t="shared" si="520"/>
        <v/>
      </c>
      <c r="R129" s="60"/>
      <c r="S129" s="59" t="str">
        <f t="shared" si="521"/>
        <v/>
      </c>
      <c r="T129" s="60"/>
      <c r="U129" s="59" t="str">
        <f t="shared" si="522"/>
        <v/>
      </c>
      <c r="V129" s="60"/>
      <c r="W129" s="59" t="str">
        <f t="shared" si="523"/>
        <v/>
      </c>
      <c r="X129" s="95"/>
      <c r="Y129" s="59" t="str">
        <f t="shared" si="524"/>
        <v/>
      </c>
      <c r="Z129" s="95"/>
      <c r="AA129" s="59" t="str">
        <f t="shared" si="525"/>
        <v/>
      </c>
      <c r="AB129" s="60"/>
      <c r="AC129" s="59" t="str">
        <f t="shared" si="526"/>
        <v/>
      </c>
      <c r="AD129" s="60"/>
      <c r="AE129" s="59" t="str">
        <f t="shared" si="527"/>
        <v/>
      </c>
      <c r="AF129" s="95"/>
      <c r="AG129" s="59" t="str">
        <f t="shared" ref="AG129" si="728">+IF(OR($F129="",AF129=""),"",$F129*AF129)</f>
        <v/>
      </c>
      <c r="AH129" s="95"/>
      <c r="AI129" s="59" t="str">
        <f t="shared" si="529"/>
        <v/>
      </c>
      <c r="AJ129" s="60"/>
      <c r="AK129" s="59" t="str">
        <f t="shared" si="529"/>
        <v/>
      </c>
      <c r="AL129" s="60"/>
      <c r="AM129" s="59" t="str">
        <f t="shared" ref="AM129" si="729">+IF(OR($F129="",AL129=""),"",$F129*AL129)</f>
        <v/>
      </c>
      <c r="AN129" s="60"/>
      <c r="AO129" s="59" t="str">
        <f t="shared" ref="AO129" si="730">+IF(OR($F129="",AN129=""),"",$F129*AN129)</f>
        <v/>
      </c>
      <c r="AP129" s="60"/>
      <c r="AQ129" s="59" t="str">
        <f t="shared" ref="AQ129" si="731">+IF(OR($F129="",AP129=""),"",$F129*AP129)</f>
        <v/>
      </c>
      <c r="AR129" s="60"/>
      <c r="AS129" s="59" t="str">
        <f t="shared" ref="AS129" si="732">+IF(OR($F129="",AR129=""),"",$F129*AR129)</f>
        <v/>
      </c>
      <c r="AT129" s="60"/>
      <c r="AU129" s="59" t="str">
        <f t="shared" ref="AU129" si="733">+IF(OR($F129="",AT129=""),"",$F129*AT129)</f>
        <v/>
      </c>
      <c r="AV129" s="60"/>
      <c r="AW129" s="59" t="str">
        <f t="shared" ref="AW129" si="734">+IF(OR($F129="",AV129=""),"",$F129*AV129)</f>
        <v/>
      </c>
      <c r="AX129" s="60"/>
      <c r="AY129" s="59" t="str">
        <f t="shared" ref="AY129" si="735">+IF(OR($F129="",AX129=""),"",$F129*AX129)</f>
        <v/>
      </c>
      <c r="AZ129" s="60"/>
      <c r="BA129" s="59" t="str">
        <f t="shared" ref="BA129" si="736">+IF(OR($F129="",AZ129=""),"",$F129*AZ129)</f>
        <v/>
      </c>
      <c r="BB129" s="60"/>
      <c r="BC129" s="59" t="str">
        <f t="shared" ref="BC129" si="737">+IF(OR($F129="",BB129=""),"",$F129*BB129)</f>
        <v/>
      </c>
      <c r="BD129" s="61">
        <f t="shared" si="539"/>
        <v>0</v>
      </c>
      <c r="BE129" s="59">
        <f t="shared" si="540"/>
        <v>0</v>
      </c>
      <c r="BF129" s="61">
        <f t="shared" si="541"/>
        <v>-1</v>
      </c>
      <c r="BG129" s="59">
        <f t="shared" si="542"/>
        <v>-793.7</v>
      </c>
      <c r="BH129" s="196"/>
      <c r="BI129" s="1">
        <f t="shared" si="543"/>
        <v>0</v>
      </c>
      <c r="BJ129" s="1">
        <f t="shared" si="544"/>
        <v>0</v>
      </c>
      <c r="BK129" s="1">
        <f t="shared" si="545"/>
        <v>0</v>
      </c>
      <c r="BL129" s="1">
        <f t="shared" si="546"/>
        <v>0</v>
      </c>
      <c r="BM129" s="1">
        <f t="shared" si="547"/>
        <v>0</v>
      </c>
      <c r="BN129" s="1">
        <f t="shared" si="548"/>
        <v>0</v>
      </c>
      <c r="BO129" s="1">
        <f t="shared" si="549"/>
        <v>0</v>
      </c>
      <c r="BP129" s="1">
        <f t="shared" si="550"/>
        <v>0</v>
      </c>
      <c r="BQ129" s="1">
        <f t="shared" si="551"/>
        <v>0</v>
      </c>
      <c r="BR129" s="1">
        <f t="shared" si="552"/>
        <v>0</v>
      </c>
      <c r="BS129" s="1">
        <f t="shared" si="553"/>
        <v>0</v>
      </c>
      <c r="BT129" s="1">
        <f t="shared" si="554"/>
        <v>0</v>
      </c>
      <c r="BU129" s="1">
        <f t="shared" si="555"/>
        <v>0</v>
      </c>
      <c r="BV129" s="1">
        <f t="shared" si="556"/>
        <v>0</v>
      </c>
      <c r="BW129" s="1">
        <f t="shared" si="557"/>
        <v>0</v>
      </c>
      <c r="BX129" s="1">
        <f t="shared" si="558"/>
        <v>0</v>
      </c>
      <c r="BY129" s="1">
        <f t="shared" si="559"/>
        <v>0</v>
      </c>
      <c r="BZ129" s="1">
        <f t="shared" si="560"/>
        <v>0</v>
      </c>
      <c r="CA129" s="1">
        <f t="shared" si="561"/>
        <v>0</v>
      </c>
      <c r="CB129" s="1">
        <f t="shared" si="562"/>
        <v>0</v>
      </c>
      <c r="CC129" s="1">
        <f t="shared" si="563"/>
        <v>0</v>
      </c>
      <c r="CD129" s="1">
        <f t="shared" si="564"/>
        <v>0</v>
      </c>
      <c r="CE129" s="1">
        <f t="shared" si="565"/>
        <v>0</v>
      </c>
      <c r="CF129" s="1">
        <f t="shared" si="566"/>
        <v>0</v>
      </c>
    </row>
    <row r="130" spans="2:85" ht="38.25" outlineLevel="1">
      <c r="C130" s="198" t="s">
        <v>851</v>
      </c>
      <c r="D130" s="55">
        <v>-7</v>
      </c>
      <c r="E130" s="88" t="s">
        <v>828</v>
      </c>
      <c r="F130" s="56">
        <v>578.89</v>
      </c>
      <c r="G130" s="57">
        <f t="shared" si="515"/>
        <v>-4052.23</v>
      </c>
      <c r="H130" s="28"/>
      <c r="I130" s="59" t="str">
        <f t="shared" si="516"/>
        <v/>
      </c>
      <c r="J130" s="60"/>
      <c r="K130" s="59" t="str">
        <f t="shared" si="517"/>
        <v/>
      </c>
      <c r="L130" s="60"/>
      <c r="M130" s="59" t="str">
        <f t="shared" si="518"/>
        <v/>
      </c>
      <c r="N130" s="60"/>
      <c r="O130" s="59" t="str">
        <f t="shared" si="519"/>
        <v/>
      </c>
      <c r="P130" s="60"/>
      <c r="Q130" s="59" t="str">
        <f t="shared" si="520"/>
        <v/>
      </c>
      <c r="R130" s="60"/>
      <c r="S130" s="59" t="str">
        <f t="shared" si="521"/>
        <v/>
      </c>
      <c r="T130" s="60"/>
      <c r="U130" s="59" t="str">
        <f t="shared" si="522"/>
        <v/>
      </c>
      <c r="V130" s="60"/>
      <c r="W130" s="59" t="str">
        <f t="shared" si="523"/>
        <v/>
      </c>
      <c r="X130" s="95"/>
      <c r="Y130" s="59" t="str">
        <f t="shared" si="524"/>
        <v/>
      </c>
      <c r="Z130" s="95"/>
      <c r="AA130" s="59" t="str">
        <f t="shared" si="525"/>
        <v/>
      </c>
      <c r="AB130" s="60"/>
      <c r="AC130" s="59" t="str">
        <f t="shared" si="526"/>
        <v/>
      </c>
      <c r="AD130" s="60"/>
      <c r="AE130" s="59" t="str">
        <f t="shared" si="527"/>
        <v/>
      </c>
      <c r="AF130" s="95"/>
      <c r="AG130" s="59" t="str">
        <f t="shared" ref="AG130" si="738">+IF(OR($F130="",AF130=""),"",$F130*AF130)</f>
        <v/>
      </c>
      <c r="AH130" s="95"/>
      <c r="AI130" s="59" t="str">
        <f t="shared" si="529"/>
        <v/>
      </c>
      <c r="AJ130" s="60"/>
      <c r="AK130" s="59" t="str">
        <f t="shared" si="529"/>
        <v/>
      </c>
      <c r="AL130" s="60"/>
      <c r="AM130" s="59" t="str">
        <f t="shared" ref="AM130" si="739">+IF(OR($F130="",AL130=""),"",$F130*AL130)</f>
        <v/>
      </c>
      <c r="AN130" s="60"/>
      <c r="AO130" s="59" t="str">
        <f t="shared" ref="AO130" si="740">+IF(OR($F130="",AN130=""),"",$F130*AN130)</f>
        <v/>
      </c>
      <c r="AP130" s="60"/>
      <c r="AQ130" s="59" t="str">
        <f t="shared" ref="AQ130" si="741">+IF(OR($F130="",AP130=""),"",$F130*AP130)</f>
        <v/>
      </c>
      <c r="AR130" s="60"/>
      <c r="AS130" s="59" t="str">
        <f t="shared" ref="AS130" si="742">+IF(OR($F130="",AR130=""),"",$F130*AR130)</f>
        <v/>
      </c>
      <c r="AT130" s="60"/>
      <c r="AU130" s="59" t="str">
        <f t="shared" ref="AU130" si="743">+IF(OR($F130="",AT130=""),"",$F130*AT130)</f>
        <v/>
      </c>
      <c r="AV130" s="60"/>
      <c r="AW130" s="59" t="str">
        <f t="shared" ref="AW130" si="744">+IF(OR($F130="",AV130=""),"",$F130*AV130)</f>
        <v/>
      </c>
      <c r="AX130" s="60"/>
      <c r="AY130" s="59" t="str">
        <f t="shared" ref="AY130" si="745">+IF(OR($F130="",AX130=""),"",$F130*AX130)</f>
        <v/>
      </c>
      <c r="AZ130" s="60"/>
      <c r="BA130" s="59" t="str">
        <f t="shared" ref="BA130" si="746">+IF(OR($F130="",AZ130=""),"",$F130*AZ130)</f>
        <v/>
      </c>
      <c r="BB130" s="60"/>
      <c r="BC130" s="59" t="str">
        <f t="shared" ref="BC130" si="747">+IF(OR($F130="",BB130=""),"",$F130*BB130)</f>
        <v/>
      </c>
      <c r="BD130" s="61">
        <f t="shared" si="539"/>
        <v>0</v>
      </c>
      <c r="BE130" s="59">
        <f t="shared" si="540"/>
        <v>0</v>
      </c>
      <c r="BF130" s="61">
        <f t="shared" si="541"/>
        <v>-7</v>
      </c>
      <c r="BG130" s="59">
        <f t="shared" si="542"/>
        <v>-4052.23</v>
      </c>
      <c r="BH130" s="196"/>
      <c r="BI130" s="1">
        <f t="shared" si="543"/>
        <v>0</v>
      </c>
      <c r="BJ130" s="1">
        <f t="shared" si="544"/>
        <v>0</v>
      </c>
      <c r="BK130" s="1">
        <f t="shared" si="545"/>
        <v>0</v>
      </c>
      <c r="BL130" s="1">
        <f t="shared" si="546"/>
        <v>0</v>
      </c>
      <c r="BM130" s="1">
        <f t="shared" si="547"/>
        <v>0</v>
      </c>
      <c r="BN130" s="1">
        <f t="shared" si="548"/>
        <v>0</v>
      </c>
      <c r="BO130" s="1">
        <f t="shared" si="549"/>
        <v>0</v>
      </c>
      <c r="BP130" s="1">
        <f t="shared" si="550"/>
        <v>0</v>
      </c>
      <c r="BQ130" s="1">
        <f t="shared" si="551"/>
        <v>0</v>
      </c>
      <c r="BR130" s="1">
        <f t="shared" si="552"/>
        <v>0</v>
      </c>
      <c r="BS130" s="1">
        <f t="shared" si="553"/>
        <v>0</v>
      </c>
      <c r="BT130" s="1">
        <f t="shared" si="554"/>
        <v>0</v>
      </c>
      <c r="BU130" s="1">
        <f t="shared" si="555"/>
        <v>0</v>
      </c>
      <c r="BV130" s="1">
        <f t="shared" si="556"/>
        <v>0</v>
      </c>
      <c r="BW130" s="1">
        <f t="shared" si="557"/>
        <v>0</v>
      </c>
      <c r="BX130" s="1">
        <f t="shared" si="558"/>
        <v>0</v>
      </c>
      <c r="BY130" s="1">
        <f t="shared" si="559"/>
        <v>0</v>
      </c>
      <c r="BZ130" s="1">
        <f t="shared" si="560"/>
        <v>0</v>
      </c>
      <c r="CA130" s="1">
        <f t="shared" si="561"/>
        <v>0</v>
      </c>
      <c r="CB130" s="1">
        <f t="shared" si="562"/>
        <v>0</v>
      </c>
      <c r="CC130" s="1">
        <f t="shared" si="563"/>
        <v>0</v>
      </c>
      <c r="CD130" s="1">
        <f t="shared" si="564"/>
        <v>0</v>
      </c>
      <c r="CE130" s="1">
        <f t="shared" si="565"/>
        <v>0</v>
      </c>
      <c r="CF130" s="1">
        <f t="shared" si="566"/>
        <v>0</v>
      </c>
    </row>
    <row r="131" spans="2:85" ht="76.5" outlineLevel="1">
      <c r="C131" s="198" t="s">
        <v>862</v>
      </c>
      <c r="D131" s="55">
        <v>386.07</v>
      </c>
      <c r="E131" s="88" t="s">
        <v>874</v>
      </c>
      <c r="F131" s="56">
        <v>37.200000000000003</v>
      </c>
      <c r="G131" s="57">
        <f t="shared" si="515"/>
        <v>14361.804</v>
      </c>
      <c r="H131" s="28"/>
      <c r="I131" s="59" t="str">
        <f t="shared" si="516"/>
        <v/>
      </c>
      <c r="J131" s="60"/>
      <c r="K131" s="59" t="str">
        <f t="shared" si="517"/>
        <v/>
      </c>
      <c r="L131" s="60"/>
      <c r="M131" s="59" t="str">
        <f t="shared" si="518"/>
        <v/>
      </c>
      <c r="N131" s="60"/>
      <c r="O131" s="59" t="str">
        <f t="shared" si="519"/>
        <v/>
      </c>
      <c r="P131" s="60"/>
      <c r="Q131" s="59" t="str">
        <f t="shared" si="520"/>
        <v/>
      </c>
      <c r="R131" s="60"/>
      <c r="S131" s="59" t="str">
        <f t="shared" si="521"/>
        <v/>
      </c>
      <c r="T131" s="60"/>
      <c r="U131" s="59" t="str">
        <f t="shared" si="522"/>
        <v/>
      </c>
      <c r="V131" s="60"/>
      <c r="W131" s="59" t="str">
        <f t="shared" si="523"/>
        <v/>
      </c>
      <c r="X131" s="95"/>
      <c r="Y131" s="59" t="str">
        <f t="shared" si="524"/>
        <v/>
      </c>
      <c r="Z131" s="95"/>
      <c r="AA131" s="59" t="str">
        <f t="shared" si="525"/>
        <v/>
      </c>
      <c r="AB131" s="60"/>
      <c r="AC131" s="59" t="str">
        <f t="shared" si="526"/>
        <v/>
      </c>
      <c r="AD131" s="60"/>
      <c r="AE131" s="59" t="str">
        <f t="shared" si="527"/>
        <v/>
      </c>
      <c r="AF131" s="95"/>
      <c r="AG131" s="59" t="str">
        <f t="shared" ref="AG131" si="748">+IF(OR($F131="",AF131=""),"",$F131*AF131)</f>
        <v/>
      </c>
      <c r="AH131" s="95"/>
      <c r="AI131" s="59" t="str">
        <f t="shared" si="529"/>
        <v/>
      </c>
      <c r="AJ131" s="60"/>
      <c r="AK131" s="59" t="str">
        <f t="shared" si="529"/>
        <v/>
      </c>
      <c r="AL131" s="60"/>
      <c r="AM131" s="59" t="str">
        <f t="shared" ref="AM131" si="749">+IF(OR($F131="",AL131=""),"",$F131*AL131)</f>
        <v/>
      </c>
      <c r="AN131" s="60"/>
      <c r="AO131" s="59" t="str">
        <f t="shared" ref="AO131" si="750">+IF(OR($F131="",AN131=""),"",$F131*AN131)</f>
        <v/>
      </c>
      <c r="AP131" s="60"/>
      <c r="AQ131" s="59" t="str">
        <f t="shared" ref="AQ131" si="751">+IF(OR($F131="",AP131=""),"",$F131*AP131)</f>
        <v/>
      </c>
      <c r="AR131" s="60"/>
      <c r="AS131" s="59" t="str">
        <f t="shared" ref="AS131" si="752">+IF(OR($F131="",AR131=""),"",$F131*AR131)</f>
        <v/>
      </c>
      <c r="AT131" s="60"/>
      <c r="AU131" s="59" t="str">
        <f t="shared" ref="AU131" si="753">+IF(OR($F131="",AT131=""),"",$F131*AT131)</f>
        <v/>
      </c>
      <c r="AV131" s="60"/>
      <c r="AW131" s="59" t="str">
        <f t="shared" ref="AW131" si="754">+IF(OR($F131="",AV131=""),"",$F131*AV131)</f>
        <v/>
      </c>
      <c r="AX131" s="60"/>
      <c r="AY131" s="59" t="str">
        <f t="shared" ref="AY131" si="755">+IF(OR($F131="",AX131=""),"",$F131*AX131)</f>
        <v/>
      </c>
      <c r="AZ131" s="60"/>
      <c r="BA131" s="59" t="str">
        <f t="shared" ref="BA131" si="756">+IF(OR($F131="",AZ131=""),"",$F131*AZ131)</f>
        <v/>
      </c>
      <c r="BB131" s="60"/>
      <c r="BC131" s="59" t="str">
        <f t="shared" ref="BC131" si="757">+IF(OR($F131="",BB131=""),"",$F131*BB131)</f>
        <v/>
      </c>
      <c r="BD131" s="61">
        <f t="shared" si="539"/>
        <v>0</v>
      </c>
      <c r="BE131" s="59">
        <f t="shared" si="540"/>
        <v>0</v>
      </c>
      <c r="BF131" s="61">
        <f t="shared" si="541"/>
        <v>386.07</v>
      </c>
      <c r="BG131" s="59">
        <f t="shared" si="542"/>
        <v>14361.804</v>
      </c>
      <c r="BH131" s="196"/>
      <c r="BI131" s="1">
        <f t="shared" si="543"/>
        <v>0</v>
      </c>
      <c r="BJ131" s="1">
        <f t="shared" si="544"/>
        <v>0</v>
      </c>
      <c r="BK131" s="1">
        <f t="shared" si="545"/>
        <v>0</v>
      </c>
      <c r="BL131" s="1">
        <f t="shared" si="546"/>
        <v>0</v>
      </c>
      <c r="BM131" s="1">
        <f t="shared" si="547"/>
        <v>0</v>
      </c>
      <c r="BN131" s="1">
        <f t="shared" si="548"/>
        <v>0</v>
      </c>
      <c r="BO131" s="1">
        <f t="shared" si="549"/>
        <v>0</v>
      </c>
      <c r="BP131" s="1">
        <f t="shared" si="550"/>
        <v>0</v>
      </c>
      <c r="BQ131" s="1">
        <f t="shared" si="551"/>
        <v>0</v>
      </c>
      <c r="BR131" s="1">
        <f t="shared" si="552"/>
        <v>0</v>
      </c>
      <c r="BS131" s="1">
        <f t="shared" si="553"/>
        <v>0</v>
      </c>
      <c r="BT131" s="1">
        <f t="shared" si="554"/>
        <v>0</v>
      </c>
      <c r="BU131" s="1">
        <f t="shared" si="555"/>
        <v>0</v>
      </c>
      <c r="BV131" s="1">
        <f t="shared" si="556"/>
        <v>0</v>
      </c>
      <c r="BW131" s="1">
        <f t="shared" si="557"/>
        <v>0</v>
      </c>
      <c r="BX131" s="1">
        <f t="shared" si="558"/>
        <v>0</v>
      </c>
      <c r="BY131" s="1">
        <f t="shared" si="559"/>
        <v>0</v>
      </c>
      <c r="BZ131" s="1">
        <f t="shared" si="560"/>
        <v>0</v>
      </c>
      <c r="CA131" s="1">
        <f t="shared" si="561"/>
        <v>0</v>
      </c>
      <c r="CB131" s="1">
        <f t="shared" si="562"/>
        <v>0</v>
      </c>
      <c r="CC131" s="1">
        <f t="shared" si="563"/>
        <v>0</v>
      </c>
      <c r="CD131" s="1">
        <f t="shared" si="564"/>
        <v>0</v>
      </c>
      <c r="CE131" s="1">
        <f t="shared" si="565"/>
        <v>0</v>
      </c>
      <c r="CF131" s="1">
        <f t="shared" si="566"/>
        <v>0</v>
      </c>
      <c r="CG131" s="215">
        <f t="shared" ref="CG131:CG142" si="758">+AH131/D131</f>
        <v>0</v>
      </c>
    </row>
    <row r="132" spans="2:85" ht="76.5" outlineLevel="1">
      <c r="C132" s="198" t="s">
        <v>850</v>
      </c>
      <c r="D132" s="55">
        <v>27.5</v>
      </c>
      <c r="E132" s="88" t="s">
        <v>874</v>
      </c>
      <c r="F132" s="56">
        <v>49.2</v>
      </c>
      <c r="G132" s="57">
        <f t="shared" si="515"/>
        <v>1353</v>
      </c>
      <c r="H132" s="28"/>
      <c r="I132" s="59" t="str">
        <f t="shared" si="516"/>
        <v/>
      </c>
      <c r="J132" s="60"/>
      <c r="K132" s="59" t="str">
        <f t="shared" si="517"/>
        <v/>
      </c>
      <c r="L132" s="60"/>
      <c r="M132" s="59" t="str">
        <f t="shared" si="518"/>
        <v/>
      </c>
      <c r="N132" s="60"/>
      <c r="O132" s="59" t="str">
        <f t="shared" si="519"/>
        <v/>
      </c>
      <c r="P132" s="60"/>
      <c r="Q132" s="59" t="str">
        <f t="shared" si="520"/>
        <v/>
      </c>
      <c r="R132" s="60"/>
      <c r="S132" s="59" t="str">
        <f t="shared" si="521"/>
        <v/>
      </c>
      <c r="T132" s="60"/>
      <c r="U132" s="59" t="str">
        <f t="shared" si="522"/>
        <v/>
      </c>
      <c r="V132" s="60"/>
      <c r="W132" s="59" t="str">
        <f t="shared" si="523"/>
        <v/>
      </c>
      <c r="X132" s="95"/>
      <c r="Y132" s="59" t="str">
        <f t="shared" si="524"/>
        <v/>
      </c>
      <c r="Z132" s="95"/>
      <c r="AA132" s="59" t="str">
        <f t="shared" si="525"/>
        <v/>
      </c>
      <c r="AB132" s="60"/>
      <c r="AC132" s="59" t="str">
        <f t="shared" si="526"/>
        <v/>
      </c>
      <c r="AD132" s="60"/>
      <c r="AE132" s="59" t="str">
        <f t="shared" si="527"/>
        <v/>
      </c>
      <c r="AF132" s="95"/>
      <c r="AG132" s="59" t="str">
        <f t="shared" ref="AG132" si="759">+IF(OR($F132="",AF132=""),"",$F132*AF132)</f>
        <v/>
      </c>
      <c r="AH132" s="95"/>
      <c r="AI132" s="59" t="str">
        <f t="shared" si="529"/>
        <v/>
      </c>
      <c r="AJ132" s="60"/>
      <c r="AK132" s="59" t="str">
        <f t="shared" si="529"/>
        <v/>
      </c>
      <c r="AL132" s="60"/>
      <c r="AM132" s="59" t="str">
        <f t="shared" ref="AM132" si="760">+IF(OR($F132="",AL132=""),"",$F132*AL132)</f>
        <v/>
      </c>
      <c r="AN132" s="60"/>
      <c r="AO132" s="59" t="str">
        <f t="shared" ref="AO132" si="761">+IF(OR($F132="",AN132=""),"",$F132*AN132)</f>
        <v/>
      </c>
      <c r="AP132" s="60"/>
      <c r="AQ132" s="59" t="str">
        <f t="shared" ref="AQ132" si="762">+IF(OR($F132="",AP132=""),"",$F132*AP132)</f>
        <v/>
      </c>
      <c r="AR132" s="60"/>
      <c r="AS132" s="59" t="str">
        <f t="shared" ref="AS132" si="763">+IF(OR($F132="",AR132=""),"",$F132*AR132)</f>
        <v/>
      </c>
      <c r="AT132" s="60"/>
      <c r="AU132" s="59" t="str">
        <f t="shared" ref="AU132" si="764">+IF(OR($F132="",AT132=""),"",$F132*AT132)</f>
        <v/>
      </c>
      <c r="AV132" s="60"/>
      <c r="AW132" s="59" t="str">
        <f t="shared" ref="AW132" si="765">+IF(OR($F132="",AV132=""),"",$F132*AV132)</f>
        <v/>
      </c>
      <c r="AX132" s="60"/>
      <c r="AY132" s="59" t="str">
        <f t="shared" ref="AY132" si="766">+IF(OR($F132="",AX132=""),"",$F132*AX132)</f>
        <v/>
      </c>
      <c r="AZ132" s="60"/>
      <c r="BA132" s="59" t="str">
        <f t="shared" ref="BA132" si="767">+IF(OR($F132="",AZ132=""),"",$F132*AZ132)</f>
        <v/>
      </c>
      <c r="BB132" s="60"/>
      <c r="BC132" s="59" t="str">
        <f t="shared" ref="BC132" si="768">+IF(OR($F132="",BB132=""),"",$F132*BB132)</f>
        <v/>
      </c>
      <c r="BD132" s="61">
        <f t="shared" si="539"/>
        <v>0</v>
      </c>
      <c r="BE132" s="59">
        <f t="shared" si="540"/>
        <v>0</v>
      </c>
      <c r="BF132" s="61">
        <f t="shared" si="541"/>
        <v>27.5</v>
      </c>
      <c r="BG132" s="59">
        <f t="shared" si="542"/>
        <v>1353</v>
      </c>
      <c r="BH132" s="196"/>
      <c r="BI132" s="1">
        <f t="shared" si="543"/>
        <v>0</v>
      </c>
      <c r="BJ132" s="1">
        <f t="shared" si="544"/>
        <v>0</v>
      </c>
      <c r="BK132" s="1">
        <f t="shared" si="545"/>
        <v>0</v>
      </c>
      <c r="BL132" s="1">
        <f t="shared" si="546"/>
        <v>0</v>
      </c>
      <c r="BM132" s="1">
        <f t="shared" si="547"/>
        <v>0</v>
      </c>
      <c r="BN132" s="1">
        <f t="shared" si="548"/>
        <v>0</v>
      </c>
      <c r="BO132" s="1">
        <f t="shared" si="549"/>
        <v>0</v>
      </c>
      <c r="BP132" s="1">
        <f t="shared" si="550"/>
        <v>0</v>
      </c>
      <c r="BQ132" s="1">
        <f t="shared" si="551"/>
        <v>0</v>
      </c>
      <c r="BR132" s="1">
        <f t="shared" si="552"/>
        <v>0</v>
      </c>
      <c r="BS132" s="1">
        <f t="shared" si="553"/>
        <v>0</v>
      </c>
      <c r="BT132" s="1">
        <f t="shared" si="554"/>
        <v>0</v>
      </c>
      <c r="BU132" s="1">
        <f t="shared" si="555"/>
        <v>0</v>
      </c>
      <c r="BV132" s="1">
        <f t="shared" si="556"/>
        <v>0</v>
      </c>
      <c r="BW132" s="1">
        <f t="shared" si="557"/>
        <v>0</v>
      </c>
      <c r="BX132" s="1">
        <f t="shared" si="558"/>
        <v>0</v>
      </c>
      <c r="BY132" s="1">
        <f t="shared" si="559"/>
        <v>0</v>
      </c>
      <c r="BZ132" s="1">
        <f t="shared" si="560"/>
        <v>0</v>
      </c>
      <c r="CA132" s="1">
        <f t="shared" si="561"/>
        <v>0</v>
      </c>
      <c r="CB132" s="1">
        <f t="shared" si="562"/>
        <v>0</v>
      </c>
      <c r="CC132" s="1">
        <f t="shared" si="563"/>
        <v>0</v>
      </c>
      <c r="CD132" s="1">
        <f t="shared" si="564"/>
        <v>0</v>
      </c>
      <c r="CE132" s="1">
        <f t="shared" si="565"/>
        <v>0</v>
      </c>
      <c r="CF132" s="1">
        <f t="shared" si="566"/>
        <v>0</v>
      </c>
      <c r="CG132" s="215">
        <f t="shared" si="758"/>
        <v>0</v>
      </c>
    </row>
    <row r="133" spans="2:85" ht="76.5" outlineLevel="1">
      <c r="C133" s="198" t="s">
        <v>849</v>
      </c>
      <c r="D133" s="55">
        <v>195.28</v>
      </c>
      <c r="E133" s="88" t="s">
        <v>874</v>
      </c>
      <c r="F133" s="56">
        <v>40.200000000000003</v>
      </c>
      <c r="G133" s="57">
        <f t="shared" si="515"/>
        <v>7850.2560000000003</v>
      </c>
      <c r="H133" s="28"/>
      <c r="I133" s="59" t="str">
        <f t="shared" si="516"/>
        <v/>
      </c>
      <c r="J133" s="60"/>
      <c r="K133" s="59" t="str">
        <f t="shared" si="517"/>
        <v/>
      </c>
      <c r="L133" s="60"/>
      <c r="M133" s="59" t="str">
        <f t="shared" si="518"/>
        <v/>
      </c>
      <c r="N133" s="60"/>
      <c r="O133" s="59" t="str">
        <f t="shared" si="519"/>
        <v/>
      </c>
      <c r="P133" s="60"/>
      <c r="Q133" s="59" t="str">
        <f t="shared" si="520"/>
        <v/>
      </c>
      <c r="R133" s="60"/>
      <c r="S133" s="59" t="str">
        <f t="shared" si="521"/>
        <v/>
      </c>
      <c r="T133" s="60"/>
      <c r="U133" s="59" t="str">
        <f t="shared" si="522"/>
        <v/>
      </c>
      <c r="V133" s="60"/>
      <c r="W133" s="59" t="str">
        <f t="shared" si="523"/>
        <v/>
      </c>
      <c r="X133" s="95"/>
      <c r="Y133" s="59" t="str">
        <f t="shared" si="524"/>
        <v/>
      </c>
      <c r="Z133" s="95"/>
      <c r="AA133" s="59" t="str">
        <f t="shared" si="525"/>
        <v/>
      </c>
      <c r="AB133" s="60"/>
      <c r="AC133" s="59" t="str">
        <f t="shared" si="526"/>
        <v/>
      </c>
      <c r="AD133" s="60"/>
      <c r="AE133" s="59" t="str">
        <f t="shared" si="527"/>
        <v/>
      </c>
      <c r="AF133" s="95"/>
      <c r="AG133" s="59" t="str">
        <f t="shared" ref="AG133" si="769">+IF(OR($F133="",AF133=""),"",$F133*AF133)</f>
        <v/>
      </c>
      <c r="AH133" s="95"/>
      <c r="AI133" s="59" t="str">
        <f t="shared" si="529"/>
        <v/>
      </c>
      <c r="AJ133" s="60"/>
      <c r="AK133" s="59" t="str">
        <f t="shared" si="529"/>
        <v/>
      </c>
      <c r="AL133" s="60"/>
      <c r="AM133" s="59" t="str">
        <f t="shared" ref="AM133" si="770">+IF(OR($F133="",AL133=""),"",$F133*AL133)</f>
        <v/>
      </c>
      <c r="AN133" s="60"/>
      <c r="AO133" s="59" t="str">
        <f t="shared" ref="AO133" si="771">+IF(OR($F133="",AN133=""),"",$F133*AN133)</f>
        <v/>
      </c>
      <c r="AP133" s="60"/>
      <c r="AQ133" s="59" t="str">
        <f t="shared" ref="AQ133" si="772">+IF(OR($F133="",AP133=""),"",$F133*AP133)</f>
        <v/>
      </c>
      <c r="AR133" s="60"/>
      <c r="AS133" s="59" t="str">
        <f t="shared" ref="AS133" si="773">+IF(OR($F133="",AR133=""),"",$F133*AR133)</f>
        <v/>
      </c>
      <c r="AT133" s="60"/>
      <c r="AU133" s="59" t="str">
        <f t="shared" ref="AU133" si="774">+IF(OR($F133="",AT133=""),"",$F133*AT133)</f>
        <v/>
      </c>
      <c r="AV133" s="60"/>
      <c r="AW133" s="59" t="str">
        <f t="shared" ref="AW133" si="775">+IF(OR($F133="",AV133=""),"",$F133*AV133)</f>
        <v/>
      </c>
      <c r="AX133" s="60"/>
      <c r="AY133" s="59" t="str">
        <f t="shared" ref="AY133" si="776">+IF(OR($F133="",AX133=""),"",$F133*AX133)</f>
        <v/>
      </c>
      <c r="AZ133" s="60"/>
      <c r="BA133" s="59" t="str">
        <f t="shared" ref="BA133" si="777">+IF(OR($F133="",AZ133=""),"",$F133*AZ133)</f>
        <v/>
      </c>
      <c r="BB133" s="60"/>
      <c r="BC133" s="59" t="str">
        <f t="shared" ref="BC133" si="778">+IF(OR($F133="",BB133=""),"",$F133*BB133)</f>
        <v/>
      </c>
      <c r="BD133" s="61">
        <f t="shared" si="539"/>
        <v>0</v>
      </c>
      <c r="BE133" s="59">
        <f t="shared" si="540"/>
        <v>0</v>
      </c>
      <c r="BF133" s="61">
        <f t="shared" si="541"/>
        <v>195.28</v>
      </c>
      <c r="BG133" s="59">
        <f t="shared" si="542"/>
        <v>7850.2560000000003</v>
      </c>
      <c r="BH133" s="196"/>
      <c r="BI133" s="1">
        <f t="shared" si="543"/>
        <v>0</v>
      </c>
      <c r="BJ133" s="1">
        <f t="shared" si="544"/>
        <v>0</v>
      </c>
      <c r="BK133" s="1">
        <f t="shared" si="545"/>
        <v>0</v>
      </c>
      <c r="BL133" s="1">
        <f t="shared" si="546"/>
        <v>0</v>
      </c>
      <c r="BM133" s="1">
        <f t="shared" si="547"/>
        <v>0</v>
      </c>
      <c r="BN133" s="1">
        <f t="shared" si="548"/>
        <v>0</v>
      </c>
      <c r="BO133" s="1">
        <f t="shared" si="549"/>
        <v>0</v>
      </c>
      <c r="BP133" s="1">
        <f t="shared" si="550"/>
        <v>0</v>
      </c>
      <c r="BQ133" s="1">
        <f t="shared" si="551"/>
        <v>0</v>
      </c>
      <c r="BR133" s="1">
        <f t="shared" si="552"/>
        <v>0</v>
      </c>
      <c r="BS133" s="1">
        <f t="shared" si="553"/>
        <v>0</v>
      </c>
      <c r="BT133" s="1">
        <f t="shared" si="554"/>
        <v>0</v>
      </c>
      <c r="BU133" s="1">
        <f t="shared" si="555"/>
        <v>0</v>
      </c>
      <c r="BV133" s="1">
        <f t="shared" si="556"/>
        <v>0</v>
      </c>
      <c r="BW133" s="1">
        <f t="shared" si="557"/>
        <v>0</v>
      </c>
      <c r="BX133" s="1">
        <f t="shared" si="558"/>
        <v>0</v>
      </c>
      <c r="BY133" s="1">
        <f t="shared" si="559"/>
        <v>0</v>
      </c>
      <c r="BZ133" s="1">
        <f t="shared" si="560"/>
        <v>0</v>
      </c>
      <c r="CA133" s="1">
        <f t="shared" si="561"/>
        <v>0</v>
      </c>
      <c r="CB133" s="1">
        <f t="shared" si="562"/>
        <v>0</v>
      </c>
      <c r="CC133" s="1">
        <f t="shared" si="563"/>
        <v>0</v>
      </c>
      <c r="CD133" s="1">
        <f t="shared" si="564"/>
        <v>0</v>
      </c>
      <c r="CE133" s="1">
        <f t="shared" si="565"/>
        <v>0</v>
      </c>
      <c r="CF133" s="1">
        <f t="shared" si="566"/>
        <v>0</v>
      </c>
      <c r="CG133" s="215">
        <f t="shared" si="758"/>
        <v>0</v>
      </c>
    </row>
    <row r="134" spans="2:85" ht="89.25" outlineLevel="1">
      <c r="C134" s="198" t="s">
        <v>861</v>
      </c>
      <c r="D134" s="55">
        <v>37</v>
      </c>
      <c r="E134" s="88" t="s">
        <v>874</v>
      </c>
      <c r="F134" s="56">
        <v>52.2</v>
      </c>
      <c r="G134" s="57">
        <f t="shared" si="515"/>
        <v>1931.4</v>
      </c>
      <c r="H134" s="28"/>
      <c r="I134" s="59" t="str">
        <f t="shared" si="516"/>
        <v/>
      </c>
      <c r="J134" s="60"/>
      <c r="K134" s="59" t="str">
        <f t="shared" si="517"/>
        <v/>
      </c>
      <c r="L134" s="60"/>
      <c r="M134" s="59" t="str">
        <f t="shared" si="518"/>
        <v/>
      </c>
      <c r="N134" s="60"/>
      <c r="O134" s="59" t="str">
        <f t="shared" si="519"/>
        <v/>
      </c>
      <c r="P134" s="60"/>
      <c r="Q134" s="59" t="str">
        <f t="shared" si="520"/>
        <v/>
      </c>
      <c r="R134" s="60"/>
      <c r="S134" s="59" t="str">
        <f t="shared" si="521"/>
        <v/>
      </c>
      <c r="T134" s="60"/>
      <c r="U134" s="59" t="str">
        <f t="shared" si="522"/>
        <v/>
      </c>
      <c r="V134" s="60"/>
      <c r="W134" s="59" t="str">
        <f t="shared" si="523"/>
        <v/>
      </c>
      <c r="X134" s="95"/>
      <c r="Y134" s="59" t="str">
        <f t="shared" si="524"/>
        <v/>
      </c>
      <c r="Z134" s="95"/>
      <c r="AA134" s="59" t="str">
        <f t="shared" si="525"/>
        <v/>
      </c>
      <c r="AB134" s="60"/>
      <c r="AC134" s="59" t="str">
        <f t="shared" si="526"/>
        <v/>
      </c>
      <c r="AD134" s="60"/>
      <c r="AE134" s="59" t="str">
        <f t="shared" si="527"/>
        <v/>
      </c>
      <c r="AF134" s="95"/>
      <c r="AG134" s="59" t="str">
        <f t="shared" ref="AG134" si="779">+IF(OR($F134="",AF134=""),"",$F134*AF134)</f>
        <v/>
      </c>
      <c r="AH134" s="95"/>
      <c r="AI134" s="59" t="str">
        <f t="shared" si="529"/>
        <v/>
      </c>
      <c r="AJ134" s="60"/>
      <c r="AK134" s="59" t="str">
        <f t="shared" si="529"/>
        <v/>
      </c>
      <c r="AL134" s="60"/>
      <c r="AM134" s="59" t="str">
        <f t="shared" ref="AM134" si="780">+IF(OR($F134="",AL134=""),"",$F134*AL134)</f>
        <v/>
      </c>
      <c r="AN134" s="60"/>
      <c r="AO134" s="59" t="str">
        <f t="shared" ref="AO134" si="781">+IF(OR($F134="",AN134=""),"",$F134*AN134)</f>
        <v/>
      </c>
      <c r="AP134" s="60"/>
      <c r="AQ134" s="59" t="str">
        <f t="shared" ref="AQ134" si="782">+IF(OR($F134="",AP134=""),"",$F134*AP134)</f>
        <v/>
      </c>
      <c r="AR134" s="60"/>
      <c r="AS134" s="59" t="str">
        <f t="shared" ref="AS134" si="783">+IF(OR($F134="",AR134=""),"",$F134*AR134)</f>
        <v/>
      </c>
      <c r="AT134" s="60"/>
      <c r="AU134" s="59" t="str">
        <f t="shared" ref="AU134" si="784">+IF(OR($F134="",AT134=""),"",$F134*AT134)</f>
        <v/>
      </c>
      <c r="AV134" s="60"/>
      <c r="AW134" s="59" t="str">
        <f t="shared" ref="AW134" si="785">+IF(OR($F134="",AV134=""),"",$F134*AV134)</f>
        <v/>
      </c>
      <c r="AX134" s="60"/>
      <c r="AY134" s="59" t="str">
        <f t="shared" ref="AY134" si="786">+IF(OR($F134="",AX134=""),"",$F134*AX134)</f>
        <v/>
      </c>
      <c r="AZ134" s="60"/>
      <c r="BA134" s="59" t="str">
        <f t="shared" ref="BA134" si="787">+IF(OR($F134="",AZ134=""),"",$F134*AZ134)</f>
        <v/>
      </c>
      <c r="BB134" s="60"/>
      <c r="BC134" s="59" t="str">
        <f t="shared" ref="BC134" si="788">+IF(OR($F134="",BB134=""),"",$F134*BB134)</f>
        <v/>
      </c>
      <c r="BD134" s="61">
        <f t="shared" si="539"/>
        <v>0</v>
      </c>
      <c r="BE134" s="59">
        <f t="shared" si="540"/>
        <v>0</v>
      </c>
      <c r="BF134" s="61">
        <f t="shared" si="541"/>
        <v>37</v>
      </c>
      <c r="BG134" s="59">
        <f t="shared" si="542"/>
        <v>1931.4</v>
      </c>
      <c r="BH134" s="196"/>
      <c r="BI134" s="1">
        <f t="shared" si="543"/>
        <v>0</v>
      </c>
      <c r="BJ134" s="1">
        <f t="shared" si="544"/>
        <v>0</v>
      </c>
      <c r="BK134" s="1">
        <f t="shared" si="545"/>
        <v>0</v>
      </c>
      <c r="BL134" s="1">
        <f t="shared" si="546"/>
        <v>0</v>
      </c>
      <c r="BM134" s="1">
        <f t="shared" si="547"/>
        <v>0</v>
      </c>
      <c r="BN134" s="1">
        <f t="shared" si="548"/>
        <v>0</v>
      </c>
      <c r="BO134" s="1">
        <f t="shared" si="549"/>
        <v>0</v>
      </c>
      <c r="BP134" s="1">
        <f t="shared" si="550"/>
        <v>0</v>
      </c>
      <c r="BQ134" s="1">
        <f t="shared" si="551"/>
        <v>0</v>
      </c>
      <c r="BR134" s="1">
        <f t="shared" si="552"/>
        <v>0</v>
      </c>
      <c r="BS134" s="1">
        <f t="shared" si="553"/>
        <v>0</v>
      </c>
      <c r="BT134" s="1">
        <f t="shared" si="554"/>
        <v>0</v>
      </c>
      <c r="BU134" s="1">
        <f t="shared" si="555"/>
        <v>0</v>
      </c>
      <c r="BV134" s="1">
        <f t="shared" si="556"/>
        <v>0</v>
      </c>
      <c r="BW134" s="1">
        <f t="shared" si="557"/>
        <v>0</v>
      </c>
      <c r="BX134" s="1">
        <f t="shared" si="558"/>
        <v>0</v>
      </c>
      <c r="BY134" s="1">
        <f t="shared" si="559"/>
        <v>0</v>
      </c>
      <c r="BZ134" s="1">
        <f t="shared" si="560"/>
        <v>0</v>
      </c>
      <c r="CA134" s="1">
        <f t="shared" si="561"/>
        <v>0</v>
      </c>
      <c r="CB134" s="1">
        <f t="shared" si="562"/>
        <v>0</v>
      </c>
      <c r="CC134" s="1">
        <f t="shared" si="563"/>
        <v>0</v>
      </c>
      <c r="CD134" s="1">
        <f t="shared" si="564"/>
        <v>0</v>
      </c>
      <c r="CE134" s="1">
        <f t="shared" si="565"/>
        <v>0</v>
      </c>
      <c r="CF134" s="1">
        <f t="shared" si="566"/>
        <v>0</v>
      </c>
      <c r="CG134" s="215">
        <f t="shared" si="758"/>
        <v>0</v>
      </c>
    </row>
    <row r="135" spans="2:85" ht="76.5" outlineLevel="1">
      <c r="C135" s="198" t="s">
        <v>860</v>
      </c>
      <c r="D135" s="55">
        <v>376.52</v>
      </c>
      <c r="E135" s="88" t="s">
        <v>874</v>
      </c>
      <c r="F135" s="56">
        <v>56.4</v>
      </c>
      <c r="G135" s="57">
        <f t="shared" si="515"/>
        <v>21235.727999999999</v>
      </c>
      <c r="H135" s="28"/>
      <c r="I135" s="59" t="str">
        <f t="shared" si="516"/>
        <v/>
      </c>
      <c r="J135" s="60"/>
      <c r="K135" s="59" t="str">
        <f t="shared" si="517"/>
        <v/>
      </c>
      <c r="L135" s="60"/>
      <c r="M135" s="59" t="str">
        <f t="shared" si="518"/>
        <v/>
      </c>
      <c r="N135" s="60"/>
      <c r="O135" s="59" t="str">
        <f t="shared" si="519"/>
        <v/>
      </c>
      <c r="P135" s="60"/>
      <c r="Q135" s="59" t="str">
        <f t="shared" si="520"/>
        <v/>
      </c>
      <c r="R135" s="60"/>
      <c r="S135" s="59" t="str">
        <f t="shared" si="521"/>
        <v/>
      </c>
      <c r="T135" s="60"/>
      <c r="U135" s="59" t="str">
        <f t="shared" si="522"/>
        <v/>
      </c>
      <c r="V135" s="60"/>
      <c r="W135" s="59" t="str">
        <f t="shared" si="523"/>
        <v/>
      </c>
      <c r="X135" s="95"/>
      <c r="Y135" s="59" t="str">
        <f t="shared" si="524"/>
        <v/>
      </c>
      <c r="Z135" s="95"/>
      <c r="AA135" s="59" t="str">
        <f t="shared" si="525"/>
        <v/>
      </c>
      <c r="AB135" s="60"/>
      <c r="AC135" s="59" t="str">
        <f t="shared" si="526"/>
        <v/>
      </c>
      <c r="AD135" s="60"/>
      <c r="AE135" s="59" t="str">
        <f t="shared" si="527"/>
        <v/>
      </c>
      <c r="AF135" s="95"/>
      <c r="AG135" s="59" t="str">
        <f t="shared" ref="AG135" si="789">+IF(OR($F135="",AF135=""),"",$F135*AF135)</f>
        <v/>
      </c>
      <c r="AH135" s="95"/>
      <c r="AI135" s="59" t="str">
        <f t="shared" si="529"/>
        <v/>
      </c>
      <c r="AJ135" s="60"/>
      <c r="AK135" s="59" t="str">
        <f t="shared" si="529"/>
        <v/>
      </c>
      <c r="AL135" s="60"/>
      <c r="AM135" s="59" t="str">
        <f t="shared" ref="AM135" si="790">+IF(OR($F135="",AL135=""),"",$F135*AL135)</f>
        <v/>
      </c>
      <c r="AN135" s="60"/>
      <c r="AO135" s="59" t="str">
        <f t="shared" ref="AO135" si="791">+IF(OR($F135="",AN135=""),"",$F135*AN135)</f>
        <v/>
      </c>
      <c r="AP135" s="60"/>
      <c r="AQ135" s="59" t="str">
        <f t="shared" ref="AQ135" si="792">+IF(OR($F135="",AP135=""),"",$F135*AP135)</f>
        <v/>
      </c>
      <c r="AR135" s="60"/>
      <c r="AS135" s="59" t="str">
        <f t="shared" ref="AS135" si="793">+IF(OR($F135="",AR135=""),"",$F135*AR135)</f>
        <v/>
      </c>
      <c r="AT135" s="60"/>
      <c r="AU135" s="59" t="str">
        <f t="shared" ref="AU135" si="794">+IF(OR($F135="",AT135=""),"",$F135*AT135)</f>
        <v/>
      </c>
      <c r="AV135" s="60"/>
      <c r="AW135" s="59" t="str">
        <f t="shared" ref="AW135" si="795">+IF(OR($F135="",AV135=""),"",$F135*AV135)</f>
        <v/>
      </c>
      <c r="AX135" s="60"/>
      <c r="AY135" s="59" t="str">
        <f t="shared" ref="AY135" si="796">+IF(OR($F135="",AX135=""),"",$F135*AX135)</f>
        <v/>
      </c>
      <c r="AZ135" s="60"/>
      <c r="BA135" s="59" t="str">
        <f t="shared" ref="BA135" si="797">+IF(OR($F135="",AZ135=""),"",$F135*AZ135)</f>
        <v/>
      </c>
      <c r="BB135" s="60"/>
      <c r="BC135" s="59" t="str">
        <f t="shared" ref="BC135" si="798">+IF(OR($F135="",BB135=""),"",$F135*BB135)</f>
        <v/>
      </c>
      <c r="BD135" s="61">
        <f t="shared" si="539"/>
        <v>0</v>
      </c>
      <c r="BE135" s="59">
        <f t="shared" si="540"/>
        <v>0</v>
      </c>
      <c r="BF135" s="61">
        <f t="shared" si="541"/>
        <v>376.52</v>
      </c>
      <c r="BG135" s="59">
        <f t="shared" si="542"/>
        <v>21235.727999999999</v>
      </c>
      <c r="BH135" s="196"/>
      <c r="BI135" s="1">
        <f t="shared" si="543"/>
        <v>0</v>
      </c>
      <c r="BJ135" s="1">
        <f t="shared" si="544"/>
        <v>0</v>
      </c>
      <c r="BK135" s="1">
        <f t="shared" si="545"/>
        <v>0</v>
      </c>
      <c r="BL135" s="1">
        <f t="shared" si="546"/>
        <v>0</v>
      </c>
      <c r="BM135" s="1">
        <f t="shared" si="547"/>
        <v>0</v>
      </c>
      <c r="BN135" s="1">
        <f t="shared" si="548"/>
        <v>0</v>
      </c>
      <c r="BO135" s="1">
        <f t="shared" si="549"/>
        <v>0</v>
      </c>
      <c r="BP135" s="1">
        <f t="shared" si="550"/>
        <v>0</v>
      </c>
      <c r="BQ135" s="1">
        <f t="shared" si="551"/>
        <v>0</v>
      </c>
      <c r="BR135" s="1">
        <f t="shared" si="552"/>
        <v>0</v>
      </c>
      <c r="BS135" s="1">
        <f t="shared" si="553"/>
        <v>0</v>
      </c>
      <c r="BT135" s="1">
        <f t="shared" si="554"/>
        <v>0</v>
      </c>
      <c r="BU135" s="1">
        <f t="shared" si="555"/>
        <v>0</v>
      </c>
      <c r="BV135" s="1">
        <f t="shared" si="556"/>
        <v>0</v>
      </c>
      <c r="BW135" s="1">
        <f t="shared" si="557"/>
        <v>0</v>
      </c>
      <c r="BX135" s="1">
        <f t="shared" si="558"/>
        <v>0</v>
      </c>
      <c r="BY135" s="1">
        <f t="shared" si="559"/>
        <v>0</v>
      </c>
      <c r="BZ135" s="1">
        <f t="shared" si="560"/>
        <v>0</v>
      </c>
      <c r="CA135" s="1">
        <f t="shared" si="561"/>
        <v>0</v>
      </c>
      <c r="CB135" s="1">
        <f t="shared" si="562"/>
        <v>0</v>
      </c>
      <c r="CC135" s="1">
        <f t="shared" si="563"/>
        <v>0</v>
      </c>
      <c r="CD135" s="1">
        <f t="shared" si="564"/>
        <v>0</v>
      </c>
      <c r="CE135" s="1">
        <f t="shared" si="565"/>
        <v>0</v>
      </c>
      <c r="CF135" s="1">
        <f t="shared" si="566"/>
        <v>0</v>
      </c>
      <c r="CG135" s="215">
        <f t="shared" si="758"/>
        <v>0</v>
      </c>
    </row>
    <row r="136" spans="2:85" ht="76.5" outlineLevel="1">
      <c r="C136" s="198" t="s">
        <v>860</v>
      </c>
      <c r="D136" s="55">
        <v>9.3000000000000007</v>
      </c>
      <c r="E136" s="88" t="s">
        <v>874</v>
      </c>
      <c r="F136" s="56">
        <v>80.400000000000006</v>
      </c>
      <c r="G136" s="57">
        <f t="shared" si="515"/>
        <v>747.72000000000014</v>
      </c>
      <c r="H136" s="28"/>
      <c r="I136" s="59" t="str">
        <f t="shared" si="516"/>
        <v/>
      </c>
      <c r="J136" s="60"/>
      <c r="K136" s="59" t="str">
        <f t="shared" si="517"/>
        <v/>
      </c>
      <c r="L136" s="60"/>
      <c r="M136" s="59" t="str">
        <f t="shared" si="518"/>
        <v/>
      </c>
      <c r="N136" s="60"/>
      <c r="O136" s="59" t="str">
        <f t="shared" si="519"/>
        <v/>
      </c>
      <c r="P136" s="60"/>
      <c r="Q136" s="59" t="str">
        <f t="shared" si="520"/>
        <v/>
      </c>
      <c r="R136" s="60"/>
      <c r="S136" s="59" t="str">
        <f t="shared" si="521"/>
        <v/>
      </c>
      <c r="T136" s="60"/>
      <c r="U136" s="59" t="str">
        <f t="shared" si="522"/>
        <v/>
      </c>
      <c r="V136" s="60"/>
      <c r="W136" s="59" t="str">
        <f t="shared" si="523"/>
        <v/>
      </c>
      <c r="X136" s="95"/>
      <c r="Y136" s="59" t="str">
        <f t="shared" si="524"/>
        <v/>
      </c>
      <c r="Z136" s="95"/>
      <c r="AA136" s="59" t="str">
        <f t="shared" si="525"/>
        <v/>
      </c>
      <c r="AB136" s="60"/>
      <c r="AC136" s="59" t="str">
        <f t="shared" si="526"/>
        <v/>
      </c>
      <c r="AD136" s="60"/>
      <c r="AE136" s="59" t="str">
        <f t="shared" si="527"/>
        <v/>
      </c>
      <c r="AF136" s="95"/>
      <c r="AG136" s="59" t="str">
        <f t="shared" ref="AG136" si="799">+IF(OR($F136="",AF136=""),"",$F136*AF136)</f>
        <v/>
      </c>
      <c r="AH136" s="95"/>
      <c r="AI136" s="59" t="str">
        <f t="shared" si="529"/>
        <v/>
      </c>
      <c r="AJ136" s="60"/>
      <c r="AK136" s="59" t="str">
        <f t="shared" si="529"/>
        <v/>
      </c>
      <c r="AL136" s="60"/>
      <c r="AM136" s="59" t="str">
        <f t="shared" ref="AM136" si="800">+IF(OR($F136="",AL136=""),"",$F136*AL136)</f>
        <v/>
      </c>
      <c r="AN136" s="60"/>
      <c r="AO136" s="59" t="str">
        <f t="shared" ref="AO136" si="801">+IF(OR($F136="",AN136=""),"",$F136*AN136)</f>
        <v/>
      </c>
      <c r="AP136" s="60"/>
      <c r="AQ136" s="59" t="str">
        <f t="shared" ref="AQ136" si="802">+IF(OR($F136="",AP136=""),"",$F136*AP136)</f>
        <v/>
      </c>
      <c r="AR136" s="60"/>
      <c r="AS136" s="59" t="str">
        <f t="shared" ref="AS136" si="803">+IF(OR($F136="",AR136=""),"",$F136*AR136)</f>
        <v/>
      </c>
      <c r="AT136" s="60"/>
      <c r="AU136" s="59" t="str">
        <f t="shared" ref="AU136" si="804">+IF(OR($F136="",AT136=""),"",$F136*AT136)</f>
        <v/>
      </c>
      <c r="AV136" s="60"/>
      <c r="AW136" s="59" t="str">
        <f t="shared" ref="AW136" si="805">+IF(OR($F136="",AV136=""),"",$F136*AV136)</f>
        <v/>
      </c>
      <c r="AX136" s="60"/>
      <c r="AY136" s="59" t="str">
        <f t="shared" ref="AY136" si="806">+IF(OR($F136="",AX136=""),"",$F136*AX136)</f>
        <v/>
      </c>
      <c r="AZ136" s="60"/>
      <c r="BA136" s="59" t="str">
        <f t="shared" ref="BA136" si="807">+IF(OR($F136="",AZ136=""),"",$F136*AZ136)</f>
        <v/>
      </c>
      <c r="BB136" s="60"/>
      <c r="BC136" s="59" t="str">
        <f t="shared" ref="BC136" si="808">+IF(OR($F136="",BB136=""),"",$F136*BB136)</f>
        <v/>
      </c>
      <c r="BD136" s="61">
        <f t="shared" si="539"/>
        <v>0</v>
      </c>
      <c r="BE136" s="59">
        <f t="shared" si="540"/>
        <v>0</v>
      </c>
      <c r="BF136" s="61">
        <f t="shared" si="541"/>
        <v>9.3000000000000007</v>
      </c>
      <c r="BG136" s="59">
        <f t="shared" si="542"/>
        <v>747.72000000000014</v>
      </c>
      <c r="BH136" s="196"/>
      <c r="BI136" s="1">
        <f t="shared" si="543"/>
        <v>0</v>
      </c>
      <c r="BJ136" s="1">
        <f t="shared" si="544"/>
        <v>0</v>
      </c>
      <c r="BK136" s="1">
        <f t="shared" si="545"/>
        <v>0</v>
      </c>
      <c r="BL136" s="1">
        <f t="shared" si="546"/>
        <v>0</v>
      </c>
      <c r="BM136" s="1">
        <f t="shared" si="547"/>
        <v>0</v>
      </c>
      <c r="BN136" s="1">
        <f t="shared" si="548"/>
        <v>0</v>
      </c>
      <c r="BO136" s="1">
        <f t="shared" si="549"/>
        <v>0</v>
      </c>
      <c r="BP136" s="1">
        <f t="shared" si="550"/>
        <v>0</v>
      </c>
      <c r="BQ136" s="1">
        <f t="shared" si="551"/>
        <v>0</v>
      </c>
      <c r="BR136" s="1">
        <f t="shared" si="552"/>
        <v>0</v>
      </c>
      <c r="BS136" s="1">
        <f t="shared" si="553"/>
        <v>0</v>
      </c>
      <c r="BT136" s="1">
        <f t="shared" si="554"/>
        <v>0</v>
      </c>
      <c r="BU136" s="1">
        <f t="shared" si="555"/>
        <v>0</v>
      </c>
      <c r="BV136" s="1">
        <f t="shared" si="556"/>
        <v>0</v>
      </c>
      <c r="BW136" s="1">
        <f t="shared" si="557"/>
        <v>0</v>
      </c>
      <c r="BX136" s="1">
        <f t="shared" si="558"/>
        <v>0</v>
      </c>
      <c r="BY136" s="1">
        <f t="shared" si="559"/>
        <v>0</v>
      </c>
      <c r="BZ136" s="1">
        <f t="shared" si="560"/>
        <v>0</v>
      </c>
      <c r="CA136" s="1">
        <f t="shared" si="561"/>
        <v>0</v>
      </c>
      <c r="CB136" s="1">
        <f t="shared" si="562"/>
        <v>0</v>
      </c>
      <c r="CC136" s="1">
        <f t="shared" si="563"/>
        <v>0</v>
      </c>
      <c r="CD136" s="1">
        <f t="shared" si="564"/>
        <v>0</v>
      </c>
      <c r="CE136" s="1">
        <f t="shared" si="565"/>
        <v>0</v>
      </c>
      <c r="CF136" s="1">
        <f t="shared" si="566"/>
        <v>0</v>
      </c>
      <c r="CG136" s="215">
        <f t="shared" si="758"/>
        <v>0</v>
      </c>
    </row>
    <row r="137" spans="2:85" ht="12.75" outlineLevel="1">
      <c r="C137" s="198"/>
      <c r="D137" s="55">
        <v>123</v>
      </c>
      <c r="E137" s="88" t="s">
        <v>874</v>
      </c>
      <c r="F137" s="56">
        <v>43.2</v>
      </c>
      <c r="G137" s="57">
        <f t="shared" si="515"/>
        <v>5313.6</v>
      </c>
      <c r="H137" s="28"/>
      <c r="I137" s="59" t="str">
        <f t="shared" si="516"/>
        <v/>
      </c>
      <c r="J137" s="60"/>
      <c r="K137" s="59" t="str">
        <f t="shared" si="517"/>
        <v/>
      </c>
      <c r="L137" s="60"/>
      <c r="M137" s="59" t="str">
        <f t="shared" si="518"/>
        <v/>
      </c>
      <c r="N137" s="60"/>
      <c r="O137" s="59" t="str">
        <f t="shared" si="519"/>
        <v/>
      </c>
      <c r="P137" s="60"/>
      <c r="Q137" s="59" t="str">
        <f t="shared" si="520"/>
        <v/>
      </c>
      <c r="R137" s="60"/>
      <c r="S137" s="59" t="str">
        <f t="shared" si="521"/>
        <v/>
      </c>
      <c r="T137" s="60"/>
      <c r="U137" s="59" t="str">
        <f t="shared" si="522"/>
        <v/>
      </c>
      <c r="V137" s="60"/>
      <c r="W137" s="59" t="str">
        <f t="shared" si="523"/>
        <v/>
      </c>
      <c r="X137" s="95"/>
      <c r="Y137" s="59" t="str">
        <f t="shared" si="524"/>
        <v/>
      </c>
      <c r="Z137" s="95"/>
      <c r="AA137" s="59" t="str">
        <f t="shared" si="525"/>
        <v/>
      </c>
      <c r="AB137" s="60"/>
      <c r="AC137" s="59" t="str">
        <f t="shared" si="526"/>
        <v/>
      </c>
      <c r="AD137" s="60"/>
      <c r="AE137" s="59" t="str">
        <f t="shared" si="527"/>
        <v/>
      </c>
      <c r="AF137" s="95"/>
      <c r="AG137" s="59" t="str">
        <f t="shared" ref="AG137" si="809">+IF(OR($F137="",AF137=""),"",$F137*AF137)</f>
        <v/>
      </c>
      <c r="AH137" s="95"/>
      <c r="AI137" s="59" t="str">
        <f t="shared" si="529"/>
        <v/>
      </c>
      <c r="AJ137" s="60"/>
      <c r="AK137" s="59" t="str">
        <f t="shared" si="529"/>
        <v/>
      </c>
      <c r="AL137" s="60"/>
      <c r="AM137" s="59" t="str">
        <f t="shared" ref="AM137" si="810">+IF(OR($F137="",AL137=""),"",$F137*AL137)</f>
        <v/>
      </c>
      <c r="AN137" s="60"/>
      <c r="AO137" s="59" t="str">
        <f t="shared" ref="AO137" si="811">+IF(OR($F137="",AN137=""),"",$F137*AN137)</f>
        <v/>
      </c>
      <c r="AP137" s="60"/>
      <c r="AQ137" s="59" t="str">
        <f t="shared" ref="AQ137" si="812">+IF(OR($F137="",AP137=""),"",$F137*AP137)</f>
        <v/>
      </c>
      <c r="AR137" s="60"/>
      <c r="AS137" s="59" t="str">
        <f t="shared" ref="AS137" si="813">+IF(OR($F137="",AR137=""),"",$F137*AR137)</f>
        <v/>
      </c>
      <c r="AT137" s="60"/>
      <c r="AU137" s="59" t="str">
        <f t="shared" ref="AU137" si="814">+IF(OR($F137="",AT137=""),"",$F137*AT137)</f>
        <v/>
      </c>
      <c r="AV137" s="60"/>
      <c r="AW137" s="59" t="str">
        <f t="shared" ref="AW137" si="815">+IF(OR($F137="",AV137=""),"",$F137*AV137)</f>
        <v/>
      </c>
      <c r="AX137" s="60"/>
      <c r="AY137" s="59" t="str">
        <f t="shared" ref="AY137" si="816">+IF(OR($F137="",AX137=""),"",$F137*AX137)</f>
        <v/>
      </c>
      <c r="AZ137" s="60"/>
      <c r="BA137" s="59" t="str">
        <f t="shared" ref="BA137" si="817">+IF(OR($F137="",AZ137=""),"",$F137*AZ137)</f>
        <v/>
      </c>
      <c r="BB137" s="60"/>
      <c r="BC137" s="59" t="str">
        <f t="shared" ref="BC137" si="818">+IF(OR($F137="",BB137=""),"",$F137*BB137)</f>
        <v/>
      </c>
      <c r="BD137" s="61">
        <f t="shared" si="539"/>
        <v>0</v>
      </c>
      <c r="BE137" s="59">
        <f t="shared" si="540"/>
        <v>0</v>
      </c>
      <c r="BF137" s="61">
        <f t="shared" si="541"/>
        <v>123</v>
      </c>
      <c r="BG137" s="59">
        <f t="shared" si="542"/>
        <v>5313.6</v>
      </c>
      <c r="BH137" s="196"/>
      <c r="BI137" s="1">
        <f t="shared" si="543"/>
        <v>0</v>
      </c>
      <c r="BJ137" s="1">
        <f t="shared" si="544"/>
        <v>0</v>
      </c>
      <c r="BK137" s="1">
        <f t="shared" si="545"/>
        <v>0</v>
      </c>
      <c r="BL137" s="1">
        <f t="shared" si="546"/>
        <v>0</v>
      </c>
      <c r="BM137" s="1">
        <f t="shared" si="547"/>
        <v>0</v>
      </c>
      <c r="BN137" s="1">
        <f t="shared" si="548"/>
        <v>0</v>
      </c>
      <c r="BO137" s="1">
        <f t="shared" si="549"/>
        <v>0</v>
      </c>
      <c r="BP137" s="1">
        <f t="shared" si="550"/>
        <v>0</v>
      </c>
      <c r="BQ137" s="1">
        <f t="shared" si="551"/>
        <v>0</v>
      </c>
      <c r="BR137" s="1">
        <f t="shared" si="552"/>
        <v>0</v>
      </c>
      <c r="BS137" s="1">
        <f t="shared" si="553"/>
        <v>0</v>
      </c>
      <c r="BT137" s="1">
        <f t="shared" si="554"/>
        <v>0</v>
      </c>
      <c r="BU137" s="1">
        <f t="shared" si="555"/>
        <v>0</v>
      </c>
      <c r="BV137" s="1">
        <f t="shared" si="556"/>
        <v>0</v>
      </c>
      <c r="BW137" s="1">
        <f t="shared" si="557"/>
        <v>0</v>
      </c>
      <c r="BX137" s="1">
        <f t="shared" si="558"/>
        <v>0</v>
      </c>
      <c r="BY137" s="1">
        <f t="shared" si="559"/>
        <v>0</v>
      </c>
      <c r="BZ137" s="1">
        <f t="shared" si="560"/>
        <v>0</v>
      </c>
      <c r="CA137" s="1">
        <f t="shared" si="561"/>
        <v>0</v>
      </c>
      <c r="CB137" s="1">
        <f t="shared" si="562"/>
        <v>0</v>
      </c>
      <c r="CC137" s="1">
        <f t="shared" si="563"/>
        <v>0</v>
      </c>
      <c r="CD137" s="1">
        <f t="shared" si="564"/>
        <v>0</v>
      </c>
      <c r="CE137" s="1">
        <f t="shared" si="565"/>
        <v>0</v>
      </c>
      <c r="CF137" s="1">
        <f t="shared" si="566"/>
        <v>0</v>
      </c>
      <c r="CG137" s="215">
        <f t="shared" si="758"/>
        <v>0</v>
      </c>
    </row>
    <row r="138" spans="2:85" ht="76.5" outlineLevel="1">
      <c r="C138" s="198" t="s">
        <v>848</v>
      </c>
      <c r="D138" s="55">
        <v>107.3</v>
      </c>
      <c r="E138" s="88" t="s">
        <v>874</v>
      </c>
      <c r="F138" s="56">
        <v>77.400000000000006</v>
      </c>
      <c r="G138" s="57">
        <f t="shared" si="515"/>
        <v>8305.02</v>
      </c>
      <c r="H138" s="28"/>
      <c r="I138" s="59" t="str">
        <f t="shared" si="516"/>
        <v/>
      </c>
      <c r="J138" s="60"/>
      <c r="K138" s="59" t="str">
        <f t="shared" si="517"/>
        <v/>
      </c>
      <c r="L138" s="60"/>
      <c r="M138" s="59" t="str">
        <f t="shared" si="518"/>
        <v/>
      </c>
      <c r="N138" s="60"/>
      <c r="O138" s="59" t="str">
        <f t="shared" si="519"/>
        <v/>
      </c>
      <c r="P138" s="60"/>
      <c r="Q138" s="59" t="str">
        <f t="shared" si="520"/>
        <v/>
      </c>
      <c r="R138" s="60"/>
      <c r="S138" s="59" t="str">
        <f t="shared" si="521"/>
        <v/>
      </c>
      <c r="T138" s="60"/>
      <c r="U138" s="59" t="str">
        <f t="shared" si="522"/>
        <v/>
      </c>
      <c r="V138" s="60"/>
      <c r="W138" s="59" t="str">
        <f t="shared" si="523"/>
        <v/>
      </c>
      <c r="X138" s="95"/>
      <c r="Y138" s="59" t="str">
        <f t="shared" si="524"/>
        <v/>
      </c>
      <c r="Z138" s="95"/>
      <c r="AA138" s="59" t="str">
        <f t="shared" si="525"/>
        <v/>
      </c>
      <c r="AB138" s="60"/>
      <c r="AC138" s="59" t="str">
        <f t="shared" si="526"/>
        <v/>
      </c>
      <c r="AD138" s="60"/>
      <c r="AE138" s="59" t="str">
        <f t="shared" si="527"/>
        <v/>
      </c>
      <c r="AF138" s="95"/>
      <c r="AG138" s="59" t="str">
        <f t="shared" ref="AG138" si="819">+IF(OR($F138="",AF138=""),"",$F138*AF138)</f>
        <v/>
      </c>
      <c r="AH138" s="95"/>
      <c r="AI138" s="59" t="str">
        <f t="shared" si="529"/>
        <v/>
      </c>
      <c r="AJ138" s="60"/>
      <c r="AK138" s="59" t="str">
        <f t="shared" si="529"/>
        <v/>
      </c>
      <c r="AL138" s="60"/>
      <c r="AM138" s="59" t="str">
        <f t="shared" ref="AM138" si="820">+IF(OR($F138="",AL138=""),"",$F138*AL138)</f>
        <v/>
      </c>
      <c r="AN138" s="60"/>
      <c r="AO138" s="59" t="str">
        <f t="shared" ref="AO138" si="821">+IF(OR($F138="",AN138=""),"",$F138*AN138)</f>
        <v/>
      </c>
      <c r="AP138" s="60"/>
      <c r="AQ138" s="59" t="str">
        <f t="shared" ref="AQ138" si="822">+IF(OR($F138="",AP138=""),"",$F138*AP138)</f>
        <v/>
      </c>
      <c r="AR138" s="60"/>
      <c r="AS138" s="59" t="str">
        <f t="shared" ref="AS138" si="823">+IF(OR($F138="",AR138=""),"",$F138*AR138)</f>
        <v/>
      </c>
      <c r="AT138" s="60"/>
      <c r="AU138" s="59" t="str">
        <f t="shared" ref="AU138" si="824">+IF(OR($F138="",AT138=""),"",$F138*AT138)</f>
        <v/>
      </c>
      <c r="AV138" s="60"/>
      <c r="AW138" s="59" t="str">
        <f t="shared" ref="AW138" si="825">+IF(OR($F138="",AV138=""),"",$F138*AV138)</f>
        <v/>
      </c>
      <c r="AX138" s="60"/>
      <c r="AY138" s="59" t="str">
        <f t="shared" ref="AY138" si="826">+IF(OR($F138="",AX138=""),"",$F138*AX138)</f>
        <v/>
      </c>
      <c r="AZ138" s="60"/>
      <c r="BA138" s="59" t="str">
        <f t="shared" ref="BA138" si="827">+IF(OR($F138="",AZ138=""),"",$F138*AZ138)</f>
        <v/>
      </c>
      <c r="BB138" s="60"/>
      <c r="BC138" s="59" t="str">
        <f t="shared" ref="BC138" si="828">+IF(OR($F138="",BB138=""),"",$F138*BB138)</f>
        <v/>
      </c>
      <c r="BD138" s="61">
        <f t="shared" si="539"/>
        <v>0</v>
      </c>
      <c r="BE138" s="59">
        <f t="shared" si="540"/>
        <v>0</v>
      </c>
      <c r="BF138" s="61">
        <f t="shared" si="541"/>
        <v>107.3</v>
      </c>
      <c r="BG138" s="59">
        <f t="shared" si="542"/>
        <v>8305.02</v>
      </c>
      <c r="BH138" s="196"/>
      <c r="BI138" s="1">
        <f t="shared" si="543"/>
        <v>0</v>
      </c>
      <c r="BJ138" s="1">
        <f t="shared" si="544"/>
        <v>0</v>
      </c>
      <c r="BK138" s="1">
        <f t="shared" si="545"/>
        <v>0</v>
      </c>
      <c r="BL138" s="1">
        <f t="shared" si="546"/>
        <v>0</v>
      </c>
      <c r="BM138" s="1">
        <f t="shared" si="547"/>
        <v>0</v>
      </c>
      <c r="BN138" s="1">
        <f t="shared" si="548"/>
        <v>0</v>
      </c>
      <c r="BO138" s="1">
        <f t="shared" si="549"/>
        <v>0</v>
      </c>
      <c r="BP138" s="1">
        <f t="shared" si="550"/>
        <v>0</v>
      </c>
      <c r="BQ138" s="1">
        <f t="shared" si="551"/>
        <v>0</v>
      </c>
      <c r="BR138" s="1">
        <f t="shared" si="552"/>
        <v>0</v>
      </c>
      <c r="BS138" s="1">
        <f t="shared" si="553"/>
        <v>0</v>
      </c>
      <c r="BT138" s="1">
        <f t="shared" si="554"/>
        <v>0</v>
      </c>
      <c r="BU138" s="1">
        <f t="shared" si="555"/>
        <v>0</v>
      </c>
      <c r="BV138" s="1">
        <f t="shared" si="556"/>
        <v>0</v>
      </c>
      <c r="BW138" s="1">
        <f t="shared" si="557"/>
        <v>0</v>
      </c>
      <c r="BX138" s="1">
        <f t="shared" si="558"/>
        <v>0</v>
      </c>
      <c r="BY138" s="1">
        <f t="shared" si="559"/>
        <v>0</v>
      </c>
      <c r="BZ138" s="1">
        <f t="shared" si="560"/>
        <v>0</v>
      </c>
      <c r="CA138" s="1">
        <f t="shared" si="561"/>
        <v>0</v>
      </c>
      <c r="CB138" s="1">
        <f t="shared" si="562"/>
        <v>0</v>
      </c>
      <c r="CC138" s="1">
        <f t="shared" si="563"/>
        <v>0</v>
      </c>
      <c r="CD138" s="1">
        <f t="shared" si="564"/>
        <v>0</v>
      </c>
      <c r="CE138" s="1">
        <f t="shared" si="565"/>
        <v>0</v>
      </c>
      <c r="CF138" s="1">
        <f t="shared" si="566"/>
        <v>0</v>
      </c>
      <c r="CG138" s="215">
        <f t="shared" si="758"/>
        <v>0</v>
      </c>
    </row>
    <row r="139" spans="2:85" ht="76.5" outlineLevel="1">
      <c r="C139" s="198" t="s">
        <v>847</v>
      </c>
      <c r="D139" s="55">
        <v>36</v>
      </c>
      <c r="E139" s="88" t="s">
        <v>874</v>
      </c>
      <c r="F139" s="56">
        <v>97.2</v>
      </c>
      <c r="G139" s="57">
        <f t="shared" si="515"/>
        <v>3499.2000000000003</v>
      </c>
      <c r="H139" s="28"/>
      <c r="I139" s="59" t="str">
        <f t="shared" si="516"/>
        <v/>
      </c>
      <c r="J139" s="60"/>
      <c r="K139" s="59" t="str">
        <f t="shared" si="517"/>
        <v/>
      </c>
      <c r="L139" s="60"/>
      <c r="M139" s="59" t="str">
        <f t="shared" si="518"/>
        <v/>
      </c>
      <c r="N139" s="60"/>
      <c r="O139" s="59" t="str">
        <f t="shared" si="519"/>
        <v/>
      </c>
      <c r="P139" s="60"/>
      <c r="Q139" s="59" t="str">
        <f t="shared" si="520"/>
        <v/>
      </c>
      <c r="R139" s="60"/>
      <c r="S139" s="59" t="str">
        <f t="shared" si="521"/>
        <v/>
      </c>
      <c r="T139" s="60"/>
      <c r="U139" s="59" t="str">
        <f t="shared" si="522"/>
        <v/>
      </c>
      <c r="V139" s="60"/>
      <c r="W139" s="59" t="str">
        <f t="shared" si="523"/>
        <v/>
      </c>
      <c r="X139" s="95"/>
      <c r="Y139" s="59" t="str">
        <f t="shared" si="524"/>
        <v/>
      </c>
      <c r="Z139" s="95"/>
      <c r="AA139" s="59" t="str">
        <f t="shared" si="525"/>
        <v/>
      </c>
      <c r="AB139" s="60"/>
      <c r="AC139" s="59" t="str">
        <f t="shared" si="526"/>
        <v/>
      </c>
      <c r="AD139" s="60"/>
      <c r="AE139" s="59" t="str">
        <f t="shared" si="527"/>
        <v/>
      </c>
      <c r="AF139" s="95"/>
      <c r="AG139" s="59" t="str">
        <f t="shared" ref="AG139" si="829">+IF(OR($F139="",AF139=""),"",$F139*AF139)</f>
        <v/>
      </c>
      <c r="AH139" s="95"/>
      <c r="AI139" s="59" t="str">
        <f t="shared" si="529"/>
        <v/>
      </c>
      <c r="AJ139" s="60"/>
      <c r="AK139" s="59" t="str">
        <f t="shared" si="529"/>
        <v/>
      </c>
      <c r="AL139" s="60"/>
      <c r="AM139" s="59" t="str">
        <f t="shared" ref="AM139" si="830">+IF(OR($F139="",AL139=""),"",$F139*AL139)</f>
        <v/>
      </c>
      <c r="AN139" s="60"/>
      <c r="AO139" s="59" t="str">
        <f t="shared" ref="AO139" si="831">+IF(OR($F139="",AN139=""),"",$F139*AN139)</f>
        <v/>
      </c>
      <c r="AP139" s="60"/>
      <c r="AQ139" s="59" t="str">
        <f t="shared" ref="AQ139" si="832">+IF(OR($F139="",AP139=""),"",$F139*AP139)</f>
        <v/>
      </c>
      <c r="AR139" s="60"/>
      <c r="AS139" s="59" t="str">
        <f t="shared" ref="AS139" si="833">+IF(OR($F139="",AR139=""),"",$F139*AR139)</f>
        <v/>
      </c>
      <c r="AT139" s="60"/>
      <c r="AU139" s="59" t="str">
        <f t="shared" ref="AU139" si="834">+IF(OR($F139="",AT139=""),"",$F139*AT139)</f>
        <v/>
      </c>
      <c r="AV139" s="60"/>
      <c r="AW139" s="59" t="str">
        <f t="shared" ref="AW139" si="835">+IF(OR($F139="",AV139=""),"",$F139*AV139)</f>
        <v/>
      </c>
      <c r="AX139" s="60"/>
      <c r="AY139" s="59" t="str">
        <f t="shared" ref="AY139" si="836">+IF(OR($F139="",AX139=""),"",$F139*AX139)</f>
        <v/>
      </c>
      <c r="AZ139" s="60"/>
      <c r="BA139" s="59" t="str">
        <f t="shared" ref="BA139" si="837">+IF(OR($F139="",AZ139=""),"",$F139*AZ139)</f>
        <v/>
      </c>
      <c r="BB139" s="60"/>
      <c r="BC139" s="59" t="str">
        <f t="shared" ref="BC139" si="838">+IF(OR($F139="",BB139=""),"",$F139*BB139)</f>
        <v/>
      </c>
      <c r="BD139" s="61">
        <f t="shared" si="539"/>
        <v>0</v>
      </c>
      <c r="BE139" s="59">
        <f t="shared" si="540"/>
        <v>0</v>
      </c>
      <c r="BF139" s="61">
        <f t="shared" si="541"/>
        <v>36</v>
      </c>
      <c r="BG139" s="59">
        <f t="shared" si="542"/>
        <v>3499.2000000000003</v>
      </c>
      <c r="BH139" s="196"/>
      <c r="BI139" s="1">
        <f t="shared" si="543"/>
        <v>0</v>
      </c>
      <c r="BJ139" s="1">
        <f t="shared" si="544"/>
        <v>0</v>
      </c>
      <c r="BK139" s="1">
        <f t="shared" si="545"/>
        <v>0</v>
      </c>
      <c r="BL139" s="1">
        <f t="shared" si="546"/>
        <v>0</v>
      </c>
      <c r="BM139" s="1">
        <f t="shared" si="547"/>
        <v>0</v>
      </c>
      <c r="BN139" s="1">
        <f t="shared" si="548"/>
        <v>0</v>
      </c>
      <c r="BO139" s="1">
        <f t="shared" si="549"/>
        <v>0</v>
      </c>
      <c r="BP139" s="1">
        <f t="shared" si="550"/>
        <v>0</v>
      </c>
      <c r="BQ139" s="1">
        <f t="shared" si="551"/>
        <v>0</v>
      </c>
      <c r="BR139" s="1">
        <f t="shared" si="552"/>
        <v>0</v>
      </c>
      <c r="BS139" s="1">
        <f t="shared" si="553"/>
        <v>0</v>
      </c>
      <c r="BT139" s="1">
        <f t="shared" si="554"/>
        <v>0</v>
      </c>
      <c r="BU139" s="1">
        <f t="shared" si="555"/>
        <v>0</v>
      </c>
      <c r="BV139" s="1">
        <f t="shared" si="556"/>
        <v>0</v>
      </c>
      <c r="BW139" s="1">
        <f t="shared" si="557"/>
        <v>0</v>
      </c>
      <c r="BX139" s="1">
        <f t="shared" si="558"/>
        <v>0</v>
      </c>
      <c r="BY139" s="1">
        <f t="shared" si="559"/>
        <v>0</v>
      </c>
      <c r="BZ139" s="1">
        <f t="shared" si="560"/>
        <v>0</v>
      </c>
      <c r="CA139" s="1">
        <f t="shared" si="561"/>
        <v>0</v>
      </c>
      <c r="CB139" s="1">
        <f t="shared" si="562"/>
        <v>0</v>
      </c>
      <c r="CC139" s="1">
        <f t="shared" si="563"/>
        <v>0</v>
      </c>
      <c r="CD139" s="1">
        <f t="shared" si="564"/>
        <v>0</v>
      </c>
      <c r="CE139" s="1">
        <f t="shared" si="565"/>
        <v>0</v>
      </c>
      <c r="CF139" s="1">
        <f t="shared" si="566"/>
        <v>0</v>
      </c>
      <c r="CG139" s="215">
        <f t="shared" si="758"/>
        <v>0</v>
      </c>
    </row>
    <row r="140" spans="2:85" ht="76.5" outlineLevel="1">
      <c r="C140" s="198" t="s">
        <v>859</v>
      </c>
      <c r="D140" s="55">
        <v>470.71</v>
      </c>
      <c r="E140" s="88" t="s">
        <v>874</v>
      </c>
      <c r="F140" s="56">
        <v>26.4</v>
      </c>
      <c r="G140" s="57">
        <f t="shared" si="515"/>
        <v>12426.743999999999</v>
      </c>
      <c r="H140" s="28"/>
      <c r="I140" s="59" t="str">
        <f t="shared" si="516"/>
        <v/>
      </c>
      <c r="J140" s="60"/>
      <c r="K140" s="59" t="str">
        <f t="shared" si="517"/>
        <v/>
      </c>
      <c r="L140" s="60"/>
      <c r="M140" s="59" t="str">
        <f t="shared" si="518"/>
        <v/>
      </c>
      <c r="N140" s="60"/>
      <c r="O140" s="59" t="str">
        <f t="shared" si="519"/>
        <v/>
      </c>
      <c r="P140" s="60"/>
      <c r="Q140" s="59" t="str">
        <f t="shared" si="520"/>
        <v/>
      </c>
      <c r="R140" s="60"/>
      <c r="S140" s="59" t="str">
        <f t="shared" si="521"/>
        <v/>
      </c>
      <c r="T140" s="60"/>
      <c r="U140" s="59" t="str">
        <f t="shared" si="522"/>
        <v/>
      </c>
      <c r="V140" s="60"/>
      <c r="W140" s="59" t="str">
        <f t="shared" si="523"/>
        <v/>
      </c>
      <c r="X140" s="95"/>
      <c r="Y140" s="59" t="str">
        <f t="shared" si="524"/>
        <v/>
      </c>
      <c r="Z140" s="95"/>
      <c r="AA140" s="59" t="str">
        <f t="shared" si="525"/>
        <v/>
      </c>
      <c r="AB140" s="60"/>
      <c r="AC140" s="59" t="str">
        <f t="shared" si="526"/>
        <v/>
      </c>
      <c r="AD140" s="60"/>
      <c r="AE140" s="59" t="str">
        <f t="shared" si="527"/>
        <v/>
      </c>
      <c r="AF140" s="95"/>
      <c r="AG140" s="59" t="str">
        <f t="shared" ref="AG140" si="839">+IF(OR($F140="",AF140=""),"",$F140*AF140)</f>
        <v/>
      </c>
      <c r="AH140" s="95"/>
      <c r="AI140" s="59" t="str">
        <f t="shared" si="529"/>
        <v/>
      </c>
      <c r="AJ140" s="60"/>
      <c r="AK140" s="59" t="str">
        <f t="shared" si="529"/>
        <v/>
      </c>
      <c r="AL140" s="60"/>
      <c r="AM140" s="59" t="str">
        <f t="shared" ref="AM140" si="840">+IF(OR($F140="",AL140=""),"",$F140*AL140)</f>
        <v/>
      </c>
      <c r="AN140" s="60"/>
      <c r="AO140" s="59" t="str">
        <f t="shared" ref="AO140" si="841">+IF(OR($F140="",AN140=""),"",$F140*AN140)</f>
        <v/>
      </c>
      <c r="AP140" s="60"/>
      <c r="AQ140" s="59" t="str">
        <f t="shared" ref="AQ140" si="842">+IF(OR($F140="",AP140=""),"",$F140*AP140)</f>
        <v/>
      </c>
      <c r="AR140" s="60"/>
      <c r="AS140" s="59" t="str">
        <f t="shared" ref="AS140" si="843">+IF(OR($F140="",AR140=""),"",$F140*AR140)</f>
        <v/>
      </c>
      <c r="AT140" s="60"/>
      <c r="AU140" s="59" t="str">
        <f t="shared" ref="AU140" si="844">+IF(OR($F140="",AT140=""),"",$F140*AT140)</f>
        <v/>
      </c>
      <c r="AV140" s="60"/>
      <c r="AW140" s="59" t="str">
        <f t="shared" ref="AW140" si="845">+IF(OR($F140="",AV140=""),"",$F140*AV140)</f>
        <v/>
      </c>
      <c r="AX140" s="60"/>
      <c r="AY140" s="59" t="str">
        <f t="shared" ref="AY140" si="846">+IF(OR($F140="",AX140=""),"",$F140*AX140)</f>
        <v/>
      </c>
      <c r="AZ140" s="60"/>
      <c r="BA140" s="59" t="str">
        <f t="shared" ref="BA140" si="847">+IF(OR($F140="",AZ140=""),"",$F140*AZ140)</f>
        <v/>
      </c>
      <c r="BB140" s="60"/>
      <c r="BC140" s="59" t="str">
        <f t="shared" ref="BC140" si="848">+IF(OR($F140="",BB140=""),"",$F140*BB140)</f>
        <v/>
      </c>
      <c r="BD140" s="61">
        <f t="shared" si="539"/>
        <v>0</v>
      </c>
      <c r="BE140" s="59">
        <f t="shared" si="540"/>
        <v>0</v>
      </c>
      <c r="BF140" s="61">
        <f t="shared" si="541"/>
        <v>470.71</v>
      </c>
      <c r="BG140" s="59">
        <f t="shared" si="542"/>
        <v>12426.743999999999</v>
      </c>
      <c r="BH140" s="196"/>
      <c r="BI140" s="1">
        <f t="shared" si="543"/>
        <v>0</v>
      </c>
      <c r="BJ140" s="1">
        <f t="shared" si="544"/>
        <v>0</v>
      </c>
      <c r="BK140" s="1">
        <f t="shared" si="545"/>
        <v>0</v>
      </c>
      <c r="BL140" s="1">
        <f t="shared" si="546"/>
        <v>0</v>
      </c>
      <c r="BM140" s="1">
        <f t="shared" si="547"/>
        <v>0</v>
      </c>
      <c r="BN140" s="1">
        <f t="shared" si="548"/>
        <v>0</v>
      </c>
      <c r="BO140" s="1">
        <f t="shared" si="549"/>
        <v>0</v>
      </c>
      <c r="BP140" s="1">
        <f t="shared" si="550"/>
        <v>0</v>
      </c>
      <c r="BQ140" s="1">
        <f t="shared" si="551"/>
        <v>0</v>
      </c>
      <c r="BR140" s="1">
        <f t="shared" si="552"/>
        <v>0</v>
      </c>
      <c r="BS140" s="1">
        <f t="shared" si="553"/>
        <v>0</v>
      </c>
      <c r="BT140" s="1">
        <f t="shared" si="554"/>
        <v>0</v>
      </c>
      <c r="BU140" s="1">
        <f t="shared" si="555"/>
        <v>0</v>
      </c>
      <c r="BV140" s="1">
        <f t="shared" si="556"/>
        <v>0</v>
      </c>
      <c r="BW140" s="1">
        <f t="shared" si="557"/>
        <v>0</v>
      </c>
      <c r="BX140" s="1">
        <f t="shared" si="558"/>
        <v>0</v>
      </c>
      <c r="BY140" s="1">
        <f t="shared" si="559"/>
        <v>0</v>
      </c>
      <c r="BZ140" s="1">
        <f t="shared" si="560"/>
        <v>0</v>
      </c>
      <c r="CA140" s="1">
        <f t="shared" si="561"/>
        <v>0</v>
      </c>
      <c r="CB140" s="1">
        <f t="shared" si="562"/>
        <v>0</v>
      </c>
      <c r="CC140" s="1">
        <f t="shared" si="563"/>
        <v>0</v>
      </c>
      <c r="CD140" s="1">
        <f t="shared" si="564"/>
        <v>0</v>
      </c>
      <c r="CE140" s="1">
        <f t="shared" si="565"/>
        <v>0</v>
      </c>
      <c r="CF140" s="1">
        <f t="shared" si="566"/>
        <v>0</v>
      </c>
      <c r="CG140" s="215">
        <f t="shared" si="758"/>
        <v>0</v>
      </c>
    </row>
    <row r="141" spans="2:85" ht="76.5" outlineLevel="1">
      <c r="C141" s="198" t="s">
        <v>856</v>
      </c>
      <c r="D141" s="55">
        <v>199.63</v>
      </c>
      <c r="E141" s="88" t="s">
        <v>874</v>
      </c>
      <c r="F141" s="56">
        <v>33.6</v>
      </c>
      <c r="G141" s="57">
        <f t="shared" si="515"/>
        <v>6707.5680000000002</v>
      </c>
      <c r="H141" s="28"/>
      <c r="I141" s="59" t="str">
        <f t="shared" si="516"/>
        <v/>
      </c>
      <c r="J141" s="60"/>
      <c r="K141" s="59" t="str">
        <f t="shared" si="517"/>
        <v/>
      </c>
      <c r="L141" s="60"/>
      <c r="M141" s="59" t="str">
        <f t="shared" si="518"/>
        <v/>
      </c>
      <c r="N141" s="60"/>
      <c r="O141" s="59" t="str">
        <f t="shared" si="519"/>
        <v/>
      </c>
      <c r="P141" s="60"/>
      <c r="Q141" s="59" t="str">
        <f t="shared" si="520"/>
        <v/>
      </c>
      <c r="R141" s="60"/>
      <c r="S141" s="59" t="str">
        <f t="shared" si="521"/>
        <v/>
      </c>
      <c r="T141" s="60"/>
      <c r="U141" s="59" t="str">
        <f t="shared" si="522"/>
        <v/>
      </c>
      <c r="V141" s="60"/>
      <c r="W141" s="59" t="str">
        <f t="shared" si="523"/>
        <v/>
      </c>
      <c r="X141" s="95"/>
      <c r="Y141" s="59" t="str">
        <f t="shared" si="524"/>
        <v/>
      </c>
      <c r="Z141" s="95"/>
      <c r="AA141" s="59" t="str">
        <f t="shared" si="525"/>
        <v/>
      </c>
      <c r="AB141" s="60"/>
      <c r="AC141" s="59" t="str">
        <f t="shared" si="526"/>
        <v/>
      </c>
      <c r="AD141" s="60"/>
      <c r="AE141" s="59" t="str">
        <f t="shared" si="527"/>
        <v/>
      </c>
      <c r="AF141" s="95"/>
      <c r="AG141" s="59" t="str">
        <f t="shared" ref="AG141" si="849">+IF(OR($F141="",AF141=""),"",$F141*AF141)</f>
        <v/>
      </c>
      <c r="AH141" s="95"/>
      <c r="AI141" s="59" t="str">
        <f t="shared" si="529"/>
        <v/>
      </c>
      <c r="AJ141" s="60"/>
      <c r="AK141" s="59" t="str">
        <f t="shared" si="529"/>
        <v/>
      </c>
      <c r="AL141" s="60"/>
      <c r="AM141" s="59" t="str">
        <f t="shared" ref="AM141" si="850">+IF(OR($F141="",AL141=""),"",$F141*AL141)</f>
        <v/>
      </c>
      <c r="AN141" s="60"/>
      <c r="AO141" s="59" t="str">
        <f t="shared" ref="AO141" si="851">+IF(OR($F141="",AN141=""),"",$F141*AN141)</f>
        <v/>
      </c>
      <c r="AP141" s="60"/>
      <c r="AQ141" s="59" t="str">
        <f t="shared" ref="AQ141" si="852">+IF(OR($F141="",AP141=""),"",$F141*AP141)</f>
        <v/>
      </c>
      <c r="AR141" s="60"/>
      <c r="AS141" s="59" t="str">
        <f t="shared" ref="AS141" si="853">+IF(OR($F141="",AR141=""),"",$F141*AR141)</f>
        <v/>
      </c>
      <c r="AT141" s="60"/>
      <c r="AU141" s="59" t="str">
        <f t="shared" ref="AU141" si="854">+IF(OR($F141="",AT141=""),"",$F141*AT141)</f>
        <v/>
      </c>
      <c r="AV141" s="60"/>
      <c r="AW141" s="59" t="str">
        <f t="shared" ref="AW141" si="855">+IF(OR($F141="",AV141=""),"",$F141*AV141)</f>
        <v/>
      </c>
      <c r="AX141" s="60"/>
      <c r="AY141" s="59" t="str">
        <f t="shared" ref="AY141" si="856">+IF(OR($F141="",AX141=""),"",$F141*AX141)</f>
        <v/>
      </c>
      <c r="AZ141" s="60"/>
      <c r="BA141" s="59" t="str">
        <f t="shared" ref="BA141" si="857">+IF(OR($F141="",AZ141=""),"",$F141*AZ141)</f>
        <v/>
      </c>
      <c r="BB141" s="60"/>
      <c r="BC141" s="59" t="str">
        <f t="shared" ref="BC141" si="858">+IF(OR($F141="",BB141=""),"",$F141*BB141)</f>
        <v/>
      </c>
      <c r="BD141" s="61">
        <f t="shared" si="539"/>
        <v>0</v>
      </c>
      <c r="BE141" s="59">
        <f t="shared" si="540"/>
        <v>0</v>
      </c>
      <c r="BF141" s="61">
        <f t="shared" si="541"/>
        <v>199.63</v>
      </c>
      <c r="BG141" s="59">
        <f t="shared" si="542"/>
        <v>6707.5680000000002</v>
      </c>
      <c r="BH141" s="196"/>
      <c r="BI141" s="1">
        <f t="shared" si="543"/>
        <v>0</v>
      </c>
      <c r="BJ141" s="1">
        <f t="shared" si="544"/>
        <v>0</v>
      </c>
      <c r="BK141" s="1">
        <f t="shared" si="545"/>
        <v>0</v>
      </c>
      <c r="BL141" s="1">
        <f t="shared" si="546"/>
        <v>0</v>
      </c>
      <c r="BM141" s="1">
        <f t="shared" si="547"/>
        <v>0</v>
      </c>
      <c r="BN141" s="1">
        <f t="shared" si="548"/>
        <v>0</v>
      </c>
      <c r="BO141" s="1">
        <f t="shared" si="549"/>
        <v>0</v>
      </c>
      <c r="BP141" s="1">
        <f t="shared" si="550"/>
        <v>0</v>
      </c>
      <c r="BQ141" s="1">
        <f t="shared" si="551"/>
        <v>0</v>
      </c>
      <c r="BR141" s="1">
        <f t="shared" si="552"/>
        <v>0</v>
      </c>
      <c r="BS141" s="1">
        <f t="shared" si="553"/>
        <v>0</v>
      </c>
      <c r="BT141" s="1">
        <f t="shared" si="554"/>
        <v>0</v>
      </c>
      <c r="BU141" s="1">
        <f t="shared" si="555"/>
        <v>0</v>
      </c>
      <c r="BV141" s="1">
        <f t="shared" si="556"/>
        <v>0</v>
      </c>
      <c r="BW141" s="1">
        <f t="shared" si="557"/>
        <v>0</v>
      </c>
      <c r="BX141" s="1">
        <f t="shared" si="558"/>
        <v>0</v>
      </c>
      <c r="BY141" s="1">
        <f t="shared" si="559"/>
        <v>0</v>
      </c>
      <c r="BZ141" s="1">
        <f t="shared" si="560"/>
        <v>0</v>
      </c>
      <c r="CA141" s="1">
        <f t="shared" si="561"/>
        <v>0</v>
      </c>
      <c r="CB141" s="1">
        <f t="shared" si="562"/>
        <v>0</v>
      </c>
      <c r="CC141" s="1">
        <f t="shared" si="563"/>
        <v>0</v>
      </c>
      <c r="CD141" s="1">
        <f t="shared" si="564"/>
        <v>0</v>
      </c>
      <c r="CE141" s="1">
        <f t="shared" si="565"/>
        <v>0</v>
      </c>
      <c r="CF141" s="1">
        <f t="shared" si="566"/>
        <v>0</v>
      </c>
      <c r="CG141" s="215">
        <f t="shared" si="758"/>
        <v>0</v>
      </c>
    </row>
    <row r="142" spans="2:85" ht="38.25" outlineLevel="1">
      <c r="C142" s="198" t="s">
        <v>857</v>
      </c>
      <c r="D142" s="55">
        <v>470.71</v>
      </c>
      <c r="E142" s="88" t="s">
        <v>874</v>
      </c>
      <c r="F142" s="56">
        <v>5.15</v>
      </c>
      <c r="G142" s="57">
        <f t="shared" si="515"/>
        <v>2424.1565000000001</v>
      </c>
      <c r="H142" s="28"/>
      <c r="I142" s="59" t="str">
        <f t="shared" si="516"/>
        <v/>
      </c>
      <c r="J142" s="60"/>
      <c r="K142" s="59" t="str">
        <f t="shared" si="517"/>
        <v/>
      </c>
      <c r="L142" s="60"/>
      <c r="M142" s="59" t="str">
        <f t="shared" si="518"/>
        <v/>
      </c>
      <c r="N142" s="60"/>
      <c r="O142" s="59" t="str">
        <f t="shared" si="519"/>
        <v/>
      </c>
      <c r="P142" s="60"/>
      <c r="Q142" s="59" t="str">
        <f t="shared" si="520"/>
        <v/>
      </c>
      <c r="R142" s="60"/>
      <c r="S142" s="59" t="str">
        <f t="shared" si="521"/>
        <v/>
      </c>
      <c r="T142" s="60"/>
      <c r="U142" s="59" t="str">
        <f t="shared" si="522"/>
        <v/>
      </c>
      <c r="V142" s="60"/>
      <c r="W142" s="59" t="str">
        <f t="shared" si="523"/>
        <v/>
      </c>
      <c r="X142" s="95"/>
      <c r="Y142" s="59" t="str">
        <f t="shared" si="524"/>
        <v/>
      </c>
      <c r="Z142" s="95"/>
      <c r="AA142" s="59" t="str">
        <f t="shared" si="525"/>
        <v/>
      </c>
      <c r="AB142" s="60"/>
      <c r="AC142" s="59" t="str">
        <f t="shared" si="526"/>
        <v/>
      </c>
      <c r="AD142" s="60"/>
      <c r="AE142" s="59" t="str">
        <f t="shared" si="527"/>
        <v/>
      </c>
      <c r="AF142" s="95"/>
      <c r="AG142" s="59" t="str">
        <f t="shared" ref="AG142" si="859">+IF(OR($F142="",AF142=""),"",$F142*AF142)</f>
        <v/>
      </c>
      <c r="AH142" s="95"/>
      <c r="AI142" s="59" t="str">
        <f t="shared" si="529"/>
        <v/>
      </c>
      <c r="AJ142" s="60"/>
      <c r="AK142" s="59" t="str">
        <f t="shared" si="529"/>
        <v/>
      </c>
      <c r="AL142" s="60"/>
      <c r="AM142" s="59" t="str">
        <f t="shared" ref="AM142" si="860">+IF(OR($F142="",AL142=""),"",$F142*AL142)</f>
        <v/>
      </c>
      <c r="AN142" s="60"/>
      <c r="AO142" s="59" t="str">
        <f t="shared" ref="AO142" si="861">+IF(OR($F142="",AN142=""),"",$F142*AN142)</f>
        <v/>
      </c>
      <c r="AP142" s="60"/>
      <c r="AQ142" s="59" t="str">
        <f t="shared" ref="AQ142" si="862">+IF(OR($F142="",AP142=""),"",$F142*AP142)</f>
        <v/>
      </c>
      <c r="AR142" s="60"/>
      <c r="AS142" s="59" t="str">
        <f t="shared" ref="AS142" si="863">+IF(OR($F142="",AR142=""),"",$F142*AR142)</f>
        <v/>
      </c>
      <c r="AT142" s="60"/>
      <c r="AU142" s="59" t="str">
        <f t="shared" ref="AU142" si="864">+IF(OR($F142="",AT142=""),"",$F142*AT142)</f>
        <v/>
      </c>
      <c r="AV142" s="60"/>
      <c r="AW142" s="59" t="str">
        <f t="shared" ref="AW142" si="865">+IF(OR($F142="",AV142=""),"",$F142*AV142)</f>
        <v/>
      </c>
      <c r="AX142" s="60"/>
      <c r="AY142" s="59" t="str">
        <f t="shared" ref="AY142" si="866">+IF(OR($F142="",AX142=""),"",$F142*AX142)</f>
        <v/>
      </c>
      <c r="AZ142" s="60"/>
      <c r="BA142" s="59" t="str">
        <f t="shared" ref="BA142" si="867">+IF(OR($F142="",AZ142=""),"",$F142*AZ142)</f>
        <v/>
      </c>
      <c r="BB142" s="60"/>
      <c r="BC142" s="59" t="str">
        <f t="shared" ref="BC142" si="868">+IF(OR($F142="",BB142=""),"",$F142*BB142)</f>
        <v/>
      </c>
      <c r="BD142" s="61">
        <f t="shared" si="539"/>
        <v>0</v>
      </c>
      <c r="BE142" s="59">
        <f t="shared" si="540"/>
        <v>0</v>
      </c>
      <c r="BF142" s="61">
        <f t="shared" si="541"/>
        <v>470.71</v>
      </c>
      <c r="BG142" s="59">
        <f t="shared" si="542"/>
        <v>2424.1565000000001</v>
      </c>
      <c r="BH142" s="196"/>
      <c r="BI142" s="1">
        <f t="shared" si="543"/>
        <v>0</v>
      </c>
      <c r="BJ142" s="1">
        <f t="shared" si="544"/>
        <v>0</v>
      </c>
      <c r="BK142" s="1">
        <f t="shared" si="545"/>
        <v>0</v>
      </c>
      <c r="BL142" s="1">
        <f t="shared" si="546"/>
        <v>0</v>
      </c>
      <c r="BM142" s="1">
        <f t="shared" si="547"/>
        <v>0</v>
      </c>
      <c r="BN142" s="1">
        <f t="shared" si="548"/>
        <v>0</v>
      </c>
      <c r="BO142" s="1">
        <f t="shared" si="549"/>
        <v>0</v>
      </c>
      <c r="BP142" s="1">
        <f t="shared" si="550"/>
        <v>0</v>
      </c>
      <c r="BQ142" s="1">
        <f t="shared" si="551"/>
        <v>0</v>
      </c>
      <c r="BR142" s="1">
        <f t="shared" si="552"/>
        <v>0</v>
      </c>
      <c r="BS142" s="1">
        <f t="shared" si="553"/>
        <v>0</v>
      </c>
      <c r="BT142" s="1">
        <f t="shared" si="554"/>
        <v>0</v>
      </c>
      <c r="BU142" s="1">
        <f t="shared" si="555"/>
        <v>0</v>
      </c>
      <c r="BV142" s="1">
        <f t="shared" si="556"/>
        <v>0</v>
      </c>
      <c r="BW142" s="1">
        <f t="shared" si="557"/>
        <v>0</v>
      </c>
      <c r="BX142" s="1">
        <f t="shared" si="558"/>
        <v>0</v>
      </c>
      <c r="BY142" s="1">
        <f t="shared" si="559"/>
        <v>0</v>
      </c>
      <c r="BZ142" s="1">
        <f t="shared" si="560"/>
        <v>0</v>
      </c>
      <c r="CA142" s="1">
        <f t="shared" si="561"/>
        <v>0</v>
      </c>
      <c r="CB142" s="1">
        <f t="shared" si="562"/>
        <v>0</v>
      </c>
      <c r="CC142" s="1">
        <f t="shared" si="563"/>
        <v>0</v>
      </c>
      <c r="CD142" s="1">
        <f t="shared" si="564"/>
        <v>0</v>
      </c>
      <c r="CE142" s="1">
        <f t="shared" si="565"/>
        <v>0</v>
      </c>
      <c r="CF142" s="1">
        <f t="shared" si="566"/>
        <v>0</v>
      </c>
      <c r="CG142" s="215">
        <f t="shared" si="758"/>
        <v>0</v>
      </c>
    </row>
    <row r="143" spans="2:85" ht="89.25" outlineLevel="1">
      <c r="C143" s="198" t="s">
        <v>858</v>
      </c>
      <c r="D143" s="55">
        <v>321.35000000000002</v>
      </c>
      <c r="E143" s="88" t="s">
        <v>875</v>
      </c>
      <c r="F143" s="56">
        <v>18.48</v>
      </c>
      <c r="G143" s="57">
        <f t="shared" si="515"/>
        <v>5938.5480000000007</v>
      </c>
      <c r="H143" s="28"/>
      <c r="I143" s="59" t="str">
        <f t="shared" si="516"/>
        <v/>
      </c>
      <c r="J143" s="60"/>
      <c r="K143" s="59" t="str">
        <f t="shared" si="517"/>
        <v/>
      </c>
      <c r="L143" s="60"/>
      <c r="M143" s="59" t="str">
        <f t="shared" si="518"/>
        <v/>
      </c>
      <c r="N143" s="60"/>
      <c r="O143" s="59" t="str">
        <f t="shared" si="519"/>
        <v/>
      </c>
      <c r="P143" s="60"/>
      <c r="Q143" s="59" t="str">
        <f t="shared" si="520"/>
        <v/>
      </c>
      <c r="R143" s="60"/>
      <c r="S143" s="59" t="str">
        <f t="shared" si="521"/>
        <v/>
      </c>
      <c r="T143" s="60"/>
      <c r="U143" s="59" t="str">
        <f t="shared" si="522"/>
        <v/>
      </c>
      <c r="V143" s="60"/>
      <c r="W143" s="59" t="str">
        <f t="shared" si="523"/>
        <v/>
      </c>
      <c r="X143" s="95"/>
      <c r="Y143" s="59" t="str">
        <f t="shared" si="524"/>
        <v/>
      </c>
      <c r="Z143" s="95"/>
      <c r="AA143" s="59" t="str">
        <f t="shared" si="525"/>
        <v/>
      </c>
      <c r="AB143" s="60"/>
      <c r="AC143" s="59" t="str">
        <f t="shared" si="526"/>
        <v/>
      </c>
      <c r="AD143" s="60"/>
      <c r="AE143" s="59" t="str">
        <f t="shared" si="527"/>
        <v/>
      </c>
      <c r="AF143" s="95"/>
      <c r="AG143" s="59" t="str">
        <f t="shared" ref="AG143" si="869">+IF(OR($F143="",AF143=""),"",$F143*AF143)</f>
        <v/>
      </c>
      <c r="AH143" s="95"/>
      <c r="AI143" s="59" t="str">
        <f t="shared" si="529"/>
        <v/>
      </c>
      <c r="AJ143" s="60"/>
      <c r="AK143" s="59" t="str">
        <f t="shared" si="529"/>
        <v/>
      </c>
      <c r="AL143" s="60"/>
      <c r="AM143" s="59" t="str">
        <f t="shared" ref="AM143" si="870">+IF(OR($F143="",AL143=""),"",$F143*AL143)</f>
        <v/>
      </c>
      <c r="AN143" s="60"/>
      <c r="AO143" s="59" t="str">
        <f t="shared" ref="AO143" si="871">+IF(OR($F143="",AN143=""),"",$F143*AN143)</f>
        <v/>
      </c>
      <c r="AP143" s="60"/>
      <c r="AQ143" s="59" t="str">
        <f t="shared" ref="AQ143" si="872">+IF(OR($F143="",AP143=""),"",$F143*AP143)</f>
        <v/>
      </c>
      <c r="AR143" s="60"/>
      <c r="AS143" s="59" t="str">
        <f t="shared" ref="AS143" si="873">+IF(OR($F143="",AR143=""),"",$F143*AR143)</f>
        <v/>
      </c>
      <c r="AT143" s="60"/>
      <c r="AU143" s="59" t="str">
        <f t="shared" ref="AU143" si="874">+IF(OR($F143="",AT143=""),"",$F143*AT143)</f>
        <v/>
      </c>
      <c r="AV143" s="60"/>
      <c r="AW143" s="59" t="str">
        <f t="shared" ref="AW143" si="875">+IF(OR($F143="",AV143=""),"",$F143*AV143)</f>
        <v/>
      </c>
      <c r="AX143" s="60"/>
      <c r="AY143" s="59" t="str">
        <f t="shared" ref="AY143" si="876">+IF(OR($F143="",AX143=""),"",$F143*AX143)</f>
        <v/>
      </c>
      <c r="AZ143" s="60"/>
      <c r="BA143" s="59" t="str">
        <f t="shared" ref="BA143" si="877">+IF(OR($F143="",AZ143=""),"",$F143*AZ143)</f>
        <v/>
      </c>
      <c r="BB143" s="60"/>
      <c r="BC143" s="59" t="str">
        <f t="shared" ref="BC143" si="878">+IF(OR($F143="",BB143=""),"",$F143*BB143)</f>
        <v/>
      </c>
      <c r="BD143" s="61">
        <f t="shared" si="539"/>
        <v>0</v>
      </c>
      <c r="BE143" s="59">
        <f t="shared" si="540"/>
        <v>0</v>
      </c>
      <c r="BF143" s="61">
        <f t="shared" si="541"/>
        <v>321.35000000000002</v>
      </c>
      <c r="BG143" s="59">
        <f t="shared" si="542"/>
        <v>5938.5480000000007</v>
      </c>
      <c r="BH143" s="196"/>
      <c r="BI143" s="1">
        <f t="shared" si="543"/>
        <v>0</v>
      </c>
      <c r="BJ143" s="1">
        <f t="shared" si="544"/>
        <v>0</v>
      </c>
      <c r="BK143" s="1">
        <f t="shared" si="545"/>
        <v>0</v>
      </c>
      <c r="BL143" s="1">
        <f t="shared" si="546"/>
        <v>0</v>
      </c>
      <c r="BM143" s="1">
        <f t="shared" si="547"/>
        <v>0</v>
      </c>
      <c r="BN143" s="1">
        <f t="shared" si="548"/>
        <v>0</v>
      </c>
      <c r="BO143" s="1">
        <f t="shared" si="549"/>
        <v>0</v>
      </c>
      <c r="BP143" s="1">
        <f t="shared" si="550"/>
        <v>0</v>
      </c>
      <c r="BQ143" s="1">
        <f t="shared" si="551"/>
        <v>0</v>
      </c>
      <c r="BR143" s="1">
        <f t="shared" si="552"/>
        <v>0</v>
      </c>
      <c r="BS143" s="1">
        <f t="shared" si="553"/>
        <v>0</v>
      </c>
      <c r="BT143" s="1">
        <f t="shared" si="554"/>
        <v>0</v>
      </c>
      <c r="BU143" s="1">
        <f t="shared" si="555"/>
        <v>0</v>
      </c>
      <c r="BV143" s="1">
        <f t="shared" si="556"/>
        <v>0</v>
      </c>
      <c r="BW143" s="1">
        <f t="shared" si="557"/>
        <v>0</v>
      </c>
      <c r="BX143" s="1">
        <f t="shared" si="558"/>
        <v>0</v>
      </c>
      <c r="BY143" s="1">
        <f t="shared" si="559"/>
        <v>0</v>
      </c>
      <c r="BZ143" s="1">
        <f t="shared" si="560"/>
        <v>0</v>
      </c>
      <c r="CA143" s="1">
        <f t="shared" si="561"/>
        <v>0</v>
      </c>
      <c r="CB143" s="1">
        <f t="shared" si="562"/>
        <v>0</v>
      </c>
      <c r="CC143" s="1">
        <f t="shared" si="563"/>
        <v>0</v>
      </c>
      <c r="CD143" s="1">
        <f t="shared" si="564"/>
        <v>0</v>
      </c>
      <c r="CE143" s="1">
        <f t="shared" si="565"/>
        <v>0</v>
      </c>
      <c r="CF143" s="1">
        <f t="shared" si="566"/>
        <v>0</v>
      </c>
    </row>
    <row r="144" spans="2:85" s="6" customFormat="1" ht="18" customHeight="1">
      <c r="B144" s="62" t="s">
        <v>877</v>
      </c>
      <c r="C144" s="25" t="s">
        <v>876</v>
      </c>
      <c r="D144" s="49"/>
      <c r="E144" s="85"/>
      <c r="F144" s="50"/>
      <c r="G144" s="63">
        <f>+SUM(G145:G180)</f>
        <v>-4127.5076455509852</v>
      </c>
      <c r="H144" s="51"/>
      <c r="I144" s="52" t="str">
        <f>IF(SUM(I145:I180)=0,"",SUM(I145:I180))</f>
        <v/>
      </c>
      <c r="J144" s="53"/>
      <c r="K144" s="52" t="str">
        <f>IF(SUM(K145:K180)=0,"",SUM(K145:K180))</f>
        <v/>
      </c>
      <c r="L144" s="53"/>
      <c r="M144" s="52" t="str">
        <f>IF(SUM(M145:M180)=0,"",SUM(M145:M180))</f>
        <v/>
      </c>
      <c r="N144" s="53"/>
      <c r="O144" s="52" t="str">
        <f>IF(SUM(O145:O180)=0,"",SUM(O145:O180))</f>
        <v/>
      </c>
      <c r="P144" s="51"/>
      <c r="Q144" s="52" t="str">
        <f>IF(SUM(Q145:Q180)=0,"",SUM(Q145:Q180))</f>
        <v/>
      </c>
      <c r="R144" s="53"/>
      <c r="S144" s="52" t="str">
        <f>IF(SUM(S145:S180)=0,"",SUM(S145:S180))</f>
        <v/>
      </c>
      <c r="T144" s="53"/>
      <c r="U144" s="52" t="str">
        <f>IF(SUM(U145:U180)=0,"",SUM(U145:U180))</f>
        <v/>
      </c>
      <c r="V144" s="53"/>
      <c r="W144" s="52" t="str">
        <f>IF(SUM(W145:W180)=0,"",SUM(W145:W180))</f>
        <v/>
      </c>
      <c r="X144" s="51"/>
      <c r="Y144" s="52" t="str">
        <f>IF(SUM(Y145:Y180)=0,"",SUM(Y145:Y180))</f>
        <v/>
      </c>
      <c r="Z144" s="53"/>
      <c r="AA144" s="52" t="str">
        <f>IF(SUM(AA145:AA180)=0,"",SUM(AA145:AA180))</f>
        <v/>
      </c>
      <c r="AB144" s="53"/>
      <c r="AC144" s="52" t="str">
        <f>IF(SUM(AC145:AC180)=0,"",SUM(AC145:AC180))</f>
        <v/>
      </c>
      <c r="AD144" s="53"/>
      <c r="AE144" s="52" t="str">
        <f>IF(SUM(AE145:AE180)=0,"",SUM(AE145:AE180))</f>
        <v/>
      </c>
      <c r="AF144" s="192"/>
      <c r="AG144" s="52" t="str">
        <f>IF(SUM(AG145:AG180)=0,"",SUM(AG145:AG180))</f>
        <v/>
      </c>
      <c r="AH144" s="91"/>
      <c r="AI144" s="52" t="str">
        <f>IF(SUM(AI145:AI180)=0,"",SUM(AI145:AI180))</f>
        <v/>
      </c>
      <c r="AJ144" s="53"/>
      <c r="AK144" s="52" t="str">
        <f>IF(SUM(AK145:AK180)=0,"",SUM(AK145:AK180))</f>
        <v/>
      </c>
      <c r="AL144" s="53"/>
      <c r="AM144" s="52" t="str">
        <f>IF(SUM(AM145:AM180)=0,"",SUM(AM145:AM180))</f>
        <v/>
      </c>
      <c r="AN144" s="51"/>
      <c r="AO144" s="52" t="str">
        <f>IF(SUM(AO145:AO180)=0,"",SUM(AO145:AO180))</f>
        <v/>
      </c>
      <c r="AP144" s="53"/>
      <c r="AQ144" s="52" t="str">
        <f>IF(SUM(AQ145:AQ180)=0,"",SUM(AQ145:AQ180))</f>
        <v/>
      </c>
      <c r="AR144" s="53"/>
      <c r="AS144" s="52" t="str">
        <f>IF(SUM(AS145:AS180)=0,"",SUM(AS145:AS180))</f>
        <v/>
      </c>
      <c r="AT144" s="53"/>
      <c r="AU144" s="52" t="str">
        <f>IF(SUM(AU145:AU180)=0,"",SUM(AU145:AU180))</f>
        <v/>
      </c>
      <c r="AV144" s="51"/>
      <c r="AW144" s="52" t="str">
        <f>IF(SUM(AW145:AW180)=0,"",SUM(AW145:AW180))</f>
        <v/>
      </c>
      <c r="AX144" s="53"/>
      <c r="AY144" s="52" t="str">
        <f>IF(SUM(AY145:AY180)=0,"",SUM(AY145:AY180))</f>
        <v/>
      </c>
      <c r="AZ144" s="53"/>
      <c r="BA144" s="52" t="str">
        <f>IF(SUM(BA145:BA180)=0,"",SUM(BA145:BA180))</f>
        <v/>
      </c>
      <c r="BB144" s="53"/>
      <c r="BC144" s="52" t="str">
        <f>IF(SUM(BC145:BC180)=0,"",SUM(BC145:BC180))</f>
        <v/>
      </c>
      <c r="BD144" s="54"/>
      <c r="BE144" s="63">
        <f>+SUM(BE145:BE180)</f>
        <v>0</v>
      </c>
      <c r="BF144" s="54"/>
      <c r="BG144" s="52">
        <f>+SUM(BG145:BG180)</f>
        <v>-4127.5076455509852</v>
      </c>
      <c r="BH144" s="210"/>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row>
    <row r="145" spans="3:85" ht="22.5" outlineLevel="1">
      <c r="C145" s="27" t="s">
        <v>879</v>
      </c>
      <c r="D145" s="55">
        <v>-1</v>
      </c>
      <c r="E145" s="88" t="s">
        <v>828</v>
      </c>
      <c r="F145" s="56">
        <v>983.68</v>
      </c>
      <c r="G145" s="57">
        <f t="shared" si="515"/>
        <v>-983.68</v>
      </c>
      <c r="H145" s="28"/>
      <c r="I145" s="59" t="str">
        <f t="shared" si="516"/>
        <v/>
      </c>
      <c r="J145" s="60"/>
      <c r="K145" s="59" t="str">
        <f t="shared" si="517"/>
        <v/>
      </c>
      <c r="L145" s="60"/>
      <c r="M145" s="59" t="str">
        <f t="shared" si="518"/>
        <v/>
      </c>
      <c r="N145" s="60"/>
      <c r="O145" s="59" t="str">
        <f t="shared" si="519"/>
        <v/>
      </c>
      <c r="P145" s="60"/>
      <c r="Q145" s="59" t="str">
        <f t="shared" si="520"/>
        <v/>
      </c>
      <c r="R145" s="60"/>
      <c r="S145" s="59" t="str">
        <f t="shared" si="521"/>
        <v/>
      </c>
      <c r="T145" s="60"/>
      <c r="U145" s="59" t="str">
        <f t="shared" si="522"/>
        <v/>
      </c>
      <c r="V145" s="60"/>
      <c r="W145" s="59" t="str">
        <f t="shared" si="523"/>
        <v/>
      </c>
      <c r="X145" s="95"/>
      <c r="Y145" s="59" t="str">
        <f t="shared" si="524"/>
        <v/>
      </c>
      <c r="Z145" s="95"/>
      <c r="AA145" s="59" t="str">
        <f t="shared" si="525"/>
        <v/>
      </c>
      <c r="AB145" s="60"/>
      <c r="AC145" s="59" t="str">
        <f t="shared" si="526"/>
        <v/>
      </c>
      <c r="AD145" s="60"/>
      <c r="AE145" s="59" t="str">
        <f t="shared" si="527"/>
        <v/>
      </c>
      <c r="AF145" s="95"/>
      <c r="AG145" s="59" t="str">
        <f t="shared" ref="AG145" si="879">+IF(OR($F145="",AF145=""),"",$F145*AF145)</f>
        <v/>
      </c>
      <c r="AH145" s="95"/>
      <c r="AI145" s="59" t="str">
        <f t="shared" si="529"/>
        <v/>
      </c>
      <c r="AJ145" s="60"/>
      <c r="AK145" s="59" t="str">
        <f t="shared" si="529"/>
        <v/>
      </c>
      <c r="AL145" s="60"/>
      <c r="AM145" s="59" t="str">
        <f t="shared" ref="AM145" si="880">+IF(OR($F145="",AL145=""),"",$F145*AL145)</f>
        <v/>
      </c>
      <c r="AN145" s="60"/>
      <c r="AO145" s="59" t="str">
        <f t="shared" ref="AO145" si="881">+IF(OR($F145="",AN145=""),"",$F145*AN145)</f>
        <v/>
      </c>
      <c r="AP145" s="60"/>
      <c r="AQ145" s="59" t="str">
        <f t="shared" ref="AQ145" si="882">+IF(OR($F145="",AP145=""),"",$F145*AP145)</f>
        <v/>
      </c>
      <c r="AR145" s="60"/>
      <c r="AS145" s="59" t="str">
        <f t="shared" ref="AS145" si="883">+IF(OR($F145="",AR145=""),"",$F145*AR145)</f>
        <v/>
      </c>
      <c r="AT145" s="60"/>
      <c r="AU145" s="59" t="str">
        <f t="shared" ref="AU145" si="884">+IF(OR($F145="",AT145=""),"",$F145*AT145)</f>
        <v/>
      </c>
      <c r="AV145" s="60"/>
      <c r="AW145" s="59" t="str">
        <f t="shared" ref="AW145" si="885">+IF(OR($F145="",AV145=""),"",$F145*AV145)</f>
        <v/>
      </c>
      <c r="AX145" s="60"/>
      <c r="AY145" s="59" t="str">
        <f t="shared" ref="AY145" si="886">+IF(OR($F145="",AX145=""),"",$F145*AX145)</f>
        <v/>
      </c>
      <c r="AZ145" s="60"/>
      <c r="BA145" s="59" t="str">
        <f t="shared" ref="BA145" si="887">+IF(OR($F145="",AZ145=""),"",$F145*AZ145)</f>
        <v/>
      </c>
      <c r="BB145" s="60"/>
      <c r="BC145" s="59" t="str">
        <f t="shared" ref="BC145" si="888">+IF(OR($F145="",BB145=""),"",$F145*BB145)</f>
        <v/>
      </c>
      <c r="BD145" s="61">
        <f t="shared" si="539"/>
        <v>0</v>
      </c>
      <c r="BE145" s="59">
        <f t="shared" si="540"/>
        <v>0</v>
      </c>
      <c r="BF145" s="61">
        <f t="shared" si="541"/>
        <v>-1</v>
      </c>
      <c r="BG145" s="59">
        <f t="shared" si="542"/>
        <v>-983.68</v>
      </c>
      <c r="BH145" s="196"/>
      <c r="BI145" s="1">
        <f t="shared" si="543"/>
        <v>0</v>
      </c>
      <c r="BJ145" s="1">
        <f t="shared" si="544"/>
        <v>0</v>
      </c>
      <c r="BK145" s="1">
        <f t="shared" si="545"/>
        <v>0</v>
      </c>
      <c r="BL145" s="1">
        <f t="shared" si="546"/>
        <v>0</v>
      </c>
      <c r="BM145" s="1">
        <f t="shared" si="547"/>
        <v>0</v>
      </c>
      <c r="BN145" s="1">
        <f t="shared" si="548"/>
        <v>0</v>
      </c>
      <c r="BO145" s="1">
        <f t="shared" si="549"/>
        <v>0</v>
      </c>
      <c r="BP145" s="1">
        <f t="shared" si="550"/>
        <v>0</v>
      </c>
      <c r="BQ145" s="1">
        <f t="shared" si="551"/>
        <v>0</v>
      </c>
      <c r="BR145" s="1">
        <f t="shared" si="552"/>
        <v>0</v>
      </c>
      <c r="BS145" s="1">
        <f t="shared" si="553"/>
        <v>0</v>
      </c>
      <c r="BT145" s="1">
        <f t="shared" si="554"/>
        <v>0</v>
      </c>
      <c r="BU145" s="1">
        <f t="shared" si="555"/>
        <v>0</v>
      </c>
      <c r="BV145" s="1">
        <f t="shared" si="556"/>
        <v>0</v>
      </c>
      <c r="BW145" s="1">
        <f t="shared" si="557"/>
        <v>0</v>
      </c>
      <c r="BX145" s="1">
        <f t="shared" si="558"/>
        <v>0</v>
      </c>
      <c r="BY145" s="1">
        <f t="shared" si="559"/>
        <v>0</v>
      </c>
      <c r="BZ145" s="1">
        <f t="shared" si="560"/>
        <v>0</v>
      </c>
      <c r="CA145" s="1">
        <f t="shared" si="561"/>
        <v>0</v>
      </c>
      <c r="CB145" s="1">
        <f t="shared" si="562"/>
        <v>0</v>
      </c>
      <c r="CC145" s="1">
        <f t="shared" si="563"/>
        <v>0</v>
      </c>
      <c r="CD145" s="1">
        <f t="shared" si="564"/>
        <v>0</v>
      </c>
      <c r="CE145" s="1">
        <f t="shared" si="565"/>
        <v>0</v>
      </c>
      <c r="CF145" s="1">
        <f t="shared" si="566"/>
        <v>0</v>
      </c>
    </row>
    <row r="146" spans="3:85" ht="33.75" outlineLevel="1">
      <c r="C146" s="27" t="s">
        <v>880</v>
      </c>
      <c r="D146" s="55">
        <v>-4</v>
      </c>
      <c r="E146" s="88" t="s">
        <v>828</v>
      </c>
      <c r="F146" s="56">
        <v>956.48</v>
      </c>
      <c r="G146" s="57">
        <f t="shared" si="515"/>
        <v>-3825.92</v>
      </c>
      <c r="H146" s="28"/>
      <c r="I146" s="59" t="str">
        <f t="shared" si="516"/>
        <v/>
      </c>
      <c r="J146" s="60"/>
      <c r="K146" s="59" t="str">
        <f t="shared" si="517"/>
        <v/>
      </c>
      <c r="L146" s="60"/>
      <c r="M146" s="59" t="str">
        <f t="shared" si="518"/>
        <v/>
      </c>
      <c r="N146" s="60"/>
      <c r="O146" s="59" t="str">
        <f t="shared" si="519"/>
        <v/>
      </c>
      <c r="P146" s="60"/>
      <c r="Q146" s="59" t="str">
        <f t="shared" si="520"/>
        <v/>
      </c>
      <c r="R146" s="60"/>
      <c r="S146" s="59" t="str">
        <f t="shared" si="521"/>
        <v/>
      </c>
      <c r="T146" s="60"/>
      <c r="U146" s="59" t="str">
        <f t="shared" si="522"/>
        <v/>
      </c>
      <c r="V146" s="60"/>
      <c r="W146" s="59" t="str">
        <f t="shared" si="523"/>
        <v/>
      </c>
      <c r="X146" s="95"/>
      <c r="Y146" s="59" t="str">
        <f t="shared" si="524"/>
        <v/>
      </c>
      <c r="Z146" s="95"/>
      <c r="AA146" s="59" t="str">
        <f t="shared" si="525"/>
        <v/>
      </c>
      <c r="AB146" s="60"/>
      <c r="AC146" s="59" t="str">
        <f t="shared" si="526"/>
        <v/>
      </c>
      <c r="AD146" s="60"/>
      <c r="AE146" s="59" t="str">
        <f t="shared" si="527"/>
        <v/>
      </c>
      <c r="AF146" s="95"/>
      <c r="AG146" s="59" t="str">
        <f t="shared" ref="AG146" si="889">+IF(OR($F146="",AF146=""),"",$F146*AF146)</f>
        <v/>
      </c>
      <c r="AH146" s="95"/>
      <c r="AI146" s="59" t="str">
        <f t="shared" si="529"/>
        <v/>
      </c>
      <c r="AJ146" s="60"/>
      <c r="AK146" s="59" t="str">
        <f t="shared" si="529"/>
        <v/>
      </c>
      <c r="AL146" s="60"/>
      <c r="AM146" s="59" t="str">
        <f t="shared" ref="AM146" si="890">+IF(OR($F146="",AL146=""),"",$F146*AL146)</f>
        <v/>
      </c>
      <c r="AN146" s="60"/>
      <c r="AO146" s="59" t="str">
        <f t="shared" ref="AO146" si="891">+IF(OR($F146="",AN146=""),"",$F146*AN146)</f>
        <v/>
      </c>
      <c r="AP146" s="60"/>
      <c r="AQ146" s="59" t="str">
        <f t="shared" ref="AQ146" si="892">+IF(OR($F146="",AP146=""),"",$F146*AP146)</f>
        <v/>
      </c>
      <c r="AR146" s="60"/>
      <c r="AS146" s="59" t="str">
        <f t="shared" ref="AS146" si="893">+IF(OR($F146="",AR146=""),"",$F146*AR146)</f>
        <v/>
      </c>
      <c r="AT146" s="60"/>
      <c r="AU146" s="59" t="str">
        <f t="shared" ref="AU146" si="894">+IF(OR($F146="",AT146=""),"",$F146*AT146)</f>
        <v/>
      </c>
      <c r="AV146" s="60"/>
      <c r="AW146" s="59" t="str">
        <f t="shared" ref="AW146" si="895">+IF(OR($F146="",AV146=""),"",$F146*AV146)</f>
        <v/>
      </c>
      <c r="AX146" s="60"/>
      <c r="AY146" s="59" t="str">
        <f t="shared" ref="AY146" si="896">+IF(OR($F146="",AX146=""),"",$F146*AX146)</f>
        <v/>
      </c>
      <c r="AZ146" s="60"/>
      <c r="BA146" s="59" t="str">
        <f t="shared" ref="BA146" si="897">+IF(OR($F146="",AZ146=""),"",$F146*AZ146)</f>
        <v/>
      </c>
      <c r="BB146" s="60"/>
      <c r="BC146" s="59" t="str">
        <f t="shared" ref="BC146" si="898">+IF(OR($F146="",BB146=""),"",$F146*BB146)</f>
        <v/>
      </c>
      <c r="BD146" s="61">
        <f t="shared" si="539"/>
        <v>0</v>
      </c>
      <c r="BE146" s="59">
        <f t="shared" si="540"/>
        <v>0</v>
      </c>
      <c r="BF146" s="61">
        <f t="shared" si="541"/>
        <v>-4</v>
      </c>
      <c r="BG146" s="59">
        <f t="shared" si="542"/>
        <v>-3825.92</v>
      </c>
      <c r="BH146" s="196"/>
      <c r="BI146" s="1">
        <f t="shared" si="543"/>
        <v>0</v>
      </c>
      <c r="BJ146" s="1">
        <f t="shared" si="544"/>
        <v>0</v>
      </c>
      <c r="BK146" s="1">
        <f t="shared" si="545"/>
        <v>0</v>
      </c>
      <c r="BL146" s="1">
        <f t="shared" si="546"/>
        <v>0</v>
      </c>
      <c r="BM146" s="1">
        <f t="shared" si="547"/>
        <v>0</v>
      </c>
      <c r="BN146" s="1">
        <f t="shared" si="548"/>
        <v>0</v>
      </c>
      <c r="BO146" s="1">
        <f t="shared" si="549"/>
        <v>0</v>
      </c>
      <c r="BP146" s="1">
        <f t="shared" si="550"/>
        <v>0</v>
      </c>
      <c r="BQ146" s="1">
        <f t="shared" si="551"/>
        <v>0</v>
      </c>
      <c r="BR146" s="1">
        <f t="shared" si="552"/>
        <v>0</v>
      </c>
      <c r="BS146" s="1">
        <f t="shared" si="553"/>
        <v>0</v>
      </c>
      <c r="BT146" s="1">
        <f t="shared" si="554"/>
        <v>0</v>
      </c>
      <c r="BU146" s="1">
        <f t="shared" si="555"/>
        <v>0</v>
      </c>
      <c r="BV146" s="1">
        <f t="shared" si="556"/>
        <v>0</v>
      </c>
      <c r="BW146" s="1">
        <f t="shared" si="557"/>
        <v>0</v>
      </c>
      <c r="BX146" s="1">
        <f t="shared" si="558"/>
        <v>0</v>
      </c>
      <c r="BY146" s="1">
        <f t="shared" si="559"/>
        <v>0</v>
      </c>
      <c r="BZ146" s="1">
        <f t="shared" si="560"/>
        <v>0</v>
      </c>
      <c r="CA146" s="1">
        <f t="shared" si="561"/>
        <v>0</v>
      </c>
      <c r="CB146" s="1">
        <f t="shared" si="562"/>
        <v>0</v>
      </c>
      <c r="CC146" s="1">
        <f t="shared" si="563"/>
        <v>0</v>
      </c>
      <c r="CD146" s="1">
        <f t="shared" si="564"/>
        <v>0</v>
      </c>
      <c r="CE146" s="1">
        <f t="shared" si="565"/>
        <v>0</v>
      </c>
      <c r="CF146" s="1">
        <f t="shared" si="566"/>
        <v>0</v>
      </c>
    </row>
    <row r="147" spans="3:85" ht="33.75" outlineLevel="1">
      <c r="C147" s="27" t="s">
        <v>881</v>
      </c>
      <c r="D147" s="55">
        <v>-1</v>
      </c>
      <c r="E147" s="88" t="s">
        <v>828</v>
      </c>
      <c r="F147" s="56">
        <v>954.18</v>
      </c>
      <c r="G147" s="57">
        <f t="shared" si="515"/>
        <v>-954.18</v>
      </c>
      <c r="H147" s="28"/>
      <c r="I147" s="59" t="str">
        <f t="shared" si="516"/>
        <v/>
      </c>
      <c r="J147" s="60"/>
      <c r="K147" s="59" t="str">
        <f t="shared" si="517"/>
        <v/>
      </c>
      <c r="L147" s="60"/>
      <c r="M147" s="59" t="str">
        <f t="shared" si="518"/>
        <v/>
      </c>
      <c r="N147" s="60"/>
      <c r="O147" s="59" t="str">
        <f t="shared" si="519"/>
        <v/>
      </c>
      <c r="P147" s="60"/>
      <c r="Q147" s="59" t="str">
        <f t="shared" si="520"/>
        <v/>
      </c>
      <c r="R147" s="60"/>
      <c r="S147" s="59" t="str">
        <f t="shared" si="521"/>
        <v/>
      </c>
      <c r="T147" s="60"/>
      <c r="U147" s="59" t="str">
        <f t="shared" si="522"/>
        <v/>
      </c>
      <c r="V147" s="60"/>
      <c r="W147" s="59" t="str">
        <f t="shared" si="523"/>
        <v/>
      </c>
      <c r="X147" s="95"/>
      <c r="Y147" s="59" t="str">
        <f t="shared" si="524"/>
        <v/>
      </c>
      <c r="Z147" s="95"/>
      <c r="AA147" s="59" t="str">
        <f t="shared" si="525"/>
        <v/>
      </c>
      <c r="AB147" s="60"/>
      <c r="AC147" s="59" t="str">
        <f t="shared" si="526"/>
        <v/>
      </c>
      <c r="AD147" s="60"/>
      <c r="AE147" s="59" t="str">
        <f t="shared" si="527"/>
        <v/>
      </c>
      <c r="AF147" s="95"/>
      <c r="AG147" s="59" t="str">
        <f t="shared" ref="AG147" si="899">+IF(OR($F147="",AF147=""),"",$F147*AF147)</f>
        <v/>
      </c>
      <c r="AH147" s="95"/>
      <c r="AI147" s="59" t="str">
        <f t="shared" si="529"/>
        <v/>
      </c>
      <c r="AJ147" s="60"/>
      <c r="AK147" s="59" t="str">
        <f t="shared" si="529"/>
        <v/>
      </c>
      <c r="AL147" s="60"/>
      <c r="AM147" s="59" t="str">
        <f t="shared" ref="AM147" si="900">+IF(OR($F147="",AL147=""),"",$F147*AL147)</f>
        <v/>
      </c>
      <c r="AN147" s="60"/>
      <c r="AO147" s="59" t="str">
        <f t="shared" ref="AO147" si="901">+IF(OR($F147="",AN147=""),"",$F147*AN147)</f>
        <v/>
      </c>
      <c r="AP147" s="60"/>
      <c r="AQ147" s="59" t="str">
        <f t="shared" ref="AQ147" si="902">+IF(OR($F147="",AP147=""),"",$F147*AP147)</f>
        <v/>
      </c>
      <c r="AR147" s="60"/>
      <c r="AS147" s="59" t="str">
        <f t="shared" ref="AS147" si="903">+IF(OR($F147="",AR147=""),"",$F147*AR147)</f>
        <v/>
      </c>
      <c r="AT147" s="60"/>
      <c r="AU147" s="59" t="str">
        <f t="shared" ref="AU147" si="904">+IF(OR($F147="",AT147=""),"",$F147*AT147)</f>
        <v/>
      </c>
      <c r="AV147" s="60"/>
      <c r="AW147" s="59" t="str">
        <f t="shared" ref="AW147" si="905">+IF(OR($F147="",AV147=""),"",$F147*AV147)</f>
        <v/>
      </c>
      <c r="AX147" s="60"/>
      <c r="AY147" s="59" t="str">
        <f t="shared" ref="AY147" si="906">+IF(OR($F147="",AX147=""),"",$F147*AX147)</f>
        <v/>
      </c>
      <c r="AZ147" s="60"/>
      <c r="BA147" s="59" t="str">
        <f t="shared" ref="BA147" si="907">+IF(OR($F147="",AZ147=""),"",$F147*AZ147)</f>
        <v/>
      </c>
      <c r="BB147" s="60"/>
      <c r="BC147" s="59" t="str">
        <f t="shared" ref="BC147" si="908">+IF(OR($F147="",BB147=""),"",$F147*BB147)</f>
        <v/>
      </c>
      <c r="BD147" s="61">
        <f t="shared" si="539"/>
        <v>0</v>
      </c>
      <c r="BE147" s="59">
        <f t="shared" si="540"/>
        <v>0</v>
      </c>
      <c r="BF147" s="61">
        <f t="shared" si="541"/>
        <v>-1</v>
      </c>
      <c r="BG147" s="59">
        <f t="shared" si="542"/>
        <v>-954.18</v>
      </c>
      <c r="BH147" s="196"/>
      <c r="BI147" s="1">
        <f t="shared" si="543"/>
        <v>0</v>
      </c>
      <c r="BJ147" s="1">
        <f t="shared" si="544"/>
        <v>0</v>
      </c>
      <c r="BK147" s="1">
        <f t="shared" si="545"/>
        <v>0</v>
      </c>
      <c r="BL147" s="1">
        <f t="shared" si="546"/>
        <v>0</v>
      </c>
      <c r="BM147" s="1">
        <f t="shared" si="547"/>
        <v>0</v>
      </c>
      <c r="BN147" s="1">
        <f t="shared" si="548"/>
        <v>0</v>
      </c>
      <c r="BO147" s="1">
        <f t="shared" si="549"/>
        <v>0</v>
      </c>
      <c r="BP147" s="1">
        <f t="shared" si="550"/>
        <v>0</v>
      </c>
      <c r="BQ147" s="1">
        <f t="shared" si="551"/>
        <v>0</v>
      </c>
      <c r="BR147" s="1">
        <f t="shared" si="552"/>
        <v>0</v>
      </c>
      <c r="BS147" s="1">
        <f t="shared" si="553"/>
        <v>0</v>
      </c>
      <c r="BT147" s="1">
        <f t="shared" si="554"/>
        <v>0</v>
      </c>
      <c r="BU147" s="1">
        <f t="shared" si="555"/>
        <v>0</v>
      </c>
      <c r="BV147" s="1">
        <f t="shared" si="556"/>
        <v>0</v>
      </c>
      <c r="BW147" s="1">
        <f t="shared" si="557"/>
        <v>0</v>
      </c>
      <c r="BX147" s="1">
        <f t="shared" si="558"/>
        <v>0</v>
      </c>
      <c r="BY147" s="1">
        <f t="shared" si="559"/>
        <v>0</v>
      </c>
      <c r="BZ147" s="1">
        <f t="shared" si="560"/>
        <v>0</v>
      </c>
      <c r="CA147" s="1">
        <f t="shared" si="561"/>
        <v>0</v>
      </c>
      <c r="CB147" s="1">
        <f t="shared" si="562"/>
        <v>0</v>
      </c>
      <c r="CC147" s="1">
        <f t="shared" si="563"/>
        <v>0</v>
      </c>
      <c r="CD147" s="1">
        <f t="shared" si="564"/>
        <v>0</v>
      </c>
      <c r="CE147" s="1">
        <f t="shared" si="565"/>
        <v>0</v>
      </c>
      <c r="CF147" s="1">
        <f t="shared" si="566"/>
        <v>0</v>
      </c>
    </row>
    <row r="148" spans="3:85" ht="22.5" outlineLevel="1">
      <c r="C148" s="27" t="s">
        <v>882</v>
      </c>
      <c r="D148" s="55">
        <v>-4</v>
      </c>
      <c r="E148" s="88" t="s">
        <v>828</v>
      </c>
      <c r="F148" s="56">
        <v>584.17999999999995</v>
      </c>
      <c r="G148" s="57">
        <f t="shared" si="515"/>
        <v>-2336.7199999999998</v>
      </c>
      <c r="H148" s="28"/>
      <c r="I148" s="59" t="str">
        <f t="shared" si="516"/>
        <v/>
      </c>
      <c r="J148" s="60"/>
      <c r="K148" s="59" t="str">
        <f t="shared" si="517"/>
        <v/>
      </c>
      <c r="L148" s="60"/>
      <c r="M148" s="59" t="str">
        <f t="shared" si="518"/>
        <v/>
      </c>
      <c r="N148" s="60"/>
      <c r="O148" s="59" t="str">
        <f t="shared" si="519"/>
        <v/>
      </c>
      <c r="P148" s="60"/>
      <c r="Q148" s="59" t="str">
        <f t="shared" si="520"/>
        <v/>
      </c>
      <c r="R148" s="60"/>
      <c r="S148" s="59" t="str">
        <f t="shared" si="521"/>
        <v/>
      </c>
      <c r="T148" s="60"/>
      <c r="U148" s="59" t="str">
        <f t="shared" si="522"/>
        <v/>
      </c>
      <c r="V148" s="60"/>
      <c r="W148" s="59" t="str">
        <f t="shared" si="523"/>
        <v/>
      </c>
      <c r="X148" s="95"/>
      <c r="Y148" s="59" t="str">
        <f t="shared" si="524"/>
        <v/>
      </c>
      <c r="Z148" s="95"/>
      <c r="AA148" s="59" t="str">
        <f t="shared" si="525"/>
        <v/>
      </c>
      <c r="AB148" s="60"/>
      <c r="AC148" s="59" t="str">
        <f t="shared" si="526"/>
        <v/>
      </c>
      <c r="AD148" s="60"/>
      <c r="AE148" s="59" t="str">
        <f t="shared" si="527"/>
        <v/>
      </c>
      <c r="AF148" s="95"/>
      <c r="AG148" s="59" t="str">
        <f t="shared" ref="AG148" si="909">+IF(OR($F148="",AF148=""),"",$F148*AF148)</f>
        <v/>
      </c>
      <c r="AH148" s="95"/>
      <c r="AI148" s="59" t="str">
        <f t="shared" si="529"/>
        <v/>
      </c>
      <c r="AJ148" s="60"/>
      <c r="AK148" s="59" t="str">
        <f t="shared" si="529"/>
        <v/>
      </c>
      <c r="AL148" s="60"/>
      <c r="AM148" s="59" t="str">
        <f t="shared" ref="AM148" si="910">+IF(OR($F148="",AL148=""),"",$F148*AL148)</f>
        <v/>
      </c>
      <c r="AN148" s="60"/>
      <c r="AO148" s="59" t="str">
        <f t="shared" ref="AO148" si="911">+IF(OR($F148="",AN148=""),"",$F148*AN148)</f>
        <v/>
      </c>
      <c r="AP148" s="60"/>
      <c r="AQ148" s="59" t="str">
        <f t="shared" ref="AQ148" si="912">+IF(OR($F148="",AP148=""),"",$F148*AP148)</f>
        <v/>
      </c>
      <c r="AR148" s="60"/>
      <c r="AS148" s="59" t="str">
        <f t="shared" ref="AS148" si="913">+IF(OR($F148="",AR148=""),"",$F148*AR148)</f>
        <v/>
      </c>
      <c r="AT148" s="60"/>
      <c r="AU148" s="59" t="str">
        <f t="shared" ref="AU148" si="914">+IF(OR($F148="",AT148=""),"",$F148*AT148)</f>
        <v/>
      </c>
      <c r="AV148" s="60"/>
      <c r="AW148" s="59" t="str">
        <f t="shared" ref="AW148" si="915">+IF(OR($F148="",AV148=""),"",$F148*AV148)</f>
        <v/>
      </c>
      <c r="AX148" s="60"/>
      <c r="AY148" s="59" t="str">
        <f t="shared" ref="AY148" si="916">+IF(OR($F148="",AX148=""),"",$F148*AX148)</f>
        <v/>
      </c>
      <c r="AZ148" s="60"/>
      <c r="BA148" s="59" t="str">
        <f t="shared" ref="BA148" si="917">+IF(OR($F148="",AZ148=""),"",$F148*AZ148)</f>
        <v/>
      </c>
      <c r="BB148" s="60"/>
      <c r="BC148" s="59" t="str">
        <f t="shared" ref="BC148" si="918">+IF(OR($F148="",BB148=""),"",$F148*BB148)</f>
        <v/>
      </c>
      <c r="BD148" s="61">
        <f t="shared" si="539"/>
        <v>0</v>
      </c>
      <c r="BE148" s="59">
        <f t="shared" si="540"/>
        <v>0</v>
      </c>
      <c r="BF148" s="61">
        <f t="shared" si="541"/>
        <v>-4</v>
      </c>
      <c r="BG148" s="59">
        <f t="shared" si="542"/>
        <v>-2336.7199999999998</v>
      </c>
      <c r="BH148" s="196"/>
      <c r="BI148" s="1">
        <f t="shared" si="543"/>
        <v>0</v>
      </c>
      <c r="BJ148" s="1">
        <f t="shared" si="544"/>
        <v>0</v>
      </c>
      <c r="BK148" s="1">
        <f t="shared" si="545"/>
        <v>0</v>
      </c>
      <c r="BL148" s="1">
        <f t="shared" si="546"/>
        <v>0</v>
      </c>
      <c r="BM148" s="1">
        <f t="shared" si="547"/>
        <v>0</v>
      </c>
      <c r="BN148" s="1">
        <f t="shared" si="548"/>
        <v>0</v>
      </c>
      <c r="BO148" s="1">
        <f t="shared" si="549"/>
        <v>0</v>
      </c>
      <c r="BP148" s="1">
        <f t="shared" si="550"/>
        <v>0</v>
      </c>
      <c r="BQ148" s="1">
        <f t="shared" si="551"/>
        <v>0</v>
      </c>
      <c r="BR148" s="1">
        <f t="shared" si="552"/>
        <v>0</v>
      </c>
      <c r="BS148" s="1">
        <f t="shared" si="553"/>
        <v>0</v>
      </c>
      <c r="BT148" s="1">
        <f t="shared" si="554"/>
        <v>0</v>
      </c>
      <c r="BU148" s="1">
        <f t="shared" si="555"/>
        <v>0</v>
      </c>
      <c r="BV148" s="1">
        <f t="shared" si="556"/>
        <v>0</v>
      </c>
      <c r="BW148" s="1">
        <f t="shared" si="557"/>
        <v>0</v>
      </c>
      <c r="BX148" s="1">
        <f t="shared" si="558"/>
        <v>0</v>
      </c>
      <c r="BY148" s="1">
        <f t="shared" si="559"/>
        <v>0</v>
      </c>
      <c r="BZ148" s="1">
        <f t="shared" si="560"/>
        <v>0</v>
      </c>
      <c r="CA148" s="1">
        <f t="shared" si="561"/>
        <v>0</v>
      </c>
      <c r="CB148" s="1">
        <f t="shared" si="562"/>
        <v>0</v>
      </c>
      <c r="CC148" s="1">
        <f t="shared" si="563"/>
        <v>0</v>
      </c>
      <c r="CD148" s="1">
        <f t="shared" si="564"/>
        <v>0</v>
      </c>
      <c r="CE148" s="1">
        <f t="shared" si="565"/>
        <v>0</v>
      </c>
      <c r="CF148" s="1">
        <f t="shared" si="566"/>
        <v>0</v>
      </c>
    </row>
    <row r="149" spans="3:85" ht="22.5" outlineLevel="1">
      <c r="C149" s="27" t="s">
        <v>883</v>
      </c>
      <c r="D149" s="55">
        <v>-2</v>
      </c>
      <c r="E149" s="88" t="s">
        <v>828</v>
      </c>
      <c r="F149" s="56">
        <v>1126.33</v>
      </c>
      <c r="G149" s="57">
        <f t="shared" si="515"/>
        <v>-2252.66</v>
      </c>
      <c r="H149" s="28"/>
      <c r="I149" s="59" t="str">
        <f t="shared" si="516"/>
        <v/>
      </c>
      <c r="J149" s="60"/>
      <c r="K149" s="59" t="str">
        <f t="shared" si="517"/>
        <v/>
      </c>
      <c r="L149" s="60"/>
      <c r="M149" s="59" t="str">
        <f t="shared" si="518"/>
        <v/>
      </c>
      <c r="N149" s="60"/>
      <c r="O149" s="59" t="str">
        <f t="shared" si="519"/>
        <v/>
      </c>
      <c r="P149" s="60"/>
      <c r="Q149" s="59" t="str">
        <f t="shared" si="520"/>
        <v/>
      </c>
      <c r="R149" s="60"/>
      <c r="S149" s="59" t="str">
        <f t="shared" si="521"/>
        <v/>
      </c>
      <c r="T149" s="60"/>
      <c r="U149" s="59" t="str">
        <f t="shared" si="522"/>
        <v/>
      </c>
      <c r="V149" s="60"/>
      <c r="W149" s="59" t="str">
        <f t="shared" si="523"/>
        <v/>
      </c>
      <c r="X149" s="95"/>
      <c r="Y149" s="59" t="str">
        <f t="shared" si="524"/>
        <v/>
      </c>
      <c r="Z149" s="95"/>
      <c r="AA149" s="59" t="str">
        <f t="shared" si="525"/>
        <v/>
      </c>
      <c r="AB149" s="60"/>
      <c r="AC149" s="59" t="str">
        <f t="shared" si="526"/>
        <v/>
      </c>
      <c r="AD149" s="60"/>
      <c r="AE149" s="59" t="str">
        <f t="shared" si="527"/>
        <v/>
      </c>
      <c r="AF149" s="95"/>
      <c r="AG149" s="59" t="str">
        <f t="shared" ref="AG149" si="919">+IF(OR($F149="",AF149=""),"",$F149*AF149)</f>
        <v/>
      </c>
      <c r="AH149" s="95"/>
      <c r="AI149" s="59" t="str">
        <f t="shared" si="529"/>
        <v/>
      </c>
      <c r="AJ149" s="60"/>
      <c r="AK149" s="59" t="str">
        <f t="shared" si="529"/>
        <v/>
      </c>
      <c r="AL149" s="60"/>
      <c r="AM149" s="59" t="str">
        <f t="shared" ref="AM149" si="920">+IF(OR($F149="",AL149=""),"",$F149*AL149)</f>
        <v/>
      </c>
      <c r="AN149" s="60"/>
      <c r="AO149" s="59" t="str">
        <f t="shared" ref="AO149" si="921">+IF(OR($F149="",AN149=""),"",$F149*AN149)</f>
        <v/>
      </c>
      <c r="AP149" s="60"/>
      <c r="AQ149" s="59" t="str">
        <f t="shared" ref="AQ149" si="922">+IF(OR($F149="",AP149=""),"",$F149*AP149)</f>
        <v/>
      </c>
      <c r="AR149" s="60"/>
      <c r="AS149" s="59" t="str">
        <f t="shared" ref="AS149" si="923">+IF(OR($F149="",AR149=""),"",$F149*AR149)</f>
        <v/>
      </c>
      <c r="AT149" s="60"/>
      <c r="AU149" s="59" t="str">
        <f t="shared" ref="AU149" si="924">+IF(OR($F149="",AT149=""),"",$F149*AT149)</f>
        <v/>
      </c>
      <c r="AV149" s="60"/>
      <c r="AW149" s="59" t="str">
        <f t="shared" ref="AW149" si="925">+IF(OR($F149="",AV149=""),"",$F149*AV149)</f>
        <v/>
      </c>
      <c r="AX149" s="60"/>
      <c r="AY149" s="59" t="str">
        <f t="shared" ref="AY149" si="926">+IF(OR($F149="",AX149=""),"",$F149*AX149)</f>
        <v/>
      </c>
      <c r="AZ149" s="60"/>
      <c r="BA149" s="59" t="str">
        <f t="shared" ref="BA149" si="927">+IF(OR($F149="",AZ149=""),"",$F149*AZ149)</f>
        <v/>
      </c>
      <c r="BB149" s="60"/>
      <c r="BC149" s="59" t="str">
        <f t="shared" ref="BC149" si="928">+IF(OR($F149="",BB149=""),"",$F149*BB149)</f>
        <v/>
      </c>
      <c r="BD149" s="61">
        <f t="shared" si="539"/>
        <v>0</v>
      </c>
      <c r="BE149" s="59">
        <f t="shared" si="540"/>
        <v>0</v>
      </c>
      <c r="BF149" s="61">
        <f t="shared" si="541"/>
        <v>-2</v>
      </c>
      <c r="BG149" s="59">
        <f t="shared" si="542"/>
        <v>-2252.66</v>
      </c>
      <c r="BH149" s="196"/>
      <c r="BI149" s="1">
        <f t="shared" si="543"/>
        <v>0</v>
      </c>
      <c r="BJ149" s="1">
        <f t="shared" si="544"/>
        <v>0</v>
      </c>
      <c r="BK149" s="1">
        <f t="shared" si="545"/>
        <v>0</v>
      </c>
      <c r="BL149" s="1">
        <f t="shared" si="546"/>
        <v>0</v>
      </c>
      <c r="BM149" s="1">
        <f t="shared" si="547"/>
        <v>0</v>
      </c>
      <c r="BN149" s="1">
        <f t="shared" si="548"/>
        <v>0</v>
      </c>
      <c r="BO149" s="1">
        <f t="shared" si="549"/>
        <v>0</v>
      </c>
      <c r="BP149" s="1">
        <f t="shared" si="550"/>
        <v>0</v>
      </c>
      <c r="BQ149" s="1">
        <f t="shared" si="551"/>
        <v>0</v>
      </c>
      <c r="BR149" s="1">
        <f t="shared" si="552"/>
        <v>0</v>
      </c>
      <c r="BS149" s="1">
        <f t="shared" si="553"/>
        <v>0</v>
      </c>
      <c r="BT149" s="1">
        <f t="shared" si="554"/>
        <v>0</v>
      </c>
      <c r="BU149" s="1">
        <f t="shared" si="555"/>
        <v>0</v>
      </c>
      <c r="BV149" s="1">
        <f t="shared" si="556"/>
        <v>0</v>
      </c>
      <c r="BW149" s="1">
        <f t="shared" si="557"/>
        <v>0</v>
      </c>
      <c r="BX149" s="1">
        <f t="shared" si="558"/>
        <v>0</v>
      </c>
      <c r="BY149" s="1">
        <f t="shared" si="559"/>
        <v>0</v>
      </c>
      <c r="BZ149" s="1">
        <f t="shared" si="560"/>
        <v>0</v>
      </c>
      <c r="CA149" s="1">
        <f t="shared" si="561"/>
        <v>0</v>
      </c>
      <c r="CB149" s="1">
        <f t="shared" si="562"/>
        <v>0</v>
      </c>
      <c r="CC149" s="1">
        <f t="shared" si="563"/>
        <v>0</v>
      </c>
      <c r="CD149" s="1">
        <f t="shared" si="564"/>
        <v>0</v>
      </c>
      <c r="CE149" s="1">
        <f t="shared" si="565"/>
        <v>0</v>
      </c>
      <c r="CF149" s="1">
        <f t="shared" si="566"/>
        <v>0</v>
      </c>
    </row>
    <row r="150" spans="3:85" ht="22.5" outlineLevel="1">
      <c r="C150" s="27" t="s">
        <v>884</v>
      </c>
      <c r="D150" s="55">
        <v>-8</v>
      </c>
      <c r="E150" s="88" t="s">
        <v>828</v>
      </c>
      <c r="F150" s="56">
        <v>1628.06</v>
      </c>
      <c r="G150" s="57">
        <f t="shared" si="515"/>
        <v>-13024.48</v>
      </c>
      <c r="H150" s="28"/>
      <c r="I150" s="59" t="str">
        <f t="shared" si="516"/>
        <v/>
      </c>
      <c r="J150" s="60"/>
      <c r="K150" s="59" t="str">
        <f t="shared" si="517"/>
        <v/>
      </c>
      <c r="L150" s="60"/>
      <c r="M150" s="59" t="str">
        <f t="shared" si="518"/>
        <v/>
      </c>
      <c r="N150" s="60"/>
      <c r="O150" s="59" t="str">
        <f t="shared" si="519"/>
        <v/>
      </c>
      <c r="P150" s="60"/>
      <c r="Q150" s="59" t="str">
        <f t="shared" si="520"/>
        <v/>
      </c>
      <c r="R150" s="60"/>
      <c r="S150" s="59" t="str">
        <f t="shared" si="521"/>
        <v/>
      </c>
      <c r="T150" s="60"/>
      <c r="U150" s="59" t="str">
        <f t="shared" si="522"/>
        <v/>
      </c>
      <c r="V150" s="60"/>
      <c r="W150" s="59" t="str">
        <f t="shared" si="523"/>
        <v/>
      </c>
      <c r="X150" s="95"/>
      <c r="Y150" s="59" t="str">
        <f t="shared" si="524"/>
        <v/>
      </c>
      <c r="Z150" s="95"/>
      <c r="AA150" s="59" t="str">
        <f t="shared" si="525"/>
        <v/>
      </c>
      <c r="AB150" s="60"/>
      <c r="AC150" s="59" t="str">
        <f t="shared" si="526"/>
        <v/>
      </c>
      <c r="AD150" s="60"/>
      <c r="AE150" s="59" t="str">
        <f t="shared" si="527"/>
        <v/>
      </c>
      <c r="AF150" s="95"/>
      <c r="AG150" s="59" t="str">
        <f t="shared" ref="AG150" si="929">+IF(OR($F150="",AF150=""),"",$F150*AF150)</f>
        <v/>
      </c>
      <c r="AH150" s="95"/>
      <c r="AI150" s="59" t="str">
        <f t="shared" si="529"/>
        <v/>
      </c>
      <c r="AJ150" s="60"/>
      <c r="AK150" s="59" t="str">
        <f t="shared" si="529"/>
        <v/>
      </c>
      <c r="AL150" s="60"/>
      <c r="AM150" s="59" t="str">
        <f t="shared" ref="AM150" si="930">+IF(OR($F150="",AL150=""),"",$F150*AL150)</f>
        <v/>
      </c>
      <c r="AN150" s="60"/>
      <c r="AO150" s="59" t="str">
        <f t="shared" ref="AO150" si="931">+IF(OR($F150="",AN150=""),"",$F150*AN150)</f>
        <v/>
      </c>
      <c r="AP150" s="60"/>
      <c r="AQ150" s="59" t="str">
        <f t="shared" ref="AQ150" si="932">+IF(OR($F150="",AP150=""),"",$F150*AP150)</f>
        <v/>
      </c>
      <c r="AR150" s="60"/>
      <c r="AS150" s="59" t="str">
        <f t="shared" ref="AS150" si="933">+IF(OR($F150="",AR150=""),"",$F150*AR150)</f>
        <v/>
      </c>
      <c r="AT150" s="60"/>
      <c r="AU150" s="59" t="str">
        <f t="shared" ref="AU150" si="934">+IF(OR($F150="",AT150=""),"",$F150*AT150)</f>
        <v/>
      </c>
      <c r="AV150" s="60"/>
      <c r="AW150" s="59" t="str">
        <f t="shared" ref="AW150" si="935">+IF(OR($F150="",AV150=""),"",$F150*AV150)</f>
        <v/>
      </c>
      <c r="AX150" s="60"/>
      <c r="AY150" s="59" t="str">
        <f t="shared" ref="AY150" si="936">+IF(OR($F150="",AX150=""),"",$F150*AX150)</f>
        <v/>
      </c>
      <c r="AZ150" s="60"/>
      <c r="BA150" s="59" t="str">
        <f t="shared" ref="BA150" si="937">+IF(OR($F150="",AZ150=""),"",$F150*AZ150)</f>
        <v/>
      </c>
      <c r="BB150" s="60"/>
      <c r="BC150" s="59" t="str">
        <f t="shared" ref="BC150" si="938">+IF(OR($F150="",BB150=""),"",$F150*BB150)</f>
        <v/>
      </c>
      <c r="BD150" s="61">
        <f t="shared" si="539"/>
        <v>0</v>
      </c>
      <c r="BE150" s="59">
        <f t="shared" si="540"/>
        <v>0</v>
      </c>
      <c r="BF150" s="61">
        <f t="shared" si="541"/>
        <v>-8</v>
      </c>
      <c r="BG150" s="59">
        <f t="shared" si="542"/>
        <v>-13024.48</v>
      </c>
      <c r="BH150" s="196"/>
      <c r="BI150" s="1">
        <f t="shared" si="543"/>
        <v>0</v>
      </c>
      <c r="BJ150" s="1">
        <f t="shared" si="544"/>
        <v>0</v>
      </c>
      <c r="BK150" s="1">
        <f t="shared" si="545"/>
        <v>0</v>
      </c>
      <c r="BL150" s="1">
        <f t="shared" si="546"/>
        <v>0</v>
      </c>
      <c r="BM150" s="1">
        <f t="shared" si="547"/>
        <v>0</v>
      </c>
      <c r="BN150" s="1">
        <f t="shared" si="548"/>
        <v>0</v>
      </c>
      <c r="BO150" s="1">
        <f t="shared" si="549"/>
        <v>0</v>
      </c>
      <c r="BP150" s="1">
        <f t="shared" si="550"/>
        <v>0</v>
      </c>
      <c r="BQ150" s="1">
        <f t="shared" si="551"/>
        <v>0</v>
      </c>
      <c r="BR150" s="1">
        <f t="shared" si="552"/>
        <v>0</v>
      </c>
      <c r="BS150" s="1">
        <f t="shared" si="553"/>
        <v>0</v>
      </c>
      <c r="BT150" s="1">
        <f t="shared" si="554"/>
        <v>0</v>
      </c>
      <c r="BU150" s="1">
        <f t="shared" si="555"/>
        <v>0</v>
      </c>
      <c r="BV150" s="1">
        <f t="shared" si="556"/>
        <v>0</v>
      </c>
      <c r="BW150" s="1">
        <f t="shared" si="557"/>
        <v>0</v>
      </c>
      <c r="BX150" s="1">
        <f t="shared" si="558"/>
        <v>0</v>
      </c>
      <c r="BY150" s="1">
        <f t="shared" si="559"/>
        <v>0</v>
      </c>
      <c r="BZ150" s="1">
        <f t="shared" si="560"/>
        <v>0</v>
      </c>
      <c r="CA150" s="1">
        <f t="shared" si="561"/>
        <v>0</v>
      </c>
      <c r="CB150" s="1">
        <f t="shared" si="562"/>
        <v>0</v>
      </c>
      <c r="CC150" s="1">
        <f t="shared" si="563"/>
        <v>0</v>
      </c>
      <c r="CD150" s="1">
        <f t="shared" si="564"/>
        <v>0</v>
      </c>
      <c r="CE150" s="1">
        <f t="shared" si="565"/>
        <v>0</v>
      </c>
      <c r="CF150" s="1">
        <f t="shared" si="566"/>
        <v>0</v>
      </c>
    </row>
    <row r="151" spans="3:85" ht="22.5" outlineLevel="1">
      <c r="C151" s="27" t="s">
        <v>887</v>
      </c>
      <c r="D151" s="55">
        <v>-1</v>
      </c>
      <c r="E151" s="88" t="s">
        <v>828</v>
      </c>
      <c r="F151" s="56">
        <v>1501.04</v>
      </c>
      <c r="G151" s="57">
        <f t="shared" si="515"/>
        <v>-1501.04</v>
      </c>
      <c r="H151" s="28"/>
      <c r="I151" s="59" t="str">
        <f t="shared" si="516"/>
        <v/>
      </c>
      <c r="J151" s="60"/>
      <c r="K151" s="59" t="str">
        <f t="shared" si="517"/>
        <v/>
      </c>
      <c r="L151" s="60"/>
      <c r="M151" s="59" t="str">
        <f t="shared" si="518"/>
        <v/>
      </c>
      <c r="N151" s="60"/>
      <c r="O151" s="59" t="str">
        <f t="shared" si="519"/>
        <v/>
      </c>
      <c r="P151" s="60"/>
      <c r="Q151" s="59" t="str">
        <f t="shared" si="520"/>
        <v/>
      </c>
      <c r="R151" s="60"/>
      <c r="S151" s="59" t="str">
        <f t="shared" si="521"/>
        <v/>
      </c>
      <c r="T151" s="60"/>
      <c r="U151" s="59" t="str">
        <f t="shared" si="522"/>
        <v/>
      </c>
      <c r="V151" s="60"/>
      <c r="W151" s="59" t="str">
        <f t="shared" si="523"/>
        <v/>
      </c>
      <c r="X151" s="95"/>
      <c r="Y151" s="59" t="str">
        <f t="shared" si="524"/>
        <v/>
      </c>
      <c r="Z151" s="95"/>
      <c r="AA151" s="59" t="str">
        <f t="shared" si="525"/>
        <v/>
      </c>
      <c r="AB151" s="60"/>
      <c r="AC151" s="59" t="str">
        <f t="shared" si="526"/>
        <v/>
      </c>
      <c r="AD151" s="60"/>
      <c r="AE151" s="59" t="str">
        <f t="shared" si="527"/>
        <v/>
      </c>
      <c r="AF151" s="95"/>
      <c r="AG151" s="59" t="str">
        <f t="shared" ref="AG151" si="939">+IF(OR($F151="",AF151=""),"",$F151*AF151)</f>
        <v/>
      </c>
      <c r="AH151" s="95"/>
      <c r="AI151" s="59" t="str">
        <f t="shared" si="529"/>
        <v/>
      </c>
      <c r="AJ151" s="60"/>
      <c r="AK151" s="59" t="str">
        <f t="shared" si="529"/>
        <v/>
      </c>
      <c r="AL151" s="60"/>
      <c r="AM151" s="59" t="str">
        <f t="shared" ref="AM151" si="940">+IF(OR($F151="",AL151=""),"",$F151*AL151)</f>
        <v/>
      </c>
      <c r="AN151" s="60"/>
      <c r="AO151" s="59" t="str">
        <f t="shared" ref="AO151" si="941">+IF(OR($F151="",AN151=""),"",$F151*AN151)</f>
        <v/>
      </c>
      <c r="AP151" s="60"/>
      <c r="AQ151" s="59" t="str">
        <f t="shared" ref="AQ151" si="942">+IF(OR($F151="",AP151=""),"",$F151*AP151)</f>
        <v/>
      </c>
      <c r="AR151" s="60"/>
      <c r="AS151" s="59" t="str">
        <f t="shared" ref="AS151" si="943">+IF(OR($F151="",AR151=""),"",$F151*AR151)</f>
        <v/>
      </c>
      <c r="AT151" s="60"/>
      <c r="AU151" s="59" t="str">
        <f t="shared" ref="AU151" si="944">+IF(OR($F151="",AT151=""),"",$F151*AT151)</f>
        <v/>
      </c>
      <c r="AV151" s="60"/>
      <c r="AW151" s="59" t="str">
        <f t="shared" ref="AW151" si="945">+IF(OR($F151="",AV151=""),"",$F151*AV151)</f>
        <v/>
      </c>
      <c r="AX151" s="60"/>
      <c r="AY151" s="59" t="str">
        <f t="shared" ref="AY151" si="946">+IF(OR($F151="",AX151=""),"",$F151*AX151)</f>
        <v/>
      </c>
      <c r="AZ151" s="60"/>
      <c r="BA151" s="59" t="str">
        <f t="shared" ref="BA151" si="947">+IF(OR($F151="",AZ151=""),"",$F151*AZ151)</f>
        <v/>
      </c>
      <c r="BB151" s="60"/>
      <c r="BC151" s="59" t="str">
        <f t="shared" ref="BC151" si="948">+IF(OR($F151="",BB151=""),"",$F151*BB151)</f>
        <v/>
      </c>
      <c r="BD151" s="61">
        <f t="shared" si="539"/>
        <v>0</v>
      </c>
      <c r="BE151" s="59">
        <f t="shared" si="540"/>
        <v>0</v>
      </c>
      <c r="BF151" s="61">
        <f t="shared" si="541"/>
        <v>-1</v>
      </c>
      <c r="BG151" s="59">
        <f t="shared" si="542"/>
        <v>-1501.04</v>
      </c>
      <c r="BH151" s="196"/>
      <c r="BI151" s="1">
        <f t="shared" si="543"/>
        <v>0</v>
      </c>
      <c r="BJ151" s="1">
        <f t="shared" si="544"/>
        <v>0</v>
      </c>
      <c r="BK151" s="1">
        <f t="shared" si="545"/>
        <v>0</v>
      </c>
      <c r="BL151" s="1">
        <f t="shared" si="546"/>
        <v>0</v>
      </c>
      <c r="BM151" s="1">
        <f t="shared" si="547"/>
        <v>0</v>
      </c>
      <c r="BN151" s="1">
        <f t="shared" si="548"/>
        <v>0</v>
      </c>
      <c r="BO151" s="1">
        <f t="shared" si="549"/>
        <v>0</v>
      </c>
      <c r="BP151" s="1">
        <f t="shared" si="550"/>
        <v>0</v>
      </c>
      <c r="BQ151" s="1">
        <f t="shared" si="551"/>
        <v>0</v>
      </c>
      <c r="BR151" s="1">
        <f t="shared" si="552"/>
        <v>0</v>
      </c>
      <c r="BS151" s="1">
        <f t="shared" si="553"/>
        <v>0</v>
      </c>
      <c r="BT151" s="1">
        <f t="shared" si="554"/>
        <v>0</v>
      </c>
      <c r="BU151" s="1">
        <f t="shared" si="555"/>
        <v>0</v>
      </c>
      <c r="BV151" s="1">
        <f t="shared" si="556"/>
        <v>0</v>
      </c>
      <c r="BW151" s="1">
        <f t="shared" si="557"/>
        <v>0</v>
      </c>
      <c r="BX151" s="1">
        <f t="shared" si="558"/>
        <v>0</v>
      </c>
      <c r="BY151" s="1">
        <f t="shared" si="559"/>
        <v>0</v>
      </c>
      <c r="BZ151" s="1">
        <f t="shared" si="560"/>
        <v>0</v>
      </c>
      <c r="CA151" s="1">
        <f t="shared" si="561"/>
        <v>0</v>
      </c>
      <c r="CB151" s="1">
        <f t="shared" si="562"/>
        <v>0</v>
      </c>
      <c r="CC151" s="1">
        <f t="shared" si="563"/>
        <v>0</v>
      </c>
      <c r="CD151" s="1">
        <f t="shared" si="564"/>
        <v>0</v>
      </c>
      <c r="CE151" s="1">
        <f t="shared" si="565"/>
        <v>0</v>
      </c>
      <c r="CF151" s="1">
        <f t="shared" si="566"/>
        <v>0</v>
      </c>
    </row>
    <row r="152" spans="3:85" ht="22.5" outlineLevel="1">
      <c r="C152" s="27" t="s">
        <v>886</v>
      </c>
      <c r="D152" s="55">
        <v>-4</v>
      </c>
      <c r="E152" s="88" t="s">
        <v>828</v>
      </c>
      <c r="F152" s="56">
        <v>2519.0700000000002</v>
      </c>
      <c r="G152" s="57">
        <f t="shared" si="515"/>
        <v>-10076.280000000001</v>
      </c>
      <c r="H152" s="28"/>
      <c r="I152" s="59" t="str">
        <f t="shared" si="516"/>
        <v/>
      </c>
      <c r="J152" s="60"/>
      <c r="K152" s="59" t="str">
        <f t="shared" si="517"/>
        <v/>
      </c>
      <c r="L152" s="60"/>
      <c r="M152" s="59" t="str">
        <f t="shared" si="518"/>
        <v/>
      </c>
      <c r="N152" s="60"/>
      <c r="O152" s="59" t="str">
        <f t="shared" si="519"/>
        <v/>
      </c>
      <c r="P152" s="60"/>
      <c r="Q152" s="59" t="str">
        <f t="shared" si="520"/>
        <v/>
      </c>
      <c r="R152" s="60"/>
      <c r="S152" s="59" t="str">
        <f t="shared" si="521"/>
        <v/>
      </c>
      <c r="T152" s="60"/>
      <c r="U152" s="59" t="str">
        <f t="shared" si="522"/>
        <v/>
      </c>
      <c r="V152" s="60"/>
      <c r="W152" s="59" t="str">
        <f t="shared" si="523"/>
        <v/>
      </c>
      <c r="X152" s="95"/>
      <c r="Y152" s="59" t="str">
        <f t="shared" si="524"/>
        <v/>
      </c>
      <c r="Z152" s="95"/>
      <c r="AA152" s="59" t="str">
        <f t="shared" si="525"/>
        <v/>
      </c>
      <c r="AB152" s="60"/>
      <c r="AC152" s="59" t="str">
        <f t="shared" si="526"/>
        <v/>
      </c>
      <c r="AD152" s="60"/>
      <c r="AE152" s="59" t="str">
        <f t="shared" si="527"/>
        <v/>
      </c>
      <c r="AF152" s="95"/>
      <c r="AG152" s="59" t="str">
        <f t="shared" ref="AG152" si="949">+IF(OR($F152="",AF152=""),"",$F152*AF152)</f>
        <v/>
      </c>
      <c r="AH152" s="95"/>
      <c r="AI152" s="59" t="str">
        <f t="shared" si="529"/>
        <v/>
      </c>
      <c r="AJ152" s="60"/>
      <c r="AK152" s="59" t="str">
        <f t="shared" si="529"/>
        <v/>
      </c>
      <c r="AL152" s="60"/>
      <c r="AM152" s="59" t="str">
        <f t="shared" ref="AM152" si="950">+IF(OR($F152="",AL152=""),"",$F152*AL152)</f>
        <v/>
      </c>
      <c r="AN152" s="60"/>
      <c r="AO152" s="59" t="str">
        <f t="shared" ref="AO152" si="951">+IF(OR($F152="",AN152=""),"",$F152*AN152)</f>
        <v/>
      </c>
      <c r="AP152" s="60"/>
      <c r="AQ152" s="59" t="str">
        <f t="shared" ref="AQ152" si="952">+IF(OR($F152="",AP152=""),"",$F152*AP152)</f>
        <v/>
      </c>
      <c r="AR152" s="60"/>
      <c r="AS152" s="59" t="str">
        <f t="shared" ref="AS152" si="953">+IF(OR($F152="",AR152=""),"",$F152*AR152)</f>
        <v/>
      </c>
      <c r="AT152" s="60"/>
      <c r="AU152" s="59" t="str">
        <f t="shared" ref="AU152" si="954">+IF(OR($F152="",AT152=""),"",$F152*AT152)</f>
        <v/>
      </c>
      <c r="AV152" s="60"/>
      <c r="AW152" s="59" t="str">
        <f t="shared" ref="AW152" si="955">+IF(OR($F152="",AV152=""),"",$F152*AV152)</f>
        <v/>
      </c>
      <c r="AX152" s="60"/>
      <c r="AY152" s="59" t="str">
        <f t="shared" ref="AY152" si="956">+IF(OR($F152="",AX152=""),"",$F152*AX152)</f>
        <v/>
      </c>
      <c r="AZ152" s="60"/>
      <c r="BA152" s="59" t="str">
        <f t="shared" ref="BA152" si="957">+IF(OR($F152="",AZ152=""),"",$F152*AZ152)</f>
        <v/>
      </c>
      <c r="BB152" s="60"/>
      <c r="BC152" s="59" t="str">
        <f t="shared" ref="BC152" si="958">+IF(OR($F152="",BB152=""),"",$F152*BB152)</f>
        <v/>
      </c>
      <c r="BD152" s="61">
        <f t="shared" si="539"/>
        <v>0</v>
      </c>
      <c r="BE152" s="59">
        <f t="shared" si="540"/>
        <v>0</v>
      </c>
      <c r="BF152" s="61">
        <f t="shared" si="541"/>
        <v>-4</v>
      </c>
      <c r="BG152" s="59">
        <f t="shared" si="542"/>
        <v>-10076.280000000001</v>
      </c>
      <c r="BH152" s="196"/>
      <c r="BI152" s="1">
        <f t="shared" si="543"/>
        <v>0</v>
      </c>
      <c r="BJ152" s="1">
        <f t="shared" si="544"/>
        <v>0</v>
      </c>
      <c r="BK152" s="1">
        <f t="shared" si="545"/>
        <v>0</v>
      </c>
      <c r="BL152" s="1">
        <f t="shared" si="546"/>
        <v>0</v>
      </c>
      <c r="BM152" s="1">
        <f t="shared" si="547"/>
        <v>0</v>
      </c>
      <c r="BN152" s="1">
        <f t="shared" si="548"/>
        <v>0</v>
      </c>
      <c r="BO152" s="1">
        <f t="shared" si="549"/>
        <v>0</v>
      </c>
      <c r="BP152" s="1">
        <f t="shared" si="550"/>
        <v>0</v>
      </c>
      <c r="BQ152" s="1">
        <f t="shared" si="551"/>
        <v>0</v>
      </c>
      <c r="BR152" s="1">
        <f t="shared" si="552"/>
        <v>0</v>
      </c>
      <c r="BS152" s="1">
        <f t="shared" si="553"/>
        <v>0</v>
      </c>
      <c r="BT152" s="1">
        <f t="shared" si="554"/>
        <v>0</v>
      </c>
      <c r="BU152" s="1">
        <f t="shared" si="555"/>
        <v>0</v>
      </c>
      <c r="BV152" s="1">
        <f t="shared" si="556"/>
        <v>0</v>
      </c>
      <c r="BW152" s="1">
        <f t="shared" si="557"/>
        <v>0</v>
      </c>
      <c r="BX152" s="1">
        <f t="shared" si="558"/>
        <v>0</v>
      </c>
      <c r="BY152" s="1">
        <f t="shared" si="559"/>
        <v>0</v>
      </c>
      <c r="BZ152" s="1">
        <f t="shared" si="560"/>
        <v>0</v>
      </c>
      <c r="CA152" s="1">
        <f t="shared" si="561"/>
        <v>0</v>
      </c>
      <c r="CB152" s="1">
        <f t="shared" si="562"/>
        <v>0</v>
      </c>
      <c r="CC152" s="1">
        <f t="shared" si="563"/>
        <v>0</v>
      </c>
      <c r="CD152" s="1">
        <f t="shared" si="564"/>
        <v>0</v>
      </c>
      <c r="CE152" s="1">
        <f t="shared" si="565"/>
        <v>0</v>
      </c>
      <c r="CF152" s="1">
        <f t="shared" si="566"/>
        <v>0</v>
      </c>
    </row>
    <row r="153" spans="3:85" ht="22.5" outlineLevel="1">
      <c r="C153" s="27" t="s">
        <v>885</v>
      </c>
      <c r="D153" s="55">
        <v>-1</v>
      </c>
      <c r="E153" s="88" t="s">
        <v>828</v>
      </c>
      <c r="F153" s="56">
        <v>875.47</v>
      </c>
      <c r="G153" s="57">
        <f t="shared" si="515"/>
        <v>-875.47</v>
      </c>
      <c r="H153" s="28"/>
      <c r="I153" s="59" t="str">
        <f t="shared" si="516"/>
        <v/>
      </c>
      <c r="J153" s="60"/>
      <c r="K153" s="59" t="str">
        <f t="shared" si="517"/>
        <v/>
      </c>
      <c r="L153" s="60"/>
      <c r="M153" s="59" t="str">
        <f t="shared" si="518"/>
        <v/>
      </c>
      <c r="N153" s="60"/>
      <c r="O153" s="59" t="str">
        <f t="shared" si="519"/>
        <v/>
      </c>
      <c r="P153" s="60"/>
      <c r="Q153" s="59" t="str">
        <f t="shared" si="520"/>
        <v/>
      </c>
      <c r="R153" s="60"/>
      <c r="S153" s="59" t="str">
        <f t="shared" si="521"/>
        <v/>
      </c>
      <c r="T153" s="60"/>
      <c r="U153" s="59" t="str">
        <f t="shared" si="522"/>
        <v/>
      </c>
      <c r="V153" s="60"/>
      <c r="W153" s="59" t="str">
        <f t="shared" si="523"/>
        <v/>
      </c>
      <c r="X153" s="95"/>
      <c r="Y153" s="59" t="str">
        <f t="shared" si="524"/>
        <v/>
      </c>
      <c r="Z153" s="95"/>
      <c r="AA153" s="59" t="str">
        <f t="shared" si="525"/>
        <v/>
      </c>
      <c r="AB153" s="60"/>
      <c r="AC153" s="59" t="str">
        <f t="shared" si="526"/>
        <v/>
      </c>
      <c r="AD153" s="60"/>
      <c r="AE153" s="59" t="str">
        <f t="shared" si="527"/>
        <v/>
      </c>
      <c r="AF153" s="95"/>
      <c r="AG153" s="59" t="str">
        <f t="shared" ref="AG153" si="959">+IF(OR($F153="",AF153=""),"",$F153*AF153)</f>
        <v/>
      </c>
      <c r="AH153" s="95"/>
      <c r="AI153" s="59" t="str">
        <f t="shared" si="529"/>
        <v/>
      </c>
      <c r="AJ153" s="60"/>
      <c r="AK153" s="59" t="str">
        <f t="shared" si="529"/>
        <v/>
      </c>
      <c r="AL153" s="60"/>
      <c r="AM153" s="59" t="str">
        <f t="shared" ref="AM153" si="960">+IF(OR($F153="",AL153=""),"",$F153*AL153)</f>
        <v/>
      </c>
      <c r="AN153" s="60"/>
      <c r="AO153" s="59" t="str">
        <f t="shared" ref="AO153" si="961">+IF(OR($F153="",AN153=""),"",$F153*AN153)</f>
        <v/>
      </c>
      <c r="AP153" s="60"/>
      <c r="AQ153" s="59" t="str">
        <f t="shared" ref="AQ153" si="962">+IF(OR($F153="",AP153=""),"",$F153*AP153)</f>
        <v/>
      </c>
      <c r="AR153" s="60"/>
      <c r="AS153" s="59" t="str">
        <f t="shared" ref="AS153" si="963">+IF(OR($F153="",AR153=""),"",$F153*AR153)</f>
        <v/>
      </c>
      <c r="AT153" s="60"/>
      <c r="AU153" s="59" t="str">
        <f t="shared" ref="AU153" si="964">+IF(OR($F153="",AT153=""),"",$F153*AT153)</f>
        <v/>
      </c>
      <c r="AV153" s="60"/>
      <c r="AW153" s="59" t="str">
        <f t="shared" ref="AW153" si="965">+IF(OR($F153="",AV153=""),"",$F153*AV153)</f>
        <v/>
      </c>
      <c r="AX153" s="60"/>
      <c r="AY153" s="59" t="str">
        <f t="shared" ref="AY153" si="966">+IF(OR($F153="",AX153=""),"",$F153*AX153)</f>
        <v/>
      </c>
      <c r="AZ153" s="60"/>
      <c r="BA153" s="59" t="str">
        <f t="shared" ref="BA153" si="967">+IF(OR($F153="",AZ153=""),"",$F153*AZ153)</f>
        <v/>
      </c>
      <c r="BB153" s="60"/>
      <c r="BC153" s="59" t="str">
        <f t="shared" ref="BC153" si="968">+IF(OR($F153="",BB153=""),"",$F153*BB153)</f>
        <v/>
      </c>
      <c r="BD153" s="61">
        <f t="shared" si="539"/>
        <v>0</v>
      </c>
      <c r="BE153" s="59">
        <f t="shared" si="540"/>
        <v>0</v>
      </c>
      <c r="BF153" s="61">
        <f t="shared" si="541"/>
        <v>-1</v>
      </c>
      <c r="BG153" s="59">
        <f t="shared" si="542"/>
        <v>-875.47</v>
      </c>
      <c r="BH153" s="196"/>
      <c r="BI153" s="1">
        <f t="shared" si="543"/>
        <v>0</v>
      </c>
      <c r="BJ153" s="1">
        <f t="shared" si="544"/>
        <v>0</v>
      </c>
      <c r="BK153" s="1">
        <f t="shared" si="545"/>
        <v>0</v>
      </c>
      <c r="BL153" s="1">
        <f t="shared" si="546"/>
        <v>0</v>
      </c>
      <c r="BM153" s="1">
        <f t="shared" si="547"/>
        <v>0</v>
      </c>
      <c r="BN153" s="1">
        <f t="shared" si="548"/>
        <v>0</v>
      </c>
      <c r="BO153" s="1">
        <f t="shared" si="549"/>
        <v>0</v>
      </c>
      <c r="BP153" s="1">
        <f t="shared" si="550"/>
        <v>0</v>
      </c>
      <c r="BQ153" s="1">
        <f t="shared" si="551"/>
        <v>0</v>
      </c>
      <c r="BR153" s="1">
        <f t="shared" si="552"/>
        <v>0</v>
      </c>
      <c r="BS153" s="1">
        <f t="shared" si="553"/>
        <v>0</v>
      </c>
      <c r="BT153" s="1">
        <f t="shared" si="554"/>
        <v>0</v>
      </c>
      <c r="BU153" s="1">
        <f t="shared" si="555"/>
        <v>0</v>
      </c>
      <c r="BV153" s="1">
        <f t="shared" si="556"/>
        <v>0</v>
      </c>
      <c r="BW153" s="1">
        <f t="shared" si="557"/>
        <v>0</v>
      </c>
      <c r="BX153" s="1">
        <f t="shared" si="558"/>
        <v>0</v>
      </c>
      <c r="BY153" s="1">
        <f t="shared" si="559"/>
        <v>0</v>
      </c>
      <c r="BZ153" s="1">
        <f t="shared" si="560"/>
        <v>0</v>
      </c>
      <c r="CA153" s="1">
        <f t="shared" si="561"/>
        <v>0</v>
      </c>
      <c r="CB153" s="1">
        <f t="shared" si="562"/>
        <v>0</v>
      </c>
      <c r="CC153" s="1">
        <f t="shared" si="563"/>
        <v>0</v>
      </c>
      <c r="CD153" s="1">
        <f t="shared" si="564"/>
        <v>0</v>
      </c>
      <c r="CE153" s="1">
        <f t="shared" si="565"/>
        <v>0</v>
      </c>
      <c r="CF153" s="1">
        <f t="shared" si="566"/>
        <v>0</v>
      </c>
    </row>
    <row r="154" spans="3:85" ht="22.5" outlineLevel="1">
      <c r="C154" s="27" t="s">
        <v>888</v>
      </c>
      <c r="D154" s="55">
        <v>-2</v>
      </c>
      <c r="E154" s="88" t="s">
        <v>828</v>
      </c>
      <c r="F154" s="56">
        <v>353.03</v>
      </c>
      <c r="G154" s="57">
        <f t="shared" si="515"/>
        <v>-706.06</v>
      </c>
      <c r="H154" s="28"/>
      <c r="I154" s="59" t="str">
        <f t="shared" si="516"/>
        <v/>
      </c>
      <c r="J154" s="60"/>
      <c r="K154" s="59" t="str">
        <f t="shared" si="517"/>
        <v/>
      </c>
      <c r="L154" s="60"/>
      <c r="M154" s="59" t="str">
        <f t="shared" si="518"/>
        <v/>
      </c>
      <c r="N154" s="60"/>
      <c r="O154" s="59" t="str">
        <f t="shared" si="519"/>
        <v/>
      </c>
      <c r="P154" s="60"/>
      <c r="Q154" s="59" t="str">
        <f t="shared" si="520"/>
        <v/>
      </c>
      <c r="R154" s="60"/>
      <c r="S154" s="59" t="str">
        <f t="shared" si="521"/>
        <v/>
      </c>
      <c r="T154" s="60"/>
      <c r="U154" s="59" t="str">
        <f t="shared" si="522"/>
        <v/>
      </c>
      <c r="V154" s="60"/>
      <c r="W154" s="59" t="str">
        <f t="shared" si="523"/>
        <v/>
      </c>
      <c r="X154" s="95"/>
      <c r="Y154" s="59" t="str">
        <f t="shared" si="524"/>
        <v/>
      </c>
      <c r="Z154" s="95"/>
      <c r="AA154" s="59" t="str">
        <f t="shared" si="525"/>
        <v/>
      </c>
      <c r="AB154" s="60"/>
      <c r="AC154" s="59" t="str">
        <f t="shared" si="526"/>
        <v/>
      </c>
      <c r="AD154" s="60"/>
      <c r="AE154" s="59" t="str">
        <f t="shared" si="527"/>
        <v/>
      </c>
      <c r="AF154" s="95"/>
      <c r="AG154" s="59" t="str">
        <f t="shared" ref="AG154" si="969">+IF(OR($F154="",AF154=""),"",$F154*AF154)</f>
        <v/>
      </c>
      <c r="AH154" s="95"/>
      <c r="AI154" s="59" t="str">
        <f t="shared" si="529"/>
        <v/>
      </c>
      <c r="AJ154" s="60"/>
      <c r="AK154" s="59" t="str">
        <f t="shared" si="529"/>
        <v/>
      </c>
      <c r="AL154" s="60"/>
      <c r="AM154" s="59" t="str">
        <f t="shared" ref="AM154" si="970">+IF(OR($F154="",AL154=""),"",$F154*AL154)</f>
        <v/>
      </c>
      <c r="AN154" s="60"/>
      <c r="AO154" s="59" t="str">
        <f t="shared" ref="AO154" si="971">+IF(OR($F154="",AN154=""),"",$F154*AN154)</f>
        <v/>
      </c>
      <c r="AP154" s="60"/>
      <c r="AQ154" s="59" t="str">
        <f t="shared" ref="AQ154" si="972">+IF(OR($F154="",AP154=""),"",$F154*AP154)</f>
        <v/>
      </c>
      <c r="AR154" s="60"/>
      <c r="AS154" s="59" t="str">
        <f t="shared" ref="AS154" si="973">+IF(OR($F154="",AR154=""),"",$F154*AR154)</f>
        <v/>
      </c>
      <c r="AT154" s="60"/>
      <c r="AU154" s="59" t="str">
        <f t="shared" ref="AU154" si="974">+IF(OR($F154="",AT154=""),"",$F154*AT154)</f>
        <v/>
      </c>
      <c r="AV154" s="60"/>
      <c r="AW154" s="59" t="str">
        <f t="shared" ref="AW154" si="975">+IF(OR($F154="",AV154=""),"",$F154*AV154)</f>
        <v/>
      </c>
      <c r="AX154" s="60"/>
      <c r="AY154" s="59" t="str">
        <f t="shared" ref="AY154" si="976">+IF(OR($F154="",AX154=""),"",$F154*AX154)</f>
        <v/>
      </c>
      <c r="AZ154" s="60"/>
      <c r="BA154" s="59" t="str">
        <f t="shared" ref="BA154" si="977">+IF(OR($F154="",AZ154=""),"",$F154*AZ154)</f>
        <v/>
      </c>
      <c r="BB154" s="60"/>
      <c r="BC154" s="59" t="str">
        <f t="shared" ref="BC154" si="978">+IF(OR($F154="",BB154=""),"",$F154*BB154)</f>
        <v/>
      </c>
      <c r="BD154" s="61">
        <f t="shared" si="539"/>
        <v>0</v>
      </c>
      <c r="BE154" s="59">
        <f t="shared" si="540"/>
        <v>0</v>
      </c>
      <c r="BF154" s="61">
        <f t="shared" si="541"/>
        <v>-2</v>
      </c>
      <c r="BG154" s="59">
        <f t="shared" si="542"/>
        <v>-706.06</v>
      </c>
      <c r="BH154" s="196"/>
      <c r="BI154" s="1">
        <f t="shared" si="543"/>
        <v>0</v>
      </c>
      <c r="BJ154" s="1">
        <f t="shared" si="544"/>
        <v>0</v>
      </c>
      <c r="BK154" s="1">
        <f t="shared" si="545"/>
        <v>0</v>
      </c>
      <c r="BL154" s="1">
        <f t="shared" si="546"/>
        <v>0</v>
      </c>
      <c r="BM154" s="1">
        <f t="shared" si="547"/>
        <v>0</v>
      </c>
      <c r="BN154" s="1">
        <f t="shared" si="548"/>
        <v>0</v>
      </c>
      <c r="BO154" s="1">
        <f t="shared" si="549"/>
        <v>0</v>
      </c>
      <c r="BP154" s="1">
        <f t="shared" si="550"/>
        <v>0</v>
      </c>
      <c r="BQ154" s="1">
        <f t="shared" si="551"/>
        <v>0</v>
      </c>
      <c r="BR154" s="1">
        <f t="shared" si="552"/>
        <v>0</v>
      </c>
      <c r="BS154" s="1">
        <f t="shared" si="553"/>
        <v>0</v>
      </c>
      <c r="BT154" s="1">
        <f t="shared" si="554"/>
        <v>0</v>
      </c>
      <c r="BU154" s="1">
        <f t="shared" si="555"/>
        <v>0</v>
      </c>
      <c r="BV154" s="1">
        <f t="shared" si="556"/>
        <v>0</v>
      </c>
      <c r="BW154" s="1">
        <f t="shared" si="557"/>
        <v>0</v>
      </c>
      <c r="BX154" s="1">
        <f t="shared" si="558"/>
        <v>0</v>
      </c>
      <c r="BY154" s="1">
        <f t="shared" si="559"/>
        <v>0</v>
      </c>
      <c r="BZ154" s="1">
        <f t="shared" si="560"/>
        <v>0</v>
      </c>
      <c r="CA154" s="1">
        <f t="shared" si="561"/>
        <v>0</v>
      </c>
      <c r="CB154" s="1">
        <f t="shared" si="562"/>
        <v>0</v>
      </c>
      <c r="CC154" s="1">
        <f t="shared" si="563"/>
        <v>0</v>
      </c>
      <c r="CD154" s="1">
        <f t="shared" si="564"/>
        <v>0</v>
      </c>
      <c r="CE154" s="1">
        <f t="shared" si="565"/>
        <v>0</v>
      </c>
      <c r="CF154" s="1">
        <f t="shared" si="566"/>
        <v>0</v>
      </c>
    </row>
    <row r="155" spans="3:85" ht="22.5" outlineLevel="1">
      <c r="C155" s="27" t="s">
        <v>889</v>
      </c>
      <c r="D155" s="55">
        <v>-2</v>
      </c>
      <c r="E155" s="88" t="s">
        <v>828</v>
      </c>
      <c r="F155" s="56">
        <v>545.53</v>
      </c>
      <c r="G155" s="57">
        <f t="shared" si="515"/>
        <v>-1091.06</v>
      </c>
      <c r="H155" s="28"/>
      <c r="I155" s="59" t="str">
        <f t="shared" si="516"/>
        <v/>
      </c>
      <c r="J155" s="60"/>
      <c r="K155" s="59" t="str">
        <f t="shared" si="517"/>
        <v/>
      </c>
      <c r="L155" s="60"/>
      <c r="M155" s="59" t="str">
        <f t="shared" si="518"/>
        <v/>
      </c>
      <c r="N155" s="60"/>
      <c r="O155" s="59" t="str">
        <f t="shared" si="519"/>
        <v/>
      </c>
      <c r="P155" s="60"/>
      <c r="Q155" s="59" t="str">
        <f t="shared" si="520"/>
        <v/>
      </c>
      <c r="R155" s="60"/>
      <c r="S155" s="59" t="str">
        <f t="shared" si="521"/>
        <v/>
      </c>
      <c r="T155" s="60"/>
      <c r="U155" s="59" t="str">
        <f t="shared" si="522"/>
        <v/>
      </c>
      <c r="V155" s="60"/>
      <c r="W155" s="59" t="str">
        <f t="shared" si="523"/>
        <v/>
      </c>
      <c r="X155" s="95"/>
      <c r="Y155" s="59" t="str">
        <f t="shared" si="524"/>
        <v/>
      </c>
      <c r="Z155" s="95"/>
      <c r="AA155" s="59" t="str">
        <f t="shared" si="525"/>
        <v/>
      </c>
      <c r="AB155" s="60"/>
      <c r="AC155" s="59" t="str">
        <f t="shared" si="526"/>
        <v/>
      </c>
      <c r="AD155" s="60"/>
      <c r="AE155" s="59" t="str">
        <f t="shared" si="527"/>
        <v/>
      </c>
      <c r="AF155" s="95"/>
      <c r="AG155" s="59" t="str">
        <f t="shared" ref="AG155" si="979">+IF(OR($F155="",AF155=""),"",$F155*AF155)</f>
        <v/>
      </c>
      <c r="AH155" s="95"/>
      <c r="AI155" s="59" t="str">
        <f t="shared" si="529"/>
        <v/>
      </c>
      <c r="AJ155" s="60"/>
      <c r="AK155" s="59" t="str">
        <f t="shared" si="529"/>
        <v/>
      </c>
      <c r="AL155" s="60"/>
      <c r="AM155" s="59" t="str">
        <f t="shared" ref="AM155" si="980">+IF(OR($F155="",AL155=""),"",$F155*AL155)</f>
        <v/>
      </c>
      <c r="AN155" s="60"/>
      <c r="AO155" s="59" t="str">
        <f t="shared" ref="AO155" si="981">+IF(OR($F155="",AN155=""),"",$F155*AN155)</f>
        <v/>
      </c>
      <c r="AP155" s="60"/>
      <c r="AQ155" s="59" t="str">
        <f t="shared" ref="AQ155" si="982">+IF(OR($F155="",AP155=""),"",$F155*AP155)</f>
        <v/>
      </c>
      <c r="AR155" s="60"/>
      <c r="AS155" s="59" t="str">
        <f t="shared" ref="AS155" si="983">+IF(OR($F155="",AR155=""),"",$F155*AR155)</f>
        <v/>
      </c>
      <c r="AT155" s="60"/>
      <c r="AU155" s="59" t="str">
        <f t="shared" ref="AU155" si="984">+IF(OR($F155="",AT155=""),"",$F155*AT155)</f>
        <v/>
      </c>
      <c r="AV155" s="60"/>
      <c r="AW155" s="59" t="str">
        <f t="shared" ref="AW155" si="985">+IF(OR($F155="",AV155=""),"",$F155*AV155)</f>
        <v/>
      </c>
      <c r="AX155" s="60"/>
      <c r="AY155" s="59" t="str">
        <f t="shared" ref="AY155" si="986">+IF(OR($F155="",AX155=""),"",$F155*AX155)</f>
        <v/>
      </c>
      <c r="AZ155" s="60"/>
      <c r="BA155" s="59" t="str">
        <f t="shared" ref="BA155" si="987">+IF(OR($F155="",AZ155=""),"",$F155*AZ155)</f>
        <v/>
      </c>
      <c r="BB155" s="60"/>
      <c r="BC155" s="59" t="str">
        <f t="shared" ref="BC155" si="988">+IF(OR($F155="",BB155=""),"",$F155*BB155)</f>
        <v/>
      </c>
      <c r="BD155" s="61">
        <f t="shared" si="539"/>
        <v>0</v>
      </c>
      <c r="BE155" s="59">
        <f t="shared" si="540"/>
        <v>0</v>
      </c>
      <c r="BF155" s="61">
        <f t="shared" si="541"/>
        <v>-2</v>
      </c>
      <c r="BG155" s="59">
        <f t="shared" si="542"/>
        <v>-1091.06</v>
      </c>
      <c r="BH155" s="196"/>
      <c r="BI155" s="1">
        <f t="shared" si="543"/>
        <v>0</v>
      </c>
      <c r="BJ155" s="1">
        <f t="shared" si="544"/>
        <v>0</v>
      </c>
      <c r="BK155" s="1">
        <f t="shared" si="545"/>
        <v>0</v>
      </c>
      <c r="BL155" s="1">
        <f t="shared" si="546"/>
        <v>0</v>
      </c>
      <c r="BM155" s="1">
        <f t="shared" si="547"/>
        <v>0</v>
      </c>
      <c r="BN155" s="1">
        <f t="shared" si="548"/>
        <v>0</v>
      </c>
      <c r="BO155" s="1">
        <f t="shared" si="549"/>
        <v>0</v>
      </c>
      <c r="BP155" s="1">
        <f t="shared" si="550"/>
        <v>0</v>
      </c>
      <c r="BQ155" s="1">
        <f t="shared" si="551"/>
        <v>0</v>
      </c>
      <c r="BR155" s="1">
        <f t="shared" si="552"/>
        <v>0</v>
      </c>
      <c r="BS155" s="1">
        <f t="shared" si="553"/>
        <v>0</v>
      </c>
      <c r="BT155" s="1">
        <f t="shared" si="554"/>
        <v>0</v>
      </c>
      <c r="BU155" s="1">
        <f t="shared" si="555"/>
        <v>0</v>
      </c>
      <c r="BV155" s="1">
        <f t="shared" si="556"/>
        <v>0</v>
      </c>
      <c r="BW155" s="1">
        <f t="shared" si="557"/>
        <v>0</v>
      </c>
      <c r="BX155" s="1">
        <f t="shared" si="558"/>
        <v>0</v>
      </c>
      <c r="BY155" s="1">
        <f t="shared" si="559"/>
        <v>0</v>
      </c>
      <c r="BZ155" s="1">
        <f t="shared" si="560"/>
        <v>0</v>
      </c>
      <c r="CA155" s="1">
        <f t="shared" si="561"/>
        <v>0</v>
      </c>
      <c r="CB155" s="1">
        <f t="shared" si="562"/>
        <v>0</v>
      </c>
      <c r="CC155" s="1">
        <f t="shared" si="563"/>
        <v>0</v>
      </c>
      <c r="CD155" s="1">
        <f t="shared" si="564"/>
        <v>0</v>
      </c>
      <c r="CE155" s="1">
        <f t="shared" si="565"/>
        <v>0</v>
      </c>
      <c r="CF155" s="1">
        <f t="shared" si="566"/>
        <v>0</v>
      </c>
    </row>
    <row r="156" spans="3:85" ht="22.5" outlineLevel="1">
      <c r="C156" s="27" t="s">
        <v>890</v>
      </c>
      <c r="D156" s="55">
        <v>-2</v>
      </c>
      <c r="E156" s="88" t="s">
        <v>828</v>
      </c>
      <c r="F156" s="56">
        <v>588.46</v>
      </c>
      <c r="G156" s="57">
        <f t="shared" si="515"/>
        <v>-1176.92</v>
      </c>
      <c r="H156" s="28"/>
      <c r="I156" s="59" t="str">
        <f t="shared" si="516"/>
        <v/>
      </c>
      <c r="J156" s="60"/>
      <c r="K156" s="59" t="str">
        <f t="shared" si="517"/>
        <v/>
      </c>
      <c r="L156" s="60"/>
      <c r="M156" s="59" t="str">
        <f t="shared" si="518"/>
        <v/>
      </c>
      <c r="N156" s="60"/>
      <c r="O156" s="59" t="str">
        <f t="shared" si="519"/>
        <v/>
      </c>
      <c r="P156" s="60"/>
      <c r="Q156" s="59" t="str">
        <f t="shared" si="520"/>
        <v/>
      </c>
      <c r="R156" s="60"/>
      <c r="S156" s="59" t="str">
        <f t="shared" si="521"/>
        <v/>
      </c>
      <c r="T156" s="60"/>
      <c r="U156" s="59" t="str">
        <f t="shared" si="522"/>
        <v/>
      </c>
      <c r="V156" s="60"/>
      <c r="W156" s="59" t="str">
        <f t="shared" si="523"/>
        <v/>
      </c>
      <c r="X156" s="95"/>
      <c r="Y156" s="59" t="str">
        <f t="shared" si="524"/>
        <v/>
      </c>
      <c r="Z156" s="95"/>
      <c r="AA156" s="59" t="str">
        <f t="shared" si="525"/>
        <v/>
      </c>
      <c r="AB156" s="60"/>
      <c r="AC156" s="59" t="str">
        <f t="shared" si="526"/>
        <v/>
      </c>
      <c r="AD156" s="60"/>
      <c r="AE156" s="59" t="str">
        <f t="shared" si="527"/>
        <v/>
      </c>
      <c r="AF156" s="95"/>
      <c r="AG156" s="59" t="str">
        <f t="shared" ref="AG156" si="989">+IF(OR($F156="",AF156=""),"",$F156*AF156)</f>
        <v/>
      </c>
      <c r="AH156" s="95"/>
      <c r="AI156" s="59" t="str">
        <f t="shared" si="529"/>
        <v/>
      </c>
      <c r="AJ156" s="60"/>
      <c r="AK156" s="59" t="str">
        <f t="shared" si="529"/>
        <v/>
      </c>
      <c r="AL156" s="60"/>
      <c r="AM156" s="59" t="str">
        <f t="shared" ref="AM156" si="990">+IF(OR($F156="",AL156=""),"",$F156*AL156)</f>
        <v/>
      </c>
      <c r="AN156" s="60"/>
      <c r="AO156" s="59" t="str">
        <f t="shared" ref="AO156" si="991">+IF(OR($F156="",AN156=""),"",$F156*AN156)</f>
        <v/>
      </c>
      <c r="AP156" s="60"/>
      <c r="AQ156" s="59" t="str">
        <f t="shared" ref="AQ156" si="992">+IF(OR($F156="",AP156=""),"",$F156*AP156)</f>
        <v/>
      </c>
      <c r="AR156" s="60"/>
      <c r="AS156" s="59" t="str">
        <f t="shared" ref="AS156" si="993">+IF(OR($F156="",AR156=""),"",$F156*AR156)</f>
        <v/>
      </c>
      <c r="AT156" s="60"/>
      <c r="AU156" s="59" t="str">
        <f t="shared" ref="AU156" si="994">+IF(OR($F156="",AT156=""),"",$F156*AT156)</f>
        <v/>
      </c>
      <c r="AV156" s="60"/>
      <c r="AW156" s="59" t="str">
        <f t="shared" ref="AW156" si="995">+IF(OR($F156="",AV156=""),"",$F156*AV156)</f>
        <v/>
      </c>
      <c r="AX156" s="60"/>
      <c r="AY156" s="59" t="str">
        <f t="shared" ref="AY156" si="996">+IF(OR($F156="",AX156=""),"",$F156*AX156)</f>
        <v/>
      </c>
      <c r="AZ156" s="60"/>
      <c r="BA156" s="59" t="str">
        <f t="shared" ref="BA156" si="997">+IF(OR($F156="",AZ156=""),"",$F156*AZ156)</f>
        <v/>
      </c>
      <c r="BB156" s="60"/>
      <c r="BC156" s="59" t="str">
        <f t="shared" ref="BC156" si="998">+IF(OR($F156="",BB156=""),"",$F156*BB156)</f>
        <v/>
      </c>
      <c r="BD156" s="61">
        <f t="shared" si="539"/>
        <v>0</v>
      </c>
      <c r="BE156" s="59">
        <f t="shared" si="540"/>
        <v>0</v>
      </c>
      <c r="BF156" s="61">
        <f t="shared" si="541"/>
        <v>-2</v>
      </c>
      <c r="BG156" s="59">
        <f t="shared" si="542"/>
        <v>-1176.92</v>
      </c>
      <c r="BH156" s="196"/>
      <c r="BI156" s="1">
        <f t="shared" si="543"/>
        <v>0</v>
      </c>
      <c r="BJ156" s="1">
        <f t="shared" si="544"/>
        <v>0</v>
      </c>
      <c r="BK156" s="1">
        <f t="shared" si="545"/>
        <v>0</v>
      </c>
      <c r="BL156" s="1">
        <f t="shared" si="546"/>
        <v>0</v>
      </c>
      <c r="BM156" s="1">
        <f t="shared" si="547"/>
        <v>0</v>
      </c>
      <c r="BN156" s="1">
        <f t="shared" si="548"/>
        <v>0</v>
      </c>
      <c r="BO156" s="1">
        <f t="shared" si="549"/>
        <v>0</v>
      </c>
      <c r="BP156" s="1">
        <f t="shared" si="550"/>
        <v>0</v>
      </c>
      <c r="BQ156" s="1">
        <f t="shared" si="551"/>
        <v>0</v>
      </c>
      <c r="BR156" s="1">
        <f t="shared" si="552"/>
        <v>0</v>
      </c>
      <c r="BS156" s="1">
        <f t="shared" si="553"/>
        <v>0</v>
      </c>
      <c r="BT156" s="1">
        <f t="shared" si="554"/>
        <v>0</v>
      </c>
      <c r="BU156" s="1">
        <f t="shared" si="555"/>
        <v>0</v>
      </c>
      <c r="BV156" s="1">
        <f t="shared" si="556"/>
        <v>0</v>
      </c>
      <c r="BW156" s="1">
        <f t="shared" si="557"/>
        <v>0</v>
      </c>
      <c r="BX156" s="1">
        <f t="shared" si="558"/>
        <v>0</v>
      </c>
      <c r="BY156" s="1">
        <f t="shared" si="559"/>
        <v>0</v>
      </c>
      <c r="BZ156" s="1">
        <f t="shared" si="560"/>
        <v>0</v>
      </c>
      <c r="CA156" s="1">
        <f t="shared" si="561"/>
        <v>0</v>
      </c>
      <c r="CB156" s="1">
        <f t="shared" si="562"/>
        <v>0</v>
      </c>
      <c r="CC156" s="1">
        <f t="shared" si="563"/>
        <v>0</v>
      </c>
      <c r="CD156" s="1">
        <f t="shared" si="564"/>
        <v>0</v>
      </c>
      <c r="CE156" s="1">
        <f t="shared" si="565"/>
        <v>0</v>
      </c>
      <c r="CF156" s="1">
        <f t="shared" si="566"/>
        <v>0</v>
      </c>
    </row>
    <row r="157" spans="3:85" ht="22.5" outlineLevel="1">
      <c r="C157" s="27" t="s">
        <v>891</v>
      </c>
      <c r="D157" s="55">
        <v>-4</v>
      </c>
      <c r="E157" s="88" t="s">
        <v>828</v>
      </c>
      <c r="F157" s="56">
        <v>707.4</v>
      </c>
      <c r="G157" s="57">
        <f t="shared" si="515"/>
        <v>-2829.6</v>
      </c>
      <c r="H157" s="28"/>
      <c r="I157" s="59" t="str">
        <f t="shared" si="516"/>
        <v/>
      </c>
      <c r="J157" s="60"/>
      <c r="K157" s="59" t="str">
        <f t="shared" si="517"/>
        <v/>
      </c>
      <c r="L157" s="60"/>
      <c r="M157" s="59" t="str">
        <f t="shared" si="518"/>
        <v/>
      </c>
      <c r="N157" s="60"/>
      <c r="O157" s="59" t="str">
        <f t="shared" si="519"/>
        <v/>
      </c>
      <c r="P157" s="60"/>
      <c r="Q157" s="59" t="str">
        <f t="shared" si="520"/>
        <v/>
      </c>
      <c r="R157" s="60"/>
      <c r="S157" s="59" t="str">
        <f t="shared" si="521"/>
        <v/>
      </c>
      <c r="T157" s="60"/>
      <c r="U157" s="59" t="str">
        <f t="shared" si="522"/>
        <v/>
      </c>
      <c r="V157" s="60"/>
      <c r="W157" s="59" t="str">
        <f t="shared" si="523"/>
        <v/>
      </c>
      <c r="X157" s="95"/>
      <c r="Y157" s="59" t="str">
        <f t="shared" si="524"/>
        <v/>
      </c>
      <c r="Z157" s="95"/>
      <c r="AA157" s="59" t="str">
        <f t="shared" si="525"/>
        <v/>
      </c>
      <c r="AB157" s="60"/>
      <c r="AC157" s="59" t="str">
        <f t="shared" si="526"/>
        <v/>
      </c>
      <c r="AD157" s="60"/>
      <c r="AE157" s="59" t="str">
        <f t="shared" si="527"/>
        <v/>
      </c>
      <c r="AF157" s="95"/>
      <c r="AG157" s="59" t="str">
        <f t="shared" ref="AG157" si="999">+IF(OR($F157="",AF157=""),"",$F157*AF157)</f>
        <v/>
      </c>
      <c r="AH157" s="95"/>
      <c r="AI157" s="59" t="str">
        <f t="shared" si="529"/>
        <v/>
      </c>
      <c r="AJ157" s="60"/>
      <c r="AK157" s="59" t="str">
        <f t="shared" si="529"/>
        <v/>
      </c>
      <c r="AL157" s="60"/>
      <c r="AM157" s="59" t="str">
        <f t="shared" ref="AM157" si="1000">+IF(OR($F157="",AL157=""),"",$F157*AL157)</f>
        <v/>
      </c>
      <c r="AN157" s="60"/>
      <c r="AO157" s="59" t="str">
        <f t="shared" ref="AO157" si="1001">+IF(OR($F157="",AN157=""),"",$F157*AN157)</f>
        <v/>
      </c>
      <c r="AP157" s="60"/>
      <c r="AQ157" s="59" t="str">
        <f t="shared" ref="AQ157" si="1002">+IF(OR($F157="",AP157=""),"",$F157*AP157)</f>
        <v/>
      </c>
      <c r="AR157" s="60"/>
      <c r="AS157" s="59" t="str">
        <f t="shared" ref="AS157" si="1003">+IF(OR($F157="",AR157=""),"",$F157*AR157)</f>
        <v/>
      </c>
      <c r="AT157" s="60"/>
      <c r="AU157" s="59" t="str">
        <f t="shared" ref="AU157" si="1004">+IF(OR($F157="",AT157=""),"",$F157*AT157)</f>
        <v/>
      </c>
      <c r="AV157" s="60"/>
      <c r="AW157" s="59" t="str">
        <f t="shared" ref="AW157" si="1005">+IF(OR($F157="",AV157=""),"",$F157*AV157)</f>
        <v/>
      </c>
      <c r="AX157" s="60"/>
      <c r="AY157" s="59" t="str">
        <f t="shared" ref="AY157" si="1006">+IF(OR($F157="",AX157=""),"",$F157*AX157)</f>
        <v/>
      </c>
      <c r="AZ157" s="60"/>
      <c r="BA157" s="59" t="str">
        <f t="shared" ref="BA157" si="1007">+IF(OR($F157="",AZ157=""),"",$F157*AZ157)</f>
        <v/>
      </c>
      <c r="BB157" s="60"/>
      <c r="BC157" s="59" t="str">
        <f t="shared" ref="BC157" si="1008">+IF(OR($F157="",BB157=""),"",$F157*BB157)</f>
        <v/>
      </c>
      <c r="BD157" s="61">
        <f t="shared" si="539"/>
        <v>0</v>
      </c>
      <c r="BE157" s="59">
        <f t="shared" si="540"/>
        <v>0</v>
      </c>
      <c r="BF157" s="61">
        <f t="shared" si="541"/>
        <v>-4</v>
      </c>
      <c r="BG157" s="59">
        <f t="shared" si="542"/>
        <v>-2829.6</v>
      </c>
      <c r="BH157" s="196"/>
      <c r="BI157" s="1">
        <f t="shared" si="543"/>
        <v>0</v>
      </c>
      <c r="BJ157" s="1">
        <f t="shared" si="544"/>
        <v>0</v>
      </c>
      <c r="BK157" s="1">
        <f t="shared" si="545"/>
        <v>0</v>
      </c>
      <c r="BL157" s="1">
        <f t="shared" si="546"/>
        <v>0</v>
      </c>
      <c r="BM157" s="1">
        <f t="shared" si="547"/>
        <v>0</v>
      </c>
      <c r="BN157" s="1">
        <f t="shared" si="548"/>
        <v>0</v>
      </c>
      <c r="BO157" s="1">
        <f t="shared" si="549"/>
        <v>0</v>
      </c>
      <c r="BP157" s="1">
        <f t="shared" si="550"/>
        <v>0</v>
      </c>
      <c r="BQ157" s="1">
        <f t="shared" si="551"/>
        <v>0</v>
      </c>
      <c r="BR157" s="1">
        <f t="shared" si="552"/>
        <v>0</v>
      </c>
      <c r="BS157" s="1">
        <f t="shared" si="553"/>
        <v>0</v>
      </c>
      <c r="BT157" s="1">
        <f t="shared" si="554"/>
        <v>0</v>
      </c>
      <c r="BU157" s="1">
        <f t="shared" si="555"/>
        <v>0</v>
      </c>
      <c r="BV157" s="1">
        <f t="shared" si="556"/>
        <v>0</v>
      </c>
      <c r="BW157" s="1">
        <f t="shared" si="557"/>
        <v>0</v>
      </c>
      <c r="BX157" s="1">
        <f t="shared" si="558"/>
        <v>0</v>
      </c>
      <c r="BY157" s="1">
        <f t="shared" si="559"/>
        <v>0</v>
      </c>
      <c r="BZ157" s="1">
        <f t="shared" si="560"/>
        <v>0</v>
      </c>
      <c r="CA157" s="1">
        <f t="shared" si="561"/>
        <v>0</v>
      </c>
      <c r="CB157" s="1">
        <f t="shared" si="562"/>
        <v>0</v>
      </c>
      <c r="CC157" s="1">
        <f t="shared" si="563"/>
        <v>0</v>
      </c>
      <c r="CD157" s="1">
        <f t="shared" si="564"/>
        <v>0</v>
      </c>
      <c r="CE157" s="1">
        <f t="shared" si="565"/>
        <v>0</v>
      </c>
      <c r="CF157" s="1">
        <f t="shared" si="566"/>
        <v>0</v>
      </c>
      <c r="CG157" s="214"/>
    </row>
    <row r="158" spans="3:85" ht="22.5" outlineLevel="1">
      <c r="C158" s="27" t="s">
        <v>892</v>
      </c>
      <c r="D158" s="55">
        <v>-1</v>
      </c>
      <c r="E158" s="88" t="s">
        <v>828</v>
      </c>
      <c r="F158" s="56">
        <v>903.9</v>
      </c>
      <c r="G158" s="57">
        <f t="shared" si="515"/>
        <v>-903.9</v>
      </c>
      <c r="H158" s="28"/>
      <c r="I158" s="59" t="str">
        <f t="shared" si="516"/>
        <v/>
      </c>
      <c r="J158" s="60"/>
      <c r="K158" s="59" t="str">
        <f t="shared" si="517"/>
        <v/>
      </c>
      <c r="L158" s="60"/>
      <c r="M158" s="59" t="str">
        <f t="shared" si="518"/>
        <v/>
      </c>
      <c r="N158" s="60"/>
      <c r="O158" s="59" t="str">
        <f t="shared" si="519"/>
        <v/>
      </c>
      <c r="P158" s="60"/>
      <c r="Q158" s="59" t="str">
        <f t="shared" si="520"/>
        <v/>
      </c>
      <c r="R158" s="60"/>
      <c r="S158" s="59" t="str">
        <f t="shared" si="521"/>
        <v/>
      </c>
      <c r="T158" s="60"/>
      <c r="U158" s="59" t="str">
        <f t="shared" si="522"/>
        <v/>
      </c>
      <c r="V158" s="60"/>
      <c r="W158" s="59" t="str">
        <f t="shared" si="523"/>
        <v/>
      </c>
      <c r="X158" s="95"/>
      <c r="Y158" s="59" t="str">
        <f t="shared" si="524"/>
        <v/>
      </c>
      <c r="Z158" s="95"/>
      <c r="AA158" s="59" t="str">
        <f t="shared" si="525"/>
        <v/>
      </c>
      <c r="AB158" s="60"/>
      <c r="AC158" s="59" t="str">
        <f t="shared" si="526"/>
        <v/>
      </c>
      <c r="AD158" s="60"/>
      <c r="AE158" s="59" t="str">
        <f t="shared" si="527"/>
        <v/>
      </c>
      <c r="AF158" s="95"/>
      <c r="AG158" s="59" t="str">
        <f t="shared" ref="AG158" si="1009">+IF(OR($F158="",AF158=""),"",$F158*AF158)</f>
        <v/>
      </c>
      <c r="AH158" s="95"/>
      <c r="AI158" s="59" t="str">
        <f t="shared" si="529"/>
        <v/>
      </c>
      <c r="AJ158" s="60"/>
      <c r="AK158" s="59" t="str">
        <f t="shared" si="529"/>
        <v/>
      </c>
      <c r="AL158" s="60"/>
      <c r="AM158" s="59" t="str">
        <f t="shared" ref="AM158" si="1010">+IF(OR($F158="",AL158=""),"",$F158*AL158)</f>
        <v/>
      </c>
      <c r="AN158" s="60"/>
      <c r="AO158" s="59" t="str">
        <f t="shared" ref="AO158" si="1011">+IF(OR($F158="",AN158=""),"",$F158*AN158)</f>
        <v/>
      </c>
      <c r="AP158" s="60"/>
      <c r="AQ158" s="59" t="str">
        <f t="shared" ref="AQ158" si="1012">+IF(OR($F158="",AP158=""),"",$F158*AP158)</f>
        <v/>
      </c>
      <c r="AR158" s="60"/>
      <c r="AS158" s="59" t="str">
        <f t="shared" ref="AS158" si="1013">+IF(OR($F158="",AR158=""),"",$F158*AR158)</f>
        <v/>
      </c>
      <c r="AT158" s="60"/>
      <c r="AU158" s="59" t="str">
        <f t="shared" ref="AU158" si="1014">+IF(OR($F158="",AT158=""),"",$F158*AT158)</f>
        <v/>
      </c>
      <c r="AV158" s="60"/>
      <c r="AW158" s="59" t="str">
        <f t="shared" ref="AW158" si="1015">+IF(OR($F158="",AV158=""),"",$F158*AV158)</f>
        <v/>
      </c>
      <c r="AX158" s="60"/>
      <c r="AY158" s="59" t="str">
        <f t="shared" ref="AY158" si="1016">+IF(OR($F158="",AX158=""),"",$F158*AX158)</f>
        <v/>
      </c>
      <c r="AZ158" s="60"/>
      <c r="BA158" s="59" t="str">
        <f t="shared" ref="BA158" si="1017">+IF(OR($F158="",AZ158=""),"",$F158*AZ158)</f>
        <v/>
      </c>
      <c r="BB158" s="60"/>
      <c r="BC158" s="59" t="str">
        <f t="shared" ref="BC158" si="1018">+IF(OR($F158="",BB158=""),"",$F158*BB158)</f>
        <v/>
      </c>
      <c r="BD158" s="61">
        <f t="shared" si="539"/>
        <v>0</v>
      </c>
      <c r="BE158" s="59">
        <f t="shared" si="540"/>
        <v>0</v>
      </c>
      <c r="BF158" s="61">
        <f t="shared" si="541"/>
        <v>-1</v>
      </c>
      <c r="BG158" s="59">
        <f t="shared" si="542"/>
        <v>-903.9</v>
      </c>
      <c r="BH158" s="196"/>
      <c r="BI158" s="1">
        <f t="shared" si="543"/>
        <v>0</v>
      </c>
      <c r="BJ158" s="1">
        <f t="shared" si="544"/>
        <v>0</v>
      </c>
      <c r="BK158" s="1">
        <f t="shared" si="545"/>
        <v>0</v>
      </c>
      <c r="BL158" s="1">
        <f t="shared" si="546"/>
        <v>0</v>
      </c>
      <c r="BM158" s="1">
        <f t="shared" si="547"/>
        <v>0</v>
      </c>
      <c r="BN158" s="1">
        <f t="shared" si="548"/>
        <v>0</v>
      </c>
      <c r="BO158" s="1">
        <f t="shared" si="549"/>
        <v>0</v>
      </c>
      <c r="BP158" s="1">
        <f t="shared" si="550"/>
        <v>0</v>
      </c>
      <c r="BQ158" s="1">
        <f t="shared" si="551"/>
        <v>0</v>
      </c>
      <c r="BR158" s="1">
        <f t="shared" si="552"/>
        <v>0</v>
      </c>
      <c r="BS158" s="1">
        <f t="shared" si="553"/>
        <v>0</v>
      </c>
      <c r="BT158" s="1">
        <f t="shared" si="554"/>
        <v>0</v>
      </c>
      <c r="BU158" s="1">
        <f t="shared" si="555"/>
        <v>0</v>
      </c>
      <c r="BV158" s="1">
        <f t="shared" si="556"/>
        <v>0</v>
      </c>
      <c r="BW158" s="1">
        <f t="shared" si="557"/>
        <v>0</v>
      </c>
      <c r="BX158" s="1">
        <f t="shared" si="558"/>
        <v>0</v>
      </c>
      <c r="BY158" s="1">
        <f t="shared" si="559"/>
        <v>0</v>
      </c>
      <c r="BZ158" s="1">
        <f t="shared" si="560"/>
        <v>0</v>
      </c>
      <c r="CA158" s="1">
        <f t="shared" si="561"/>
        <v>0</v>
      </c>
      <c r="CB158" s="1">
        <f t="shared" si="562"/>
        <v>0</v>
      </c>
      <c r="CC158" s="1">
        <f t="shared" si="563"/>
        <v>0</v>
      </c>
      <c r="CD158" s="1">
        <f t="shared" si="564"/>
        <v>0</v>
      </c>
      <c r="CE158" s="1">
        <f t="shared" si="565"/>
        <v>0</v>
      </c>
      <c r="CF158" s="1">
        <f t="shared" si="566"/>
        <v>0</v>
      </c>
    </row>
    <row r="159" spans="3:85" ht="22.5" outlineLevel="1">
      <c r="C159" s="27" t="s">
        <v>893</v>
      </c>
      <c r="D159" s="55">
        <v>-4</v>
      </c>
      <c r="E159" s="88" t="s">
        <v>828</v>
      </c>
      <c r="F159" s="56">
        <v>628.79999999999995</v>
      </c>
      <c r="G159" s="57">
        <f t="shared" si="515"/>
        <v>-2515.1999999999998</v>
      </c>
      <c r="H159" s="28"/>
      <c r="I159" s="59" t="str">
        <f t="shared" si="516"/>
        <v/>
      </c>
      <c r="J159" s="60"/>
      <c r="K159" s="59" t="str">
        <f t="shared" si="517"/>
        <v/>
      </c>
      <c r="L159" s="60"/>
      <c r="M159" s="59" t="str">
        <f t="shared" si="518"/>
        <v/>
      </c>
      <c r="N159" s="60"/>
      <c r="O159" s="59" t="str">
        <f t="shared" si="519"/>
        <v/>
      </c>
      <c r="P159" s="60"/>
      <c r="Q159" s="59" t="str">
        <f t="shared" si="520"/>
        <v/>
      </c>
      <c r="R159" s="60"/>
      <c r="S159" s="59" t="str">
        <f t="shared" si="521"/>
        <v/>
      </c>
      <c r="T159" s="60"/>
      <c r="U159" s="59" t="str">
        <f t="shared" si="522"/>
        <v/>
      </c>
      <c r="V159" s="60"/>
      <c r="W159" s="59" t="str">
        <f t="shared" si="523"/>
        <v/>
      </c>
      <c r="X159" s="95"/>
      <c r="Y159" s="59" t="str">
        <f t="shared" si="524"/>
        <v/>
      </c>
      <c r="Z159" s="95"/>
      <c r="AA159" s="59" t="str">
        <f t="shared" si="525"/>
        <v/>
      </c>
      <c r="AB159" s="60"/>
      <c r="AC159" s="59" t="str">
        <f t="shared" si="526"/>
        <v/>
      </c>
      <c r="AD159" s="60"/>
      <c r="AE159" s="59" t="str">
        <f t="shared" si="527"/>
        <v/>
      </c>
      <c r="AF159" s="95"/>
      <c r="AG159" s="59" t="str">
        <f t="shared" ref="AG159" si="1019">+IF(OR($F159="",AF159=""),"",$F159*AF159)</f>
        <v/>
      </c>
      <c r="AH159" s="95"/>
      <c r="AI159" s="59" t="str">
        <f t="shared" si="529"/>
        <v/>
      </c>
      <c r="AJ159" s="60"/>
      <c r="AK159" s="59" t="str">
        <f t="shared" si="529"/>
        <v/>
      </c>
      <c r="AL159" s="60"/>
      <c r="AM159" s="59" t="str">
        <f t="shared" ref="AM159" si="1020">+IF(OR($F159="",AL159=""),"",$F159*AL159)</f>
        <v/>
      </c>
      <c r="AN159" s="60"/>
      <c r="AO159" s="59" t="str">
        <f t="shared" ref="AO159" si="1021">+IF(OR($F159="",AN159=""),"",$F159*AN159)</f>
        <v/>
      </c>
      <c r="AP159" s="60"/>
      <c r="AQ159" s="59" t="str">
        <f t="shared" ref="AQ159" si="1022">+IF(OR($F159="",AP159=""),"",$F159*AP159)</f>
        <v/>
      </c>
      <c r="AR159" s="60"/>
      <c r="AS159" s="59" t="str">
        <f t="shared" ref="AS159" si="1023">+IF(OR($F159="",AR159=""),"",$F159*AR159)</f>
        <v/>
      </c>
      <c r="AT159" s="60"/>
      <c r="AU159" s="59" t="str">
        <f t="shared" ref="AU159" si="1024">+IF(OR($F159="",AT159=""),"",$F159*AT159)</f>
        <v/>
      </c>
      <c r="AV159" s="60"/>
      <c r="AW159" s="59" t="str">
        <f t="shared" ref="AW159" si="1025">+IF(OR($F159="",AV159=""),"",$F159*AV159)</f>
        <v/>
      </c>
      <c r="AX159" s="60"/>
      <c r="AY159" s="59" t="str">
        <f t="shared" ref="AY159" si="1026">+IF(OR($F159="",AX159=""),"",$F159*AX159)</f>
        <v/>
      </c>
      <c r="AZ159" s="60"/>
      <c r="BA159" s="59" t="str">
        <f t="shared" ref="BA159" si="1027">+IF(OR($F159="",AZ159=""),"",$F159*AZ159)</f>
        <v/>
      </c>
      <c r="BB159" s="60"/>
      <c r="BC159" s="59" t="str">
        <f t="shared" ref="BC159" si="1028">+IF(OR($F159="",BB159=""),"",$F159*BB159)</f>
        <v/>
      </c>
      <c r="BD159" s="61">
        <f t="shared" si="539"/>
        <v>0</v>
      </c>
      <c r="BE159" s="59">
        <f t="shared" si="540"/>
        <v>0</v>
      </c>
      <c r="BF159" s="61">
        <f t="shared" si="541"/>
        <v>-4</v>
      </c>
      <c r="BG159" s="59">
        <f t="shared" si="542"/>
        <v>-2515.1999999999998</v>
      </c>
      <c r="BH159" s="196"/>
      <c r="BI159" s="1">
        <f t="shared" si="543"/>
        <v>0</v>
      </c>
      <c r="BJ159" s="1">
        <f t="shared" si="544"/>
        <v>0</v>
      </c>
      <c r="BK159" s="1">
        <f t="shared" si="545"/>
        <v>0</v>
      </c>
      <c r="BL159" s="1">
        <f t="shared" si="546"/>
        <v>0</v>
      </c>
      <c r="BM159" s="1">
        <f t="shared" si="547"/>
        <v>0</v>
      </c>
      <c r="BN159" s="1">
        <f t="shared" si="548"/>
        <v>0</v>
      </c>
      <c r="BO159" s="1">
        <f t="shared" si="549"/>
        <v>0</v>
      </c>
      <c r="BP159" s="1">
        <f t="shared" si="550"/>
        <v>0</v>
      </c>
      <c r="BQ159" s="1">
        <f t="shared" si="551"/>
        <v>0</v>
      </c>
      <c r="BR159" s="1">
        <f t="shared" si="552"/>
        <v>0</v>
      </c>
      <c r="BS159" s="1">
        <f t="shared" si="553"/>
        <v>0</v>
      </c>
      <c r="BT159" s="1">
        <f t="shared" si="554"/>
        <v>0</v>
      </c>
      <c r="BU159" s="1">
        <f t="shared" si="555"/>
        <v>0</v>
      </c>
      <c r="BV159" s="1">
        <f t="shared" si="556"/>
        <v>0</v>
      </c>
      <c r="BW159" s="1">
        <f t="shared" si="557"/>
        <v>0</v>
      </c>
      <c r="BX159" s="1">
        <f t="shared" si="558"/>
        <v>0</v>
      </c>
      <c r="BY159" s="1">
        <f t="shared" si="559"/>
        <v>0</v>
      </c>
      <c r="BZ159" s="1">
        <f t="shared" si="560"/>
        <v>0</v>
      </c>
      <c r="CA159" s="1">
        <f t="shared" si="561"/>
        <v>0</v>
      </c>
      <c r="CB159" s="1">
        <f t="shared" si="562"/>
        <v>0</v>
      </c>
      <c r="CC159" s="1">
        <f t="shared" si="563"/>
        <v>0</v>
      </c>
      <c r="CD159" s="1">
        <f t="shared" si="564"/>
        <v>0</v>
      </c>
      <c r="CE159" s="1">
        <f t="shared" si="565"/>
        <v>0</v>
      </c>
      <c r="CF159" s="1">
        <f t="shared" si="566"/>
        <v>0</v>
      </c>
    </row>
    <row r="160" spans="3:85" ht="22.5" outlineLevel="1">
      <c r="C160" s="27" t="s">
        <v>894</v>
      </c>
      <c r="D160" s="55">
        <v>-1</v>
      </c>
      <c r="E160" s="88" t="s">
        <v>828</v>
      </c>
      <c r="F160" s="56">
        <v>628.79999999999995</v>
      </c>
      <c r="G160" s="57">
        <f t="shared" si="515"/>
        <v>-628.79999999999995</v>
      </c>
      <c r="H160" s="28"/>
      <c r="I160" s="59" t="str">
        <f t="shared" si="516"/>
        <v/>
      </c>
      <c r="J160" s="60"/>
      <c r="K160" s="59" t="str">
        <f t="shared" si="517"/>
        <v/>
      </c>
      <c r="L160" s="60"/>
      <c r="M160" s="59" t="str">
        <f t="shared" si="518"/>
        <v/>
      </c>
      <c r="N160" s="60"/>
      <c r="O160" s="59" t="str">
        <f t="shared" si="519"/>
        <v/>
      </c>
      <c r="P160" s="60"/>
      <c r="Q160" s="59" t="str">
        <f t="shared" si="520"/>
        <v/>
      </c>
      <c r="R160" s="60"/>
      <c r="S160" s="59" t="str">
        <f t="shared" si="521"/>
        <v/>
      </c>
      <c r="T160" s="60"/>
      <c r="U160" s="59" t="str">
        <f t="shared" si="522"/>
        <v/>
      </c>
      <c r="V160" s="60"/>
      <c r="W160" s="59" t="str">
        <f t="shared" si="523"/>
        <v/>
      </c>
      <c r="X160" s="95"/>
      <c r="Y160" s="59" t="str">
        <f t="shared" si="524"/>
        <v/>
      </c>
      <c r="Z160" s="95"/>
      <c r="AA160" s="59" t="str">
        <f t="shared" si="525"/>
        <v/>
      </c>
      <c r="AB160" s="60"/>
      <c r="AC160" s="59" t="str">
        <f t="shared" si="526"/>
        <v/>
      </c>
      <c r="AD160" s="60"/>
      <c r="AE160" s="59" t="str">
        <f t="shared" si="527"/>
        <v/>
      </c>
      <c r="AF160" s="95"/>
      <c r="AG160" s="59" t="str">
        <f t="shared" ref="AG160" si="1029">+IF(OR($F160="",AF160=""),"",$F160*AF160)</f>
        <v/>
      </c>
      <c r="AH160" s="95"/>
      <c r="AI160" s="59" t="str">
        <f t="shared" si="529"/>
        <v/>
      </c>
      <c r="AJ160" s="60"/>
      <c r="AK160" s="59" t="str">
        <f t="shared" si="529"/>
        <v/>
      </c>
      <c r="AL160" s="60"/>
      <c r="AM160" s="59" t="str">
        <f t="shared" ref="AM160" si="1030">+IF(OR($F160="",AL160=""),"",$F160*AL160)</f>
        <v/>
      </c>
      <c r="AN160" s="60"/>
      <c r="AO160" s="59" t="str">
        <f t="shared" ref="AO160" si="1031">+IF(OR($F160="",AN160=""),"",$F160*AN160)</f>
        <v/>
      </c>
      <c r="AP160" s="60"/>
      <c r="AQ160" s="59" t="str">
        <f t="shared" ref="AQ160" si="1032">+IF(OR($F160="",AP160=""),"",$F160*AP160)</f>
        <v/>
      </c>
      <c r="AR160" s="60"/>
      <c r="AS160" s="59" t="str">
        <f t="shared" ref="AS160" si="1033">+IF(OR($F160="",AR160=""),"",$F160*AR160)</f>
        <v/>
      </c>
      <c r="AT160" s="60"/>
      <c r="AU160" s="59" t="str">
        <f t="shared" ref="AU160" si="1034">+IF(OR($F160="",AT160=""),"",$F160*AT160)</f>
        <v/>
      </c>
      <c r="AV160" s="60"/>
      <c r="AW160" s="59" t="str">
        <f t="shared" ref="AW160" si="1035">+IF(OR($F160="",AV160=""),"",$F160*AV160)</f>
        <v/>
      </c>
      <c r="AX160" s="60"/>
      <c r="AY160" s="59" t="str">
        <f t="shared" ref="AY160" si="1036">+IF(OR($F160="",AX160=""),"",$F160*AX160)</f>
        <v/>
      </c>
      <c r="AZ160" s="60"/>
      <c r="BA160" s="59" t="str">
        <f t="shared" ref="BA160" si="1037">+IF(OR($F160="",AZ160=""),"",$F160*AZ160)</f>
        <v/>
      </c>
      <c r="BB160" s="60"/>
      <c r="BC160" s="59" t="str">
        <f t="shared" ref="BC160" si="1038">+IF(OR($F160="",BB160=""),"",$F160*BB160)</f>
        <v/>
      </c>
      <c r="BD160" s="61">
        <f t="shared" si="539"/>
        <v>0</v>
      </c>
      <c r="BE160" s="59">
        <f t="shared" si="540"/>
        <v>0</v>
      </c>
      <c r="BF160" s="61">
        <f t="shared" si="541"/>
        <v>-1</v>
      </c>
      <c r="BG160" s="59">
        <f t="shared" si="542"/>
        <v>-628.79999999999995</v>
      </c>
      <c r="BH160" s="196"/>
      <c r="BI160" s="1">
        <f t="shared" si="543"/>
        <v>0</v>
      </c>
      <c r="BJ160" s="1">
        <f t="shared" si="544"/>
        <v>0</v>
      </c>
      <c r="BK160" s="1">
        <f t="shared" si="545"/>
        <v>0</v>
      </c>
      <c r="BL160" s="1">
        <f t="shared" si="546"/>
        <v>0</v>
      </c>
      <c r="BM160" s="1">
        <f t="shared" si="547"/>
        <v>0</v>
      </c>
      <c r="BN160" s="1">
        <f t="shared" si="548"/>
        <v>0</v>
      </c>
      <c r="BO160" s="1">
        <f t="shared" si="549"/>
        <v>0</v>
      </c>
      <c r="BP160" s="1">
        <f t="shared" si="550"/>
        <v>0</v>
      </c>
      <c r="BQ160" s="1">
        <f t="shared" si="551"/>
        <v>0</v>
      </c>
      <c r="BR160" s="1">
        <f t="shared" si="552"/>
        <v>0</v>
      </c>
      <c r="BS160" s="1">
        <f t="shared" si="553"/>
        <v>0</v>
      </c>
      <c r="BT160" s="1">
        <f t="shared" si="554"/>
        <v>0</v>
      </c>
      <c r="BU160" s="1">
        <f t="shared" si="555"/>
        <v>0</v>
      </c>
      <c r="BV160" s="1">
        <f t="shared" si="556"/>
        <v>0</v>
      </c>
      <c r="BW160" s="1">
        <f t="shared" si="557"/>
        <v>0</v>
      </c>
      <c r="BX160" s="1">
        <f t="shared" si="558"/>
        <v>0</v>
      </c>
      <c r="BY160" s="1">
        <f t="shared" si="559"/>
        <v>0</v>
      </c>
      <c r="BZ160" s="1">
        <f t="shared" si="560"/>
        <v>0</v>
      </c>
      <c r="CA160" s="1">
        <f t="shared" si="561"/>
        <v>0</v>
      </c>
      <c r="CB160" s="1">
        <f t="shared" si="562"/>
        <v>0</v>
      </c>
      <c r="CC160" s="1">
        <f t="shared" si="563"/>
        <v>0</v>
      </c>
      <c r="CD160" s="1">
        <f t="shared" si="564"/>
        <v>0</v>
      </c>
      <c r="CE160" s="1">
        <f t="shared" si="565"/>
        <v>0</v>
      </c>
      <c r="CF160" s="1">
        <f t="shared" si="566"/>
        <v>0</v>
      </c>
    </row>
    <row r="161" spans="3:84" ht="33.75" outlineLevel="1">
      <c r="C161" s="27" t="s">
        <v>878</v>
      </c>
      <c r="D161" s="55">
        <v>-8</v>
      </c>
      <c r="E161" s="88" t="s">
        <v>828</v>
      </c>
      <c r="F161" s="56">
        <v>1650.6</v>
      </c>
      <c r="G161" s="57">
        <f t="shared" si="515"/>
        <v>-13204.8</v>
      </c>
      <c r="H161" s="28"/>
      <c r="I161" s="59" t="str">
        <f t="shared" si="516"/>
        <v/>
      </c>
      <c r="J161" s="60"/>
      <c r="K161" s="59" t="str">
        <f t="shared" si="517"/>
        <v/>
      </c>
      <c r="L161" s="60"/>
      <c r="M161" s="59" t="str">
        <f t="shared" si="518"/>
        <v/>
      </c>
      <c r="N161" s="60"/>
      <c r="O161" s="59" t="str">
        <f t="shared" si="519"/>
        <v/>
      </c>
      <c r="P161" s="60"/>
      <c r="Q161" s="59" t="str">
        <f t="shared" si="520"/>
        <v/>
      </c>
      <c r="R161" s="60"/>
      <c r="S161" s="59" t="str">
        <f t="shared" si="521"/>
        <v/>
      </c>
      <c r="T161" s="60"/>
      <c r="U161" s="59" t="str">
        <f t="shared" si="522"/>
        <v/>
      </c>
      <c r="V161" s="60"/>
      <c r="W161" s="59" t="str">
        <f t="shared" si="523"/>
        <v/>
      </c>
      <c r="X161" s="95"/>
      <c r="Y161" s="59" t="str">
        <f t="shared" si="524"/>
        <v/>
      </c>
      <c r="Z161" s="95"/>
      <c r="AA161" s="59" t="str">
        <f t="shared" si="525"/>
        <v/>
      </c>
      <c r="AB161" s="60"/>
      <c r="AC161" s="59" t="str">
        <f t="shared" si="526"/>
        <v/>
      </c>
      <c r="AD161" s="60"/>
      <c r="AE161" s="59" t="str">
        <f t="shared" si="527"/>
        <v/>
      </c>
      <c r="AF161" s="95"/>
      <c r="AG161" s="59" t="str">
        <f t="shared" ref="AG161" si="1039">+IF(OR($F161="",AF161=""),"",$F161*AF161)</f>
        <v/>
      </c>
      <c r="AH161" s="95"/>
      <c r="AI161" s="59" t="str">
        <f t="shared" si="529"/>
        <v/>
      </c>
      <c r="AJ161" s="60"/>
      <c r="AK161" s="59" t="str">
        <f t="shared" si="529"/>
        <v/>
      </c>
      <c r="AL161" s="60"/>
      <c r="AM161" s="59" t="str">
        <f t="shared" ref="AM161" si="1040">+IF(OR($F161="",AL161=""),"",$F161*AL161)</f>
        <v/>
      </c>
      <c r="AN161" s="60"/>
      <c r="AO161" s="59" t="str">
        <f t="shared" ref="AO161" si="1041">+IF(OR($F161="",AN161=""),"",$F161*AN161)</f>
        <v/>
      </c>
      <c r="AP161" s="60"/>
      <c r="AQ161" s="59" t="str">
        <f t="shared" ref="AQ161" si="1042">+IF(OR($F161="",AP161=""),"",$F161*AP161)</f>
        <v/>
      </c>
      <c r="AR161" s="60"/>
      <c r="AS161" s="59" t="str">
        <f t="shared" ref="AS161" si="1043">+IF(OR($F161="",AR161=""),"",$F161*AR161)</f>
        <v/>
      </c>
      <c r="AT161" s="60"/>
      <c r="AU161" s="59" t="str">
        <f t="shared" ref="AU161" si="1044">+IF(OR($F161="",AT161=""),"",$F161*AT161)</f>
        <v/>
      </c>
      <c r="AV161" s="60"/>
      <c r="AW161" s="59" t="str">
        <f t="shared" ref="AW161" si="1045">+IF(OR($F161="",AV161=""),"",$F161*AV161)</f>
        <v/>
      </c>
      <c r="AX161" s="60"/>
      <c r="AY161" s="59" t="str">
        <f t="shared" ref="AY161" si="1046">+IF(OR($F161="",AX161=""),"",$F161*AX161)</f>
        <v/>
      </c>
      <c r="AZ161" s="60"/>
      <c r="BA161" s="59" t="str">
        <f t="shared" ref="BA161" si="1047">+IF(OR($F161="",AZ161=""),"",$F161*AZ161)</f>
        <v/>
      </c>
      <c r="BB161" s="60"/>
      <c r="BC161" s="59" t="str">
        <f t="shared" ref="BC161" si="1048">+IF(OR($F161="",BB161=""),"",$F161*BB161)</f>
        <v/>
      </c>
      <c r="BD161" s="61">
        <f t="shared" si="539"/>
        <v>0</v>
      </c>
      <c r="BE161" s="59">
        <f t="shared" si="540"/>
        <v>0</v>
      </c>
      <c r="BF161" s="61">
        <f t="shared" si="541"/>
        <v>-8</v>
      </c>
      <c r="BG161" s="59">
        <f t="shared" si="542"/>
        <v>-13204.8</v>
      </c>
      <c r="BH161" s="196"/>
      <c r="BI161" s="1">
        <f t="shared" si="543"/>
        <v>0</v>
      </c>
      <c r="BJ161" s="1">
        <f t="shared" si="544"/>
        <v>0</v>
      </c>
      <c r="BK161" s="1">
        <f t="shared" si="545"/>
        <v>0</v>
      </c>
      <c r="BL161" s="1">
        <f t="shared" si="546"/>
        <v>0</v>
      </c>
      <c r="BM161" s="1">
        <f t="shared" si="547"/>
        <v>0</v>
      </c>
      <c r="BN161" s="1">
        <f t="shared" si="548"/>
        <v>0</v>
      </c>
      <c r="BO161" s="1">
        <f t="shared" si="549"/>
        <v>0</v>
      </c>
      <c r="BP161" s="1">
        <f t="shared" si="550"/>
        <v>0</v>
      </c>
      <c r="BQ161" s="1">
        <f t="shared" si="551"/>
        <v>0</v>
      </c>
      <c r="BR161" s="1">
        <f t="shared" si="552"/>
        <v>0</v>
      </c>
      <c r="BS161" s="1">
        <f t="shared" si="553"/>
        <v>0</v>
      </c>
      <c r="BT161" s="1">
        <f t="shared" si="554"/>
        <v>0</v>
      </c>
      <c r="BU161" s="1">
        <f t="shared" si="555"/>
        <v>0</v>
      </c>
      <c r="BV161" s="1">
        <f t="shared" si="556"/>
        <v>0</v>
      </c>
      <c r="BW161" s="1">
        <f t="shared" si="557"/>
        <v>0</v>
      </c>
      <c r="BX161" s="1">
        <f t="shared" si="558"/>
        <v>0</v>
      </c>
      <c r="BY161" s="1">
        <f t="shared" si="559"/>
        <v>0</v>
      </c>
      <c r="BZ161" s="1">
        <f t="shared" si="560"/>
        <v>0</v>
      </c>
      <c r="CA161" s="1">
        <f t="shared" si="561"/>
        <v>0</v>
      </c>
      <c r="CB161" s="1">
        <f t="shared" si="562"/>
        <v>0</v>
      </c>
      <c r="CC161" s="1">
        <f t="shared" si="563"/>
        <v>0</v>
      </c>
      <c r="CD161" s="1">
        <f t="shared" si="564"/>
        <v>0</v>
      </c>
      <c r="CE161" s="1">
        <f t="shared" si="565"/>
        <v>0</v>
      </c>
      <c r="CF161" s="1">
        <f t="shared" si="566"/>
        <v>0</v>
      </c>
    </row>
    <row r="162" spans="3:84" ht="45" outlineLevel="1">
      <c r="C162" s="27" t="s">
        <v>895</v>
      </c>
      <c r="D162" s="55">
        <v>-1</v>
      </c>
      <c r="E162" s="88" t="s">
        <v>828</v>
      </c>
      <c r="F162" s="56">
        <v>1558.9</v>
      </c>
      <c r="G162" s="57">
        <f t="shared" si="515"/>
        <v>-1558.9</v>
      </c>
      <c r="H162" s="28"/>
      <c r="I162" s="59" t="str">
        <f t="shared" si="516"/>
        <v/>
      </c>
      <c r="J162" s="60"/>
      <c r="K162" s="59" t="str">
        <f t="shared" si="517"/>
        <v/>
      </c>
      <c r="L162" s="60"/>
      <c r="M162" s="59" t="str">
        <f t="shared" si="518"/>
        <v/>
      </c>
      <c r="N162" s="60"/>
      <c r="O162" s="59" t="str">
        <f t="shared" si="519"/>
        <v/>
      </c>
      <c r="P162" s="60"/>
      <c r="Q162" s="59" t="str">
        <f t="shared" si="520"/>
        <v/>
      </c>
      <c r="R162" s="60"/>
      <c r="S162" s="59" t="str">
        <f t="shared" si="521"/>
        <v/>
      </c>
      <c r="T162" s="60"/>
      <c r="U162" s="59" t="str">
        <f t="shared" si="522"/>
        <v/>
      </c>
      <c r="V162" s="60"/>
      <c r="W162" s="59" t="str">
        <f t="shared" si="523"/>
        <v/>
      </c>
      <c r="X162" s="95"/>
      <c r="Y162" s="59" t="str">
        <f t="shared" si="524"/>
        <v/>
      </c>
      <c r="Z162" s="95"/>
      <c r="AA162" s="59" t="str">
        <f t="shared" si="525"/>
        <v/>
      </c>
      <c r="AB162" s="60"/>
      <c r="AC162" s="59" t="str">
        <f t="shared" si="526"/>
        <v/>
      </c>
      <c r="AD162" s="60"/>
      <c r="AE162" s="59" t="str">
        <f t="shared" si="527"/>
        <v/>
      </c>
      <c r="AF162" s="95"/>
      <c r="AG162" s="59" t="str">
        <f t="shared" ref="AG162" si="1049">+IF(OR($F162="",AF162=""),"",$F162*AF162)</f>
        <v/>
      </c>
      <c r="AH162" s="95"/>
      <c r="AI162" s="59" t="str">
        <f t="shared" si="529"/>
        <v/>
      </c>
      <c r="AJ162" s="60"/>
      <c r="AK162" s="59" t="str">
        <f t="shared" si="529"/>
        <v/>
      </c>
      <c r="AL162" s="60"/>
      <c r="AM162" s="59" t="str">
        <f t="shared" ref="AM162" si="1050">+IF(OR($F162="",AL162=""),"",$F162*AL162)</f>
        <v/>
      </c>
      <c r="AN162" s="60"/>
      <c r="AO162" s="59" t="str">
        <f t="shared" ref="AO162" si="1051">+IF(OR($F162="",AN162=""),"",$F162*AN162)</f>
        <v/>
      </c>
      <c r="AP162" s="60"/>
      <c r="AQ162" s="59" t="str">
        <f t="shared" ref="AQ162" si="1052">+IF(OR($F162="",AP162=""),"",$F162*AP162)</f>
        <v/>
      </c>
      <c r="AR162" s="60"/>
      <c r="AS162" s="59" t="str">
        <f t="shared" ref="AS162" si="1053">+IF(OR($F162="",AR162=""),"",$F162*AR162)</f>
        <v/>
      </c>
      <c r="AT162" s="60"/>
      <c r="AU162" s="59" t="str">
        <f t="shared" ref="AU162" si="1054">+IF(OR($F162="",AT162=""),"",$F162*AT162)</f>
        <v/>
      </c>
      <c r="AV162" s="60"/>
      <c r="AW162" s="59" t="str">
        <f t="shared" ref="AW162" si="1055">+IF(OR($F162="",AV162=""),"",$F162*AV162)</f>
        <v/>
      </c>
      <c r="AX162" s="60"/>
      <c r="AY162" s="59" t="str">
        <f t="shared" ref="AY162" si="1056">+IF(OR($F162="",AX162=""),"",$F162*AX162)</f>
        <v/>
      </c>
      <c r="AZ162" s="60"/>
      <c r="BA162" s="59" t="str">
        <f t="shared" ref="BA162" si="1057">+IF(OR($F162="",AZ162=""),"",$F162*AZ162)</f>
        <v/>
      </c>
      <c r="BB162" s="60"/>
      <c r="BC162" s="59" t="str">
        <f t="shared" ref="BC162" si="1058">+IF(OR($F162="",BB162=""),"",$F162*BB162)</f>
        <v/>
      </c>
      <c r="BD162" s="61">
        <f t="shared" si="539"/>
        <v>0</v>
      </c>
      <c r="BE162" s="59">
        <f t="shared" si="540"/>
        <v>0</v>
      </c>
      <c r="BF162" s="61">
        <f t="shared" si="541"/>
        <v>-1</v>
      </c>
      <c r="BG162" s="59">
        <f t="shared" si="542"/>
        <v>-1558.9</v>
      </c>
      <c r="BH162" s="196"/>
      <c r="BI162" s="1">
        <f t="shared" si="543"/>
        <v>0</v>
      </c>
      <c r="BJ162" s="1">
        <f t="shared" si="544"/>
        <v>0</v>
      </c>
      <c r="BK162" s="1">
        <f t="shared" si="545"/>
        <v>0</v>
      </c>
      <c r="BL162" s="1">
        <f t="shared" si="546"/>
        <v>0</v>
      </c>
      <c r="BM162" s="1">
        <f t="shared" si="547"/>
        <v>0</v>
      </c>
      <c r="BN162" s="1">
        <f t="shared" si="548"/>
        <v>0</v>
      </c>
      <c r="BO162" s="1">
        <f t="shared" si="549"/>
        <v>0</v>
      </c>
      <c r="BP162" s="1">
        <f t="shared" si="550"/>
        <v>0</v>
      </c>
      <c r="BQ162" s="1">
        <f t="shared" si="551"/>
        <v>0</v>
      </c>
      <c r="BR162" s="1">
        <f t="shared" si="552"/>
        <v>0</v>
      </c>
      <c r="BS162" s="1">
        <f t="shared" si="553"/>
        <v>0</v>
      </c>
      <c r="BT162" s="1">
        <f t="shared" si="554"/>
        <v>0</v>
      </c>
      <c r="BU162" s="1">
        <f t="shared" si="555"/>
        <v>0</v>
      </c>
      <c r="BV162" s="1">
        <f t="shared" si="556"/>
        <v>0</v>
      </c>
      <c r="BW162" s="1">
        <f t="shared" si="557"/>
        <v>0</v>
      </c>
      <c r="BX162" s="1">
        <f t="shared" si="558"/>
        <v>0</v>
      </c>
      <c r="BY162" s="1">
        <f t="shared" si="559"/>
        <v>0</v>
      </c>
      <c r="BZ162" s="1">
        <f t="shared" si="560"/>
        <v>0</v>
      </c>
      <c r="CA162" s="1">
        <f t="shared" si="561"/>
        <v>0</v>
      </c>
      <c r="CB162" s="1">
        <f t="shared" si="562"/>
        <v>0</v>
      </c>
      <c r="CC162" s="1">
        <f t="shared" si="563"/>
        <v>0</v>
      </c>
      <c r="CD162" s="1">
        <f t="shared" si="564"/>
        <v>0</v>
      </c>
      <c r="CE162" s="1">
        <f t="shared" si="565"/>
        <v>0</v>
      </c>
      <c r="CF162" s="1">
        <f t="shared" si="566"/>
        <v>0</v>
      </c>
    </row>
    <row r="163" spans="3:84" ht="45" outlineLevel="1">
      <c r="C163" s="27" t="s">
        <v>896</v>
      </c>
      <c r="D163" s="55">
        <v>-1</v>
      </c>
      <c r="E163" s="88" t="s">
        <v>828</v>
      </c>
      <c r="F163" s="56">
        <v>1031.6300000000001</v>
      </c>
      <c r="G163" s="57">
        <f t="shared" si="515"/>
        <v>-1031.6300000000001</v>
      </c>
      <c r="H163" s="28"/>
      <c r="I163" s="59" t="str">
        <f t="shared" si="516"/>
        <v/>
      </c>
      <c r="J163" s="60"/>
      <c r="K163" s="59" t="str">
        <f t="shared" si="517"/>
        <v/>
      </c>
      <c r="L163" s="60"/>
      <c r="M163" s="59" t="str">
        <f t="shared" si="518"/>
        <v/>
      </c>
      <c r="N163" s="60"/>
      <c r="O163" s="59" t="str">
        <f t="shared" si="519"/>
        <v/>
      </c>
      <c r="P163" s="60"/>
      <c r="Q163" s="59" t="str">
        <f t="shared" si="520"/>
        <v/>
      </c>
      <c r="R163" s="60"/>
      <c r="S163" s="59" t="str">
        <f t="shared" si="521"/>
        <v/>
      </c>
      <c r="T163" s="60"/>
      <c r="U163" s="59" t="str">
        <f t="shared" si="522"/>
        <v/>
      </c>
      <c r="V163" s="60"/>
      <c r="W163" s="59" t="str">
        <f t="shared" si="523"/>
        <v/>
      </c>
      <c r="X163" s="95"/>
      <c r="Y163" s="59" t="str">
        <f t="shared" si="524"/>
        <v/>
      </c>
      <c r="Z163" s="95"/>
      <c r="AA163" s="59" t="str">
        <f t="shared" si="525"/>
        <v/>
      </c>
      <c r="AB163" s="60"/>
      <c r="AC163" s="59" t="str">
        <f t="shared" si="526"/>
        <v/>
      </c>
      <c r="AD163" s="60"/>
      <c r="AE163" s="59" t="str">
        <f t="shared" si="527"/>
        <v/>
      </c>
      <c r="AF163" s="95"/>
      <c r="AG163" s="59" t="str">
        <f t="shared" ref="AG163" si="1059">+IF(OR($F163="",AF163=""),"",$F163*AF163)</f>
        <v/>
      </c>
      <c r="AH163" s="95"/>
      <c r="AI163" s="59" t="str">
        <f t="shared" si="529"/>
        <v/>
      </c>
      <c r="AJ163" s="60"/>
      <c r="AK163" s="59" t="str">
        <f t="shared" si="529"/>
        <v/>
      </c>
      <c r="AL163" s="60"/>
      <c r="AM163" s="59" t="str">
        <f t="shared" ref="AM163" si="1060">+IF(OR($F163="",AL163=""),"",$F163*AL163)</f>
        <v/>
      </c>
      <c r="AN163" s="60"/>
      <c r="AO163" s="59" t="str">
        <f t="shared" ref="AO163" si="1061">+IF(OR($F163="",AN163=""),"",$F163*AN163)</f>
        <v/>
      </c>
      <c r="AP163" s="60"/>
      <c r="AQ163" s="59" t="str">
        <f t="shared" ref="AQ163" si="1062">+IF(OR($F163="",AP163=""),"",$F163*AP163)</f>
        <v/>
      </c>
      <c r="AR163" s="60"/>
      <c r="AS163" s="59" t="str">
        <f t="shared" ref="AS163" si="1063">+IF(OR($F163="",AR163=""),"",$F163*AR163)</f>
        <v/>
      </c>
      <c r="AT163" s="60"/>
      <c r="AU163" s="59" t="str">
        <f t="shared" ref="AU163" si="1064">+IF(OR($F163="",AT163=""),"",$F163*AT163)</f>
        <v/>
      </c>
      <c r="AV163" s="60"/>
      <c r="AW163" s="59" t="str">
        <f t="shared" ref="AW163" si="1065">+IF(OR($F163="",AV163=""),"",$F163*AV163)</f>
        <v/>
      </c>
      <c r="AX163" s="60"/>
      <c r="AY163" s="59" t="str">
        <f t="shared" ref="AY163" si="1066">+IF(OR($F163="",AX163=""),"",$F163*AX163)</f>
        <v/>
      </c>
      <c r="AZ163" s="60"/>
      <c r="BA163" s="59" t="str">
        <f t="shared" ref="BA163" si="1067">+IF(OR($F163="",AZ163=""),"",$F163*AZ163)</f>
        <v/>
      </c>
      <c r="BB163" s="60"/>
      <c r="BC163" s="59" t="str">
        <f t="shared" ref="BC163" si="1068">+IF(OR($F163="",BB163=""),"",$F163*BB163)</f>
        <v/>
      </c>
      <c r="BD163" s="61">
        <f t="shared" si="539"/>
        <v>0</v>
      </c>
      <c r="BE163" s="59">
        <f t="shared" si="540"/>
        <v>0</v>
      </c>
      <c r="BF163" s="61">
        <f t="shared" si="541"/>
        <v>-1</v>
      </c>
      <c r="BG163" s="59">
        <f t="shared" si="542"/>
        <v>-1031.6300000000001</v>
      </c>
      <c r="BH163" s="196"/>
      <c r="BI163" s="1">
        <f t="shared" si="543"/>
        <v>0</v>
      </c>
      <c r="BJ163" s="1">
        <f t="shared" si="544"/>
        <v>0</v>
      </c>
      <c r="BK163" s="1">
        <f t="shared" si="545"/>
        <v>0</v>
      </c>
      <c r="BL163" s="1">
        <f t="shared" si="546"/>
        <v>0</v>
      </c>
      <c r="BM163" s="1">
        <f t="shared" si="547"/>
        <v>0</v>
      </c>
      <c r="BN163" s="1">
        <f t="shared" si="548"/>
        <v>0</v>
      </c>
      <c r="BO163" s="1">
        <f t="shared" si="549"/>
        <v>0</v>
      </c>
      <c r="BP163" s="1">
        <f t="shared" si="550"/>
        <v>0</v>
      </c>
      <c r="BQ163" s="1">
        <f t="shared" si="551"/>
        <v>0</v>
      </c>
      <c r="BR163" s="1">
        <f t="shared" si="552"/>
        <v>0</v>
      </c>
      <c r="BS163" s="1">
        <f t="shared" si="553"/>
        <v>0</v>
      </c>
      <c r="BT163" s="1">
        <f t="shared" si="554"/>
        <v>0</v>
      </c>
      <c r="BU163" s="1">
        <f t="shared" si="555"/>
        <v>0</v>
      </c>
      <c r="BV163" s="1">
        <f t="shared" si="556"/>
        <v>0</v>
      </c>
      <c r="BW163" s="1">
        <f t="shared" si="557"/>
        <v>0</v>
      </c>
      <c r="BX163" s="1">
        <f t="shared" si="558"/>
        <v>0</v>
      </c>
      <c r="BY163" s="1">
        <f t="shared" si="559"/>
        <v>0</v>
      </c>
      <c r="BZ163" s="1">
        <f t="shared" si="560"/>
        <v>0</v>
      </c>
      <c r="CA163" s="1">
        <f t="shared" si="561"/>
        <v>0</v>
      </c>
      <c r="CB163" s="1">
        <f t="shared" si="562"/>
        <v>0</v>
      </c>
      <c r="CC163" s="1">
        <f t="shared" si="563"/>
        <v>0</v>
      </c>
      <c r="CD163" s="1">
        <f t="shared" si="564"/>
        <v>0</v>
      </c>
      <c r="CE163" s="1">
        <f t="shared" si="565"/>
        <v>0</v>
      </c>
      <c r="CF163" s="1">
        <f t="shared" si="566"/>
        <v>0</v>
      </c>
    </row>
    <row r="164" spans="3:84" ht="33.75" outlineLevel="1">
      <c r="C164" s="27" t="s">
        <v>897</v>
      </c>
      <c r="D164" s="55">
        <v>-2</v>
      </c>
      <c r="E164" s="88" t="s">
        <v>828</v>
      </c>
      <c r="F164" s="56">
        <v>470.75</v>
      </c>
      <c r="G164" s="57">
        <f t="shared" si="515"/>
        <v>-941.5</v>
      </c>
      <c r="H164" s="28"/>
      <c r="I164" s="59" t="str">
        <f t="shared" si="516"/>
        <v/>
      </c>
      <c r="J164" s="60"/>
      <c r="K164" s="59" t="str">
        <f t="shared" si="517"/>
        <v/>
      </c>
      <c r="L164" s="60"/>
      <c r="M164" s="59" t="str">
        <f t="shared" si="518"/>
        <v/>
      </c>
      <c r="N164" s="60"/>
      <c r="O164" s="59" t="str">
        <f t="shared" si="519"/>
        <v/>
      </c>
      <c r="P164" s="60"/>
      <c r="Q164" s="59" t="str">
        <f t="shared" si="520"/>
        <v/>
      </c>
      <c r="R164" s="60"/>
      <c r="S164" s="59" t="str">
        <f t="shared" si="521"/>
        <v/>
      </c>
      <c r="T164" s="60"/>
      <c r="U164" s="59" t="str">
        <f t="shared" si="522"/>
        <v/>
      </c>
      <c r="V164" s="60"/>
      <c r="W164" s="59" t="str">
        <f t="shared" si="523"/>
        <v/>
      </c>
      <c r="X164" s="95"/>
      <c r="Y164" s="59" t="str">
        <f t="shared" si="524"/>
        <v/>
      </c>
      <c r="Z164" s="95"/>
      <c r="AA164" s="59" t="str">
        <f t="shared" si="525"/>
        <v/>
      </c>
      <c r="AB164" s="60"/>
      <c r="AC164" s="59" t="str">
        <f t="shared" si="526"/>
        <v/>
      </c>
      <c r="AD164" s="60"/>
      <c r="AE164" s="59" t="str">
        <f t="shared" si="527"/>
        <v/>
      </c>
      <c r="AF164" s="95"/>
      <c r="AG164" s="59" t="str">
        <f t="shared" ref="AG164" si="1069">+IF(OR($F164="",AF164=""),"",$F164*AF164)</f>
        <v/>
      </c>
      <c r="AH164" s="95"/>
      <c r="AI164" s="59" t="str">
        <f t="shared" si="529"/>
        <v/>
      </c>
      <c r="AJ164" s="60"/>
      <c r="AK164" s="59" t="str">
        <f t="shared" si="529"/>
        <v/>
      </c>
      <c r="AL164" s="60"/>
      <c r="AM164" s="59" t="str">
        <f t="shared" ref="AM164" si="1070">+IF(OR($F164="",AL164=""),"",$F164*AL164)</f>
        <v/>
      </c>
      <c r="AN164" s="60"/>
      <c r="AO164" s="59" t="str">
        <f t="shared" ref="AO164" si="1071">+IF(OR($F164="",AN164=""),"",$F164*AN164)</f>
        <v/>
      </c>
      <c r="AP164" s="60"/>
      <c r="AQ164" s="59" t="str">
        <f t="shared" ref="AQ164" si="1072">+IF(OR($F164="",AP164=""),"",$F164*AP164)</f>
        <v/>
      </c>
      <c r="AR164" s="60"/>
      <c r="AS164" s="59" t="str">
        <f t="shared" ref="AS164" si="1073">+IF(OR($F164="",AR164=""),"",$F164*AR164)</f>
        <v/>
      </c>
      <c r="AT164" s="60"/>
      <c r="AU164" s="59" t="str">
        <f t="shared" ref="AU164" si="1074">+IF(OR($F164="",AT164=""),"",$F164*AT164)</f>
        <v/>
      </c>
      <c r="AV164" s="60"/>
      <c r="AW164" s="59" t="str">
        <f t="shared" ref="AW164" si="1075">+IF(OR($F164="",AV164=""),"",$F164*AV164)</f>
        <v/>
      </c>
      <c r="AX164" s="60"/>
      <c r="AY164" s="59" t="str">
        <f t="shared" ref="AY164" si="1076">+IF(OR($F164="",AX164=""),"",$F164*AX164)</f>
        <v/>
      </c>
      <c r="AZ164" s="60"/>
      <c r="BA164" s="59" t="str">
        <f t="shared" ref="BA164" si="1077">+IF(OR($F164="",AZ164=""),"",$F164*AZ164)</f>
        <v/>
      </c>
      <c r="BB164" s="60"/>
      <c r="BC164" s="59" t="str">
        <f t="shared" ref="BC164" si="1078">+IF(OR($F164="",BB164=""),"",$F164*BB164)</f>
        <v/>
      </c>
      <c r="BD164" s="61">
        <f t="shared" si="539"/>
        <v>0</v>
      </c>
      <c r="BE164" s="59">
        <f t="shared" si="540"/>
        <v>0</v>
      </c>
      <c r="BF164" s="61">
        <f t="shared" si="541"/>
        <v>-2</v>
      </c>
      <c r="BG164" s="59">
        <f t="shared" si="542"/>
        <v>-941.5</v>
      </c>
      <c r="BH164" s="196"/>
      <c r="BI164" s="1">
        <f t="shared" si="543"/>
        <v>0</v>
      </c>
      <c r="BJ164" s="1">
        <f t="shared" si="544"/>
        <v>0</v>
      </c>
      <c r="BK164" s="1">
        <f t="shared" si="545"/>
        <v>0</v>
      </c>
      <c r="BL164" s="1">
        <f t="shared" si="546"/>
        <v>0</v>
      </c>
      <c r="BM164" s="1">
        <f t="shared" si="547"/>
        <v>0</v>
      </c>
      <c r="BN164" s="1">
        <f t="shared" si="548"/>
        <v>0</v>
      </c>
      <c r="BO164" s="1">
        <f t="shared" si="549"/>
        <v>0</v>
      </c>
      <c r="BP164" s="1">
        <f t="shared" si="550"/>
        <v>0</v>
      </c>
      <c r="BQ164" s="1">
        <f t="shared" si="551"/>
        <v>0</v>
      </c>
      <c r="BR164" s="1">
        <f t="shared" si="552"/>
        <v>0</v>
      </c>
      <c r="BS164" s="1">
        <f t="shared" si="553"/>
        <v>0</v>
      </c>
      <c r="BT164" s="1">
        <f t="shared" si="554"/>
        <v>0</v>
      </c>
      <c r="BU164" s="1">
        <f t="shared" si="555"/>
        <v>0</v>
      </c>
      <c r="BV164" s="1">
        <f t="shared" si="556"/>
        <v>0</v>
      </c>
      <c r="BW164" s="1">
        <f t="shared" si="557"/>
        <v>0</v>
      </c>
      <c r="BX164" s="1">
        <f t="shared" si="558"/>
        <v>0</v>
      </c>
      <c r="BY164" s="1">
        <f t="shared" si="559"/>
        <v>0</v>
      </c>
      <c r="BZ164" s="1">
        <f t="shared" si="560"/>
        <v>0</v>
      </c>
      <c r="CA164" s="1">
        <f t="shared" si="561"/>
        <v>0</v>
      </c>
      <c r="CB164" s="1">
        <f t="shared" si="562"/>
        <v>0</v>
      </c>
      <c r="CC164" s="1">
        <f t="shared" si="563"/>
        <v>0</v>
      </c>
      <c r="CD164" s="1">
        <f t="shared" si="564"/>
        <v>0</v>
      </c>
      <c r="CE164" s="1">
        <f t="shared" si="565"/>
        <v>0</v>
      </c>
      <c r="CF164" s="1">
        <f t="shared" si="566"/>
        <v>0</v>
      </c>
    </row>
    <row r="165" spans="3:84" ht="22.5" outlineLevel="1">
      <c r="C165" s="27" t="s">
        <v>898</v>
      </c>
      <c r="D165" s="55">
        <v>-2</v>
      </c>
      <c r="E165" s="88" t="s">
        <v>828</v>
      </c>
      <c r="F165" s="56">
        <v>263.37</v>
      </c>
      <c r="G165" s="57">
        <f t="shared" si="515"/>
        <v>-526.74</v>
      </c>
      <c r="H165" s="28"/>
      <c r="I165" s="59" t="str">
        <f t="shared" si="516"/>
        <v/>
      </c>
      <c r="J165" s="60"/>
      <c r="K165" s="59" t="str">
        <f t="shared" si="517"/>
        <v/>
      </c>
      <c r="L165" s="60"/>
      <c r="M165" s="59" t="str">
        <f t="shared" si="518"/>
        <v/>
      </c>
      <c r="N165" s="60"/>
      <c r="O165" s="59" t="str">
        <f t="shared" si="519"/>
        <v/>
      </c>
      <c r="P165" s="60"/>
      <c r="Q165" s="59" t="str">
        <f t="shared" si="520"/>
        <v/>
      </c>
      <c r="R165" s="60"/>
      <c r="S165" s="59" t="str">
        <f t="shared" si="521"/>
        <v/>
      </c>
      <c r="T165" s="60"/>
      <c r="U165" s="59" t="str">
        <f t="shared" si="522"/>
        <v/>
      </c>
      <c r="V165" s="60"/>
      <c r="W165" s="59" t="str">
        <f t="shared" si="523"/>
        <v/>
      </c>
      <c r="X165" s="95"/>
      <c r="Y165" s="59" t="str">
        <f t="shared" si="524"/>
        <v/>
      </c>
      <c r="Z165" s="95"/>
      <c r="AA165" s="59" t="str">
        <f t="shared" si="525"/>
        <v/>
      </c>
      <c r="AB165" s="60"/>
      <c r="AC165" s="59" t="str">
        <f t="shared" si="526"/>
        <v/>
      </c>
      <c r="AD165" s="60"/>
      <c r="AE165" s="59" t="str">
        <f t="shared" si="527"/>
        <v/>
      </c>
      <c r="AF165" s="95"/>
      <c r="AG165" s="59" t="str">
        <f t="shared" ref="AG165" si="1079">+IF(OR($F165="",AF165=""),"",$F165*AF165)</f>
        <v/>
      </c>
      <c r="AH165" s="95"/>
      <c r="AI165" s="59" t="str">
        <f t="shared" si="529"/>
        <v/>
      </c>
      <c r="AJ165" s="60"/>
      <c r="AK165" s="59" t="str">
        <f t="shared" si="529"/>
        <v/>
      </c>
      <c r="AL165" s="60"/>
      <c r="AM165" s="59" t="str">
        <f t="shared" ref="AM165" si="1080">+IF(OR($F165="",AL165=""),"",$F165*AL165)</f>
        <v/>
      </c>
      <c r="AN165" s="60"/>
      <c r="AO165" s="59" t="str">
        <f t="shared" ref="AO165" si="1081">+IF(OR($F165="",AN165=""),"",$F165*AN165)</f>
        <v/>
      </c>
      <c r="AP165" s="60"/>
      <c r="AQ165" s="59" t="str">
        <f t="shared" ref="AQ165" si="1082">+IF(OR($F165="",AP165=""),"",$F165*AP165)</f>
        <v/>
      </c>
      <c r="AR165" s="60"/>
      <c r="AS165" s="59" t="str">
        <f t="shared" ref="AS165" si="1083">+IF(OR($F165="",AR165=""),"",$F165*AR165)</f>
        <v/>
      </c>
      <c r="AT165" s="60"/>
      <c r="AU165" s="59" t="str">
        <f t="shared" ref="AU165" si="1084">+IF(OR($F165="",AT165=""),"",$F165*AT165)</f>
        <v/>
      </c>
      <c r="AV165" s="60"/>
      <c r="AW165" s="59" t="str">
        <f t="shared" ref="AW165" si="1085">+IF(OR($F165="",AV165=""),"",$F165*AV165)</f>
        <v/>
      </c>
      <c r="AX165" s="60"/>
      <c r="AY165" s="59" t="str">
        <f t="shared" ref="AY165" si="1086">+IF(OR($F165="",AX165=""),"",$F165*AX165)</f>
        <v/>
      </c>
      <c r="AZ165" s="60"/>
      <c r="BA165" s="59" t="str">
        <f t="shared" ref="BA165" si="1087">+IF(OR($F165="",AZ165=""),"",$F165*AZ165)</f>
        <v/>
      </c>
      <c r="BB165" s="60"/>
      <c r="BC165" s="59" t="str">
        <f t="shared" ref="BC165" si="1088">+IF(OR($F165="",BB165=""),"",$F165*BB165)</f>
        <v/>
      </c>
      <c r="BD165" s="61">
        <f t="shared" si="539"/>
        <v>0</v>
      </c>
      <c r="BE165" s="59">
        <f t="shared" si="540"/>
        <v>0</v>
      </c>
      <c r="BF165" s="61">
        <f t="shared" si="541"/>
        <v>-2</v>
      </c>
      <c r="BG165" s="59">
        <f t="shared" si="542"/>
        <v>-526.74</v>
      </c>
      <c r="BH165" s="196"/>
      <c r="BI165" s="1">
        <f t="shared" si="543"/>
        <v>0</v>
      </c>
      <c r="BJ165" s="1">
        <f t="shared" si="544"/>
        <v>0</v>
      </c>
      <c r="BK165" s="1">
        <f t="shared" si="545"/>
        <v>0</v>
      </c>
      <c r="BL165" s="1">
        <f t="shared" si="546"/>
        <v>0</v>
      </c>
      <c r="BM165" s="1">
        <f t="shared" si="547"/>
        <v>0</v>
      </c>
      <c r="BN165" s="1">
        <f t="shared" si="548"/>
        <v>0</v>
      </c>
      <c r="BO165" s="1">
        <f t="shared" si="549"/>
        <v>0</v>
      </c>
      <c r="BP165" s="1">
        <f t="shared" si="550"/>
        <v>0</v>
      </c>
      <c r="BQ165" s="1">
        <f t="shared" si="551"/>
        <v>0</v>
      </c>
      <c r="BR165" s="1">
        <f t="shared" si="552"/>
        <v>0</v>
      </c>
      <c r="BS165" s="1">
        <f t="shared" si="553"/>
        <v>0</v>
      </c>
      <c r="BT165" s="1">
        <f t="shared" si="554"/>
        <v>0</v>
      </c>
      <c r="BU165" s="1">
        <f t="shared" si="555"/>
        <v>0</v>
      </c>
      <c r="BV165" s="1">
        <f t="shared" si="556"/>
        <v>0</v>
      </c>
      <c r="BW165" s="1">
        <f t="shared" si="557"/>
        <v>0</v>
      </c>
      <c r="BX165" s="1">
        <f t="shared" si="558"/>
        <v>0</v>
      </c>
      <c r="BY165" s="1">
        <f t="shared" si="559"/>
        <v>0</v>
      </c>
      <c r="BZ165" s="1">
        <f t="shared" si="560"/>
        <v>0</v>
      </c>
      <c r="CA165" s="1">
        <f t="shared" si="561"/>
        <v>0</v>
      </c>
      <c r="CB165" s="1">
        <f t="shared" si="562"/>
        <v>0</v>
      </c>
      <c r="CC165" s="1">
        <f t="shared" si="563"/>
        <v>0</v>
      </c>
      <c r="CD165" s="1">
        <f t="shared" si="564"/>
        <v>0</v>
      </c>
      <c r="CE165" s="1">
        <f t="shared" si="565"/>
        <v>0</v>
      </c>
      <c r="CF165" s="1">
        <f t="shared" si="566"/>
        <v>0</v>
      </c>
    </row>
    <row r="166" spans="3:84" ht="22.5" outlineLevel="1">
      <c r="C166" s="27" t="s">
        <v>899</v>
      </c>
      <c r="D166" s="55">
        <v>-2</v>
      </c>
      <c r="E166" s="88" t="s">
        <v>828</v>
      </c>
      <c r="F166" s="56">
        <v>275.76</v>
      </c>
      <c r="G166" s="57">
        <f t="shared" si="515"/>
        <v>-551.52</v>
      </c>
      <c r="H166" s="28"/>
      <c r="I166" s="59" t="str">
        <f t="shared" si="516"/>
        <v/>
      </c>
      <c r="J166" s="60"/>
      <c r="K166" s="59" t="str">
        <f t="shared" si="517"/>
        <v/>
      </c>
      <c r="L166" s="60"/>
      <c r="M166" s="59" t="str">
        <f t="shared" si="518"/>
        <v/>
      </c>
      <c r="N166" s="60"/>
      <c r="O166" s="59" t="str">
        <f t="shared" si="519"/>
        <v/>
      </c>
      <c r="P166" s="60"/>
      <c r="Q166" s="59" t="str">
        <f t="shared" si="520"/>
        <v/>
      </c>
      <c r="R166" s="60"/>
      <c r="S166" s="59" t="str">
        <f t="shared" si="521"/>
        <v/>
      </c>
      <c r="T166" s="60"/>
      <c r="U166" s="59" t="str">
        <f t="shared" si="522"/>
        <v/>
      </c>
      <c r="V166" s="60"/>
      <c r="W166" s="59" t="str">
        <f t="shared" si="523"/>
        <v/>
      </c>
      <c r="X166" s="95"/>
      <c r="Y166" s="59" t="str">
        <f t="shared" si="524"/>
        <v/>
      </c>
      <c r="Z166" s="95"/>
      <c r="AA166" s="59" t="str">
        <f t="shared" si="525"/>
        <v/>
      </c>
      <c r="AB166" s="60"/>
      <c r="AC166" s="59" t="str">
        <f t="shared" si="526"/>
        <v/>
      </c>
      <c r="AD166" s="60"/>
      <c r="AE166" s="59" t="str">
        <f t="shared" si="527"/>
        <v/>
      </c>
      <c r="AF166" s="95"/>
      <c r="AG166" s="59" t="str">
        <f t="shared" ref="AG166" si="1089">+IF(OR($F166="",AF166=""),"",$F166*AF166)</f>
        <v/>
      </c>
      <c r="AH166" s="95"/>
      <c r="AI166" s="59" t="str">
        <f t="shared" si="529"/>
        <v/>
      </c>
      <c r="AJ166" s="60"/>
      <c r="AK166" s="59" t="str">
        <f t="shared" si="529"/>
        <v/>
      </c>
      <c r="AL166" s="60"/>
      <c r="AM166" s="59" t="str">
        <f t="shared" ref="AM166" si="1090">+IF(OR($F166="",AL166=""),"",$F166*AL166)</f>
        <v/>
      </c>
      <c r="AN166" s="60"/>
      <c r="AO166" s="59" t="str">
        <f t="shared" ref="AO166" si="1091">+IF(OR($F166="",AN166=""),"",$F166*AN166)</f>
        <v/>
      </c>
      <c r="AP166" s="60"/>
      <c r="AQ166" s="59" t="str">
        <f t="shared" ref="AQ166" si="1092">+IF(OR($F166="",AP166=""),"",$F166*AP166)</f>
        <v/>
      </c>
      <c r="AR166" s="60"/>
      <c r="AS166" s="59" t="str">
        <f t="shared" ref="AS166" si="1093">+IF(OR($F166="",AR166=""),"",$F166*AR166)</f>
        <v/>
      </c>
      <c r="AT166" s="60"/>
      <c r="AU166" s="59" t="str">
        <f t="shared" ref="AU166" si="1094">+IF(OR($F166="",AT166=""),"",$F166*AT166)</f>
        <v/>
      </c>
      <c r="AV166" s="60"/>
      <c r="AW166" s="59" t="str">
        <f t="shared" ref="AW166" si="1095">+IF(OR($F166="",AV166=""),"",$F166*AV166)</f>
        <v/>
      </c>
      <c r="AX166" s="60"/>
      <c r="AY166" s="59" t="str">
        <f t="shared" ref="AY166" si="1096">+IF(OR($F166="",AX166=""),"",$F166*AX166)</f>
        <v/>
      </c>
      <c r="AZ166" s="60"/>
      <c r="BA166" s="59" t="str">
        <f t="shared" ref="BA166" si="1097">+IF(OR($F166="",AZ166=""),"",$F166*AZ166)</f>
        <v/>
      </c>
      <c r="BB166" s="60"/>
      <c r="BC166" s="59" t="str">
        <f t="shared" ref="BC166" si="1098">+IF(OR($F166="",BB166=""),"",$F166*BB166)</f>
        <v/>
      </c>
      <c r="BD166" s="61">
        <f t="shared" si="539"/>
        <v>0</v>
      </c>
      <c r="BE166" s="59">
        <f t="shared" si="540"/>
        <v>0</v>
      </c>
      <c r="BF166" s="61">
        <f t="shared" si="541"/>
        <v>-2</v>
      </c>
      <c r="BG166" s="59">
        <f t="shared" si="542"/>
        <v>-551.52</v>
      </c>
      <c r="BH166" s="196"/>
      <c r="BI166" s="1">
        <f t="shared" si="543"/>
        <v>0</v>
      </c>
      <c r="BJ166" s="1">
        <f t="shared" si="544"/>
        <v>0</v>
      </c>
      <c r="BK166" s="1">
        <f t="shared" si="545"/>
        <v>0</v>
      </c>
      <c r="BL166" s="1">
        <f t="shared" si="546"/>
        <v>0</v>
      </c>
      <c r="BM166" s="1">
        <f t="shared" si="547"/>
        <v>0</v>
      </c>
      <c r="BN166" s="1">
        <f t="shared" si="548"/>
        <v>0</v>
      </c>
      <c r="BO166" s="1">
        <f t="shared" si="549"/>
        <v>0</v>
      </c>
      <c r="BP166" s="1">
        <f t="shared" si="550"/>
        <v>0</v>
      </c>
      <c r="BQ166" s="1">
        <f t="shared" si="551"/>
        <v>0</v>
      </c>
      <c r="BR166" s="1">
        <f t="shared" si="552"/>
        <v>0</v>
      </c>
      <c r="BS166" s="1">
        <f t="shared" si="553"/>
        <v>0</v>
      </c>
      <c r="BT166" s="1">
        <f t="shared" si="554"/>
        <v>0</v>
      </c>
      <c r="BU166" s="1">
        <f t="shared" si="555"/>
        <v>0</v>
      </c>
      <c r="BV166" s="1">
        <f t="shared" si="556"/>
        <v>0</v>
      </c>
      <c r="BW166" s="1">
        <f t="shared" si="557"/>
        <v>0</v>
      </c>
      <c r="BX166" s="1">
        <f t="shared" si="558"/>
        <v>0</v>
      </c>
      <c r="BY166" s="1">
        <f t="shared" si="559"/>
        <v>0</v>
      </c>
      <c r="BZ166" s="1">
        <f t="shared" si="560"/>
        <v>0</v>
      </c>
      <c r="CA166" s="1">
        <f t="shared" si="561"/>
        <v>0</v>
      </c>
      <c r="CB166" s="1">
        <f t="shared" si="562"/>
        <v>0</v>
      </c>
      <c r="CC166" s="1">
        <f t="shared" si="563"/>
        <v>0</v>
      </c>
      <c r="CD166" s="1">
        <f t="shared" si="564"/>
        <v>0</v>
      </c>
      <c r="CE166" s="1">
        <f t="shared" si="565"/>
        <v>0</v>
      </c>
      <c r="CF166" s="1">
        <f t="shared" si="566"/>
        <v>0</v>
      </c>
    </row>
    <row r="167" spans="3:84" ht="22.5" outlineLevel="1">
      <c r="C167" s="27" t="s">
        <v>879</v>
      </c>
      <c r="D167" s="55">
        <v>1</v>
      </c>
      <c r="E167" s="88" t="s">
        <v>828</v>
      </c>
      <c r="F167" s="56">
        <v>983.68</v>
      </c>
      <c r="G167" s="57">
        <f t="shared" si="515"/>
        <v>983.68</v>
      </c>
      <c r="H167" s="28"/>
      <c r="I167" s="59" t="str">
        <f t="shared" si="516"/>
        <v/>
      </c>
      <c r="J167" s="60"/>
      <c r="K167" s="59" t="str">
        <f t="shared" si="517"/>
        <v/>
      </c>
      <c r="L167" s="60"/>
      <c r="M167" s="59" t="str">
        <f t="shared" si="518"/>
        <v/>
      </c>
      <c r="N167" s="60"/>
      <c r="O167" s="59" t="str">
        <f t="shared" si="519"/>
        <v/>
      </c>
      <c r="P167" s="60"/>
      <c r="Q167" s="59" t="str">
        <f t="shared" si="520"/>
        <v/>
      </c>
      <c r="R167" s="60"/>
      <c r="S167" s="59" t="str">
        <f t="shared" si="521"/>
        <v/>
      </c>
      <c r="T167" s="60"/>
      <c r="U167" s="59" t="str">
        <f t="shared" si="522"/>
        <v/>
      </c>
      <c r="V167" s="60"/>
      <c r="W167" s="59" t="str">
        <f t="shared" si="523"/>
        <v/>
      </c>
      <c r="X167" s="95"/>
      <c r="Y167" s="59" t="str">
        <f t="shared" si="524"/>
        <v/>
      </c>
      <c r="Z167" s="95"/>
      <c r="AA167" s="59" t="str">
        <f t="shared" si="525"/>
        <v/>
      </c>
      <c r="AB167" s="60"/>
      <c r="AC167" s="59" t="str">
        <f t="shared" si="526"/>
        <v/>
      </c>
      <c r="AD167" s="60"/>
      <c r="AE167" s="59" t="str">
        <f t="shared" si="527"/>
        <v/>
      </c>
      <c r="AF167" s="95"/>
      <c r="AG167" s="59" t="str">
        <f t="shared" ref="AG167" si="1099">+IF(OR($F167="",AF167=""),"",$F167*AF167)</f>
        <v/>
      </c>
      <c r="AH167" s="95"/>
      <c r="AI167" s="59" t="str">
        <f t="shared" si="529"/>
        <v/>
      </c>
      <c r="AJ167" s="60"/>
      <c r="AK167" s="59" t="str">
        <f t="shared" si="529"/>
        <v/>
      </c>
      <c r="AL167" s="60"/>
      <c r="AM167" s="59" t="str">
        <f t="shared" ref="AM167" si="1100">+IF(OR($F167="",AL167=""),"",$F167*AL167)</f>
        <v/>
      </c>
      <c r="AN167" s="60"/>
      <c r="AO167" s="59" t="str">
        <f t="shared" ref="AO167" si="1101">+IF(OR($F167="",AN167=""),"",$F167*AN167)</f>
        <v/>
      </c>
      <c r="AP167" s="60"/>
      <c r="AQ167" s="59" t="str">
        <f t="shared" ref="AQ167" si="1102">+IF(OR($F167="",AP167=""),"",$F167*AP167)</f>
        <v/>
      </c>
      <c r="AR167" s="60"/>
      <c r="AS167" s="59" t="str">
        <f t="shared" ref="AS167" si="1103">+IF(OR($F167="",AR167=""),"",$F167*AR167)</f>
        <v/>
      </c>
      <c r="AT167" s="60"/>
      <c r="AU167" s="59" t="str">
        <f t="shared" ref="AU167" si="1104">+IF(OR($F167="",AT167=""),"",$F167*AT167)</f>
        <v/>
      </c>
      <c r="AV167" s="60"/>
      <c r="AW167" s="59" t="str">
        <f t="shared" ref="AW167" si="1105">+IF(OR($F167="",AV167=""),"",$F167*AV167)</f>
        <v/>
      </c>
      <c r="AX167" s="60"/>
      <c r="AY167" s="59" t="str">
        <f t="shared" ref="AY167" si="1106">+IF(OR($F167="",AX167=""),"",$F167*AX167)</f>
        <v/>
      </c>
      <c r="AZ167" s="60"/>
      <c r="BA167" s="59" t="str">
        <f t="shared" ref="BA167" si="1107">+IF(OR($F167="",AZ167=""),"",$F167*AZ167)</f>
        <v/>
      </c>
      <c r="BB167" s="60"/>
      <c r="BC167" s="59" t="str">
        <f t="shared" ref="BC167" si="1108">+IF(OR($F167="",BB167=""),"",$F167*BB167)</f>
        <v/>
      </c>
      <c r="BD167" s="61">
        <f t="shared" si="539"/>
        <v>0</v>
      </c>
      <c r="BE167" s="59">
        <f t="shared" si="540"/>
        <v>0</v>
      </c>
      <c r="BF167" s="61">
        <f t="shared" si="541"/>
        <v>1</v>
      </c>
      <c r="BG167" s="59">
        <f t="shared" si="542"/>
        <v>983.68</v>
      </c>
      <c r="BH167" s="196"/>
      <c r="BI167" s="1">
        <f t="shared" si="543"/>
        <v>0</v>
      </c>
      <c r="BJ167" s="1">
        <f t="shared" si="544"/>
        <v>0</v>
      </c>
      <c r="BK167" s="1">
        <f t="shared" si="545"/>
        <v>0</v>
      </c>
      <c r="BL167" s="1">
        <f t="shared" si="546"/>
        <v>0</v>
      </c>
      <c r="BM167" s="1">
        <f t="shared" si="547"/>
        <v>0</v>
      </c>
      <c r="BN167" s="1">
        <f t="shared" si="548"/>
        <v>0</v>
      </c>
      <c r="BO167" s="1">
        <f t="shared" si="549"/>
        <v>0</v>
      </c>
      <c r="BP167" s="1">
        <f t="shared" si="550"/>
        <v>0</v>
      </c>
      <c r="BQ167" s="1">
        <f t="shared" si="551"/>
        <v>0</v>
      </c>
      <c r="BR167" s="1">
        <f t="shared" si="552"/>
        <v>0</v>
      </c>
      <c r="BS167" s="1">
        <f t="shared" si="553"/>
        <v>0</v>
      </c>
      <c r="BT167" s="1">
        <f t="shared" si="554"/>
        <v>0</v>
      </c>
      <c r="BU167" s="1">
        <f t="shared" si="555"/>
        <v>0</v>
      </c>
      <c r="BV167" s="1">
        <f t="shared" si="556"/>
        <v>0</v>
      </c>
      <c r="BW167" s="1">
        <f t="shared" si="557"/>
        <v>0</v>
      </c>
      <c r="BX167" s="1">
        <f t="shared" si="558"/>
        <v>0</v>
      </c>
      <c r="BY167" s="1">
        <f t="shared" si="559"/>
        <v>0</v>
      </c>
      <c r="BZ167" s="1">
        <f t="shared" si="560"/>
        <v>0</v>
      </c>
      <c r="CA167" s="1">
        <f t="shared" si="561"/>
        <v>0</v>
      </c>
      <c r="CB167" s="1">
        <f t="shared" si="562"/>
        <v>0</v>
      </c>
      <c r="CC167" s="1">
        <f t="shared" si="563"/>
        <v>0</v>
      </c>
      <c r="CD167" s="1">
        <f t="shared" si="564"/>
        <v>0</v>
      </c>
      <c r="CE167" s="1">
        <f t="shared" si="565"/>
        <v>0</v>
      </c>
      <c r="CF167" s="1">
        <f t="shared" si="566"/>
        <v>0</v>
      </c>
    </row>
    <row r="168" spans="3:84" ht="33.75" outlineLevel="1">
      <c r="C168" s="27" t="s">
        <v>880</v>
      </c>
      <c r="D168" s="55">
        <v>4</v>
      </c>
      <c r="E168" s="88" t="s">
        <v>828</v>
      </c>
      <c r="F168" s="56">
        <v>956.48</v>
      </c>
      <c r="G168" s="57">
        <f t="shared" si="515"/>
        <v>3825.92</v>
      </c>
      <c r="H168" s="28"/>
      <c r="I168" s="59" t="str">
        <f t="shared" si="516"/>
        <v/>
      </c>
      <c r="J168" s="60"/>
      <c r="K168" s="59" t="str">
        <f t="shared" si="517"/>
        <v/>
      </c>
      <c r="L168" s="60"/>
      <c r="M168" s="59" t="str">
        <f t="shared" si="518"/>
        <v/>
      </c>
      <c r="N168" s="60"/>
      <c r="O168" s="59" t="str">
        <f t="shared" si="519"/>
        <v/>
      </c>
      <c r="P168" s="60"/>
      <c r="Q168" s="59" t="str">
        <f t="shared" si="520"/>
        <v/>
      </c>
      <c r="R168" s="60"/>
      <c r="S168" s="59" t="str">
        <f t="shared" si="521"/>
        <v/>
      </c>
      <c r="T168" s="60"/>
      <c r="U168" s="59" t="str">
        <f t="shared" si="522"/>
        <v/>
      </c>
      <c r="V168" s="60"/>
      <c r="W168" s="59" t="str">
        <f t="shared" si="523"/>
        <v/>
      </c>
      <c r="X168" s="95"/>
      <c r="Y168" s="59" t="str">
        <f t="shared" si="524"/>
        <v/>
      </c>
      <c r="Z168" s="95"/>
      <c r="AA168" s="59" t="str">
        <f t="shared" si="525"/>
        <v/>
      </c>
      <c r="AB168" s="60"/>
      <c r="AC168" s="59" t="str">
        <f t="shared" si="526"/>
        <v/>
      </c>
      <c r="AD168" s="60"/>
      <c r="AE168" s="59" t="str">
        <f t="shared" si="527"/>
        <v/>
      </c>
      <c r="AF168" s="95"/>
      <c r="AG168" s="59" t="str">
        <f t="shared" ref="AG168" si="1109">+IF(OR($F168="",AF168=""),"",$F168*AF168)</f>
        <v/>
      </c>
      <c r="AH168" s="95"/>
      <c r="AI168" s="59" t="str">
        <f t="shared" si="529"/>
        <v/>
      </c>
      <c r="AJ168" s="60"/>
      <c r="AK168" s="59" t="str">
        <f t="shared" si="529"/>
        <v/>
      </c>
      <c r="AL168" s="60"/>
      <c r="AM168" s="59" t="str">
        <f t="shared" ref="AM168" si="1110">+IF(OR($F168="",AL168=""),"",$F168*AL168)</f>
        <v/>
      </c>
      <c r="AN168" s="60"/>
      <c r="AO168" s="59" t="str">
        <f t="shared" ref="AO168" si="1111">+IF(OR($F168="",AN168=""),"",$F168*AN168)</f>
        <v/>
      </c>
      <c r="AP168" s="60"/>
      <c r="AQ168" s="59" t="str">
        <f t="shared" ref="AQ168" si="1112">+IF(OR($F168="",AP168=""),"",$F168*AP168)</f>
        <v/>
      </c>
      <c r="AR168" s="60"/>
      <c r="AS168" s="59" t="str">
        <f t="shared" ref="AS168" si="1113">+IF(OR($F168="",AR168=""),"",$F168*AR168)</f>
        <v/>
      </c>
      <c r="AT168" s="60"/>
      <c r="AU168" s="59" t="str">
        <f t="shared" ref="AU168" si="1114">+IF(OR($F168="",AT168=""),"",$F168*AT168)</f>
        <v/>
      </c>
      <c r="AV168" s="60"/>
      <c r="AW168" s="59" t="str">
        <f t="shared" ref="AW168" si="1115">+IF(OR($F168="",AV168=""),"",$F168*AV168)</f>
        <v/>
      </c>
      <c r="AX168" s="60"/>
      <c r="AY168" s="59" t="str">
        <f t="shared" ref="AY168" si="1116">+IF(OR($F168="",AX168=""),"",$F168*AX168)</f>
        <v/>
      </c>
      <c r="AZ168" s="60"/>
      <c r="BA168" s="59" t="str">
        <f t="shared" ref="BA168" si="1117">+IF(OR($F168="",AZ168=""),"",$F168*AZ168)</f>
        <v/>
      </c>
      <c r="BB168" s="60"/>
      <c r="BC168" s="59" t="str">
        <f t="shared" ref="BC168" si="1118">+IF(OR($F168="",BB168=""),"",$F168*BB168)</f>
        <v/>
      </c>
      <c r="BD168" s="61">
        <f t="shared" si="539"/>
        <v>0</v>
      </c>
      <c r="BE168" s="59">
        <f t="shared" si="540"/>
        <v>0</v>
      </c>
      <c r="BF168" s="61">
        <f t="shared" si="541"/>
        <v>4</v>
      </c>
      <c r="BG168" s="59">
        <f t="shared" si="542"/>
        <v>3825.92</v>
      </c>
      <c r="BH168" s="196"/>
      <c r="BI168" s="1">
        <f t="shared" si="543"/>
        <v>0</v>
      </c>
      <c r="BJ168" s="1">
        <f t="shared" si="544"/>
        <v>0</v>
      </c>
      <c r="BK168" s="1">
        <f t="shared" si="545"/>
        <v>0</v>
      </c>
      <c r="BL168" s="1">
        <f t="shared" si="546"/>
        <v>0</v>
      </c>
      <c r="BM168" s="1">
        <f t="shared" si="547"/>
        <v>0</v>
      </c>
      <c r="BN168" s="1">
        <f t="shared" si="548"/>
        <v>0</v>
      </c>
      <c r="BO168" s="1">
        <f t="shared" si="549"/>
        <v>0</v>
      </c>
      <c r="BP168" s="1">
        <f t="shared" si="550"/>
        <v>0</v>
      </c>
      <c r="BQ168" s="1">
        <f t="shared" si="551"/>
        <v>0</v>
      </c>
      <c r="BR168" s="1">
        <f t="shared" si="552"/>
        <v>0</v>
      </c>
      <c r="BS168" s="1">
        <f t="shared" si="553"/>
        <v>0</v>
      </c>
      <c r="BT168" s="1">
        <f t="shared" si="554"/>
        <v>0</v>
      </c>
      <c r="BU168" s="1">
        <f t="shared" si="555"/>
        <v>0</v>
      </c>
      <c r="BV168" s="1">
        <f t="shared" si="556"/>
        <v>0</v>
      </c>
      <c r="BW168" s="1">
        <f t="shared" si="557"/>
        <v>0</v>
      </c>
      <c r="BX168" s="1">
        <f t="shared" si="558"/>
        <v>0</v>
      </c>
      <c r="BY168" s="1">
        <f t="shared" si="559"/>
        <v>0</v>
      </c>
      <c r="BZ168" s="1">
        <f t="shared" si="560"/>
        <v>0</v>
      </c>
      <c r="CA168" s="1">
        <f t="shared" si="561"/>
        <v>0</v>
      </c>
      <c r="CB168" s="1">
        <f t="shared" si="562"/>
        <v>0</v>
      </c>
      <c r="CC168" s="1">
        <f t="shared" si="563"/>
        <v>0</v>
      </c>
      <c r="CD168" s="1">
        <f t="shared" si="564"/>
        <v>0</v>
      </c>
      <c r="CE168" s="1">
        <f t="shared" si="565"/>
        <v>0</v>
      </c>
      <c r="CF168" s="1">
        <f t="shared" si="566"/>
        <v>0</v>
      </c>
    </row>
    <row r="169" spans="3:84" ht="33.75" outlineLevel="1">
      <c r="C169" s="27" t="s">
        <v>1031</v>
      </c>
      <c r="D169" s="55">
        <v>4</v>
      </c>
      <c r="E169" s="88" t="s">
        <v>828</v>
      </c>
      <c r="F169" s="56">
        <v>3330.15</v>
      </c>
      <c r="G169" s="57">
        <f t="shared" si="515"/>
        <v>13320.6</v>
      </c>
      <c r="H169" s="28"/>
      <c r="I169" s="59" t="str">
        <f t="shared" si="516"/>
        <v/>
      </c>
      <c r="J169" s="60"/>
      <c r="K169" s="59" t="str">
        <f t="shared" si="517"/>
        <v/>
      </c>
      <c r="L169" s="60"/>
      <c r="M169" s="59" t="str">
        <f t="shared" si="518"/>
        <v/>
      </c>
      <c r="N169" s="60"/>
      <c r="O169" s="59" t="str">
        <f t="shared" si="519"/>
        <v/>
      </c>
      <c r="P169" s="60"/>
      <c r="Q169" s="59" t="str">
        <f t="shared" si="520"/>
        <v/>
      </c>
      <c r="R169" s="60"/>
      <c r="S169" s="59" t="str">
        <f t="shared" si="521"/>
        <v/>
      </c>
      <c r="T169" s="60"/>
      <c r="U169" s="59" t="str">
        <f t="shared" si="522"/>
        <v/>
      </c>
      <c r="V169" s="60"/>
      <c r="W169" s="59" t="str">
        <f t="shared" si="523"/>
        <v/>
      </c>
      <c r="X169" s="95"/>
      <c r="Y169" s="59" t="str">
        <f t="shared" si="524"/>
        <v/>
      </c>
      <c r="Z169" s="95"/>
      <c r="AA169" s="59" t="str">
        <f t="shared" si="525"/>
        <v/>
      </c>
      <c r="AB169" s="60"/>
      <c r="AC169" s="59" t="str">
        <f t="shared" si="526"/>
        <v/>
      </c>
      <c r="AD169" s="60"/>
      <c r="AE169" s="59" t="str">
        <f t="shared" si="527"/>
        <v/>
      </c>
      <c r="AF169" s="95"/>
      <c r="AG169" s="59" t="str">
        <f t="shared" ref="AG169" si="1119">+IF(OR($F169="",AF169=""),"",$F169*AF169)</f>
        <v/>
      </c>
      <c r="AH169" s="95"/>
      <c r="AI169" s="59" t="str">
        <f t="shared" si="529"/>
        <v/>
      </c>
      <c r="AJ169" s="60"/>
      <c r="AK169" s="59" t="str">
        <f t="shared" si="529"/>
        <v/>
      </c>
      <c r="AL169" s="60"/>
      <c r="AM169" s="59" t="str">
        <f t="shared" ref="AM169" si="1120">+IF(OR($F169="",AL169=""),"",$F169*AL169)</f>
        <v/>
      </c>
      <c r="AN169" s="60"/>
      <c r="AO169" s="59" t="str">
        <f t="shared" ref="AO169" si="1121">+IF(OR($F169="",AN169=""),"",$F169*AN169)</f>
        <v/>
      </c>
      <c r="AP169" s="60"/>
      <c r="AQ169" s="59" t="str">
        <f t="shared" ref="AQ169" si="1122">+IF(OR($F169="",AP169=""),"",$F169*AP169)</f>
        <v/>
      </c>
      <c r="AR169" s="60"/>
      <c r="AS169" s="59" t="str">
        <f t="shared" ref="AS169" si="1123">+IF(OR($F169="",AR169=""),"",$F169*AR169)</f>
        <v/>
      </c>
      <c r="AT169" s="60"/>
      <c r="AU169" s="59" t="str">
        <f t="shared" ref="AU169" si="1124">+IF(OR($F169="",AT169=""),"",$F169*AT169)</f>
        <v/>
      </c>
      <c r="AV169" s="60"/>
      <c r="AW169" s="59" t="str">
        <f t="shared" ref="AW169" si="1125">+IF(OR($F169="",AV169=""),"",$F169*AV169)</f>
        <v/>
      </c>
      <c r="AX169" s="60"/>
      <c r="AY169" s="59" t="str">
        <f t="shared" ref="AY169" si="1126">+IF(OR($F169="",AX169=""),"",$F169*AX169)</f>
        <v/>
      </c>
      <c r="AZ169" s="60"/>
      <c r="BA169" s="59" t="str">
        <f t="shared" ref="BA169" si="1127">+IF(OR($F169="",AZ169=""),"",$F169*AZ169)</f>
        <v/>
      </c>
      <c r="BB169" s="60"/>
      <c r="BC169" s="59" t="str">
        <f t="shared" ref="BC169" si="1128">+IF(OR($F169="",BB169=""),"",$F169*BB169)</f>
        <v/>
      </c>
      <c r="BD169" s="61">
        <f t="shared" si="539"/>
        <v>0</v>
      </c>
      <c r="BE169" s="59">
        <f t="shared" si="540"/>
        <v>0</v>
      </c>
      <c r="BF169" s="61">
        <f t="shared" si="541"/>
        <v>4</v>
      </c>
      <c r="BG169" s="59">
        <f t="shared" si="542"/>
        <v>13320.6</v>
      </c>
      <c r="BH169" s="196"/>
      <c r="BI169" s="1">
        <f t="shared" si="543"/>
        <v>0</v>
      </c>
      <c r="BJ169" s="1">
        <f t="shared" si="544"/>
        <v>0</v>
      </c>
      <c r="BK169" s="1">
        <f t="shared" si="545"/>
        <v>0</v>
      </c>
      <c r="BL169" s="1">
        <f t="shared" si="546"/>
        <v>0</v>
      </c>
      <c r="BM169" s="1">
        <f t="shared" si="547"/>
        <v>0</v>
      </c>
      <c r="BN169" s="1">
        <f t="shared" si="548"/>
        <v>0</v>
      </c>
      <c r="BO169" s="1">
        <f t="shared" si="549"/>
        <v>0</v>
      </c>
      <c r="BP169" s="1">
        <f t="shared" si="550"/>
        <v>0</v>
      </c>
      <c r="BQ169" s="1">
        <f t="shared" si="551"/>
        <v>0</v>
      </c>
      <c r="BR169" s="1">
        <f t="shared" si="552"/>
        <v>0</v>
      </c>
      <c r="BS169" s="1">
        <f t="shared" si="553"/>
        <v>0</v>
      </c>
      <c r="BT169" s="1">
        <f t="shared" si="554"/>
        <v>0</v>
      </c>
      <c r="BU169" s="1">
        <f t="shared" si="555"/>
        <v>0</v>
      </c>
      <c r="BV169" s="1">
        <f t="shared" si="556"/>
        <v>0</v>
      </c>
      <c r="BW169" s="1">
        <f t="shared" si="557"/>
        <v>0</v>
      </c>
      <c r="BX169" s="1">
        <f t="shared" si="558"/>
        <v>0</v>
      </c>
      <c r="BY169" s="1">
        <f t="shared" si="559"/>
        <v>0</v>
      </c>
      <c r="BZ169" s="1">
        <f t="shared" si="560"/>
        <v>0</v>
      </c>
      <c r="CA169" s="1">
        <f t="shared" si="561"/>
        <v>0</v>
      </c>
      <c r="CB169" s="1">
        <f t="shared" si="562"/>
        <v>0</v>
      </c>
      <c r="CC169" s="1">
        <f t="shared" si="563"/>
        <v>0</v>
      </c>
      <c r="CD169" s="1">
        <f t="shared" si="564"/>
        <v>0</v>
      </c>
      <c r="CE169" s="1">
        <f t="shared" si="565"/>
        <v>0</v>
      </c>
      <c r="CF169" s="1">
        <f t="shared" si="566"/>
        <v>0</v>
      </c>
    </row>
    <row r="170" spans="3:84" ht="33.75" outlineLevel="1">
      <c r="C170" s="27" t="s">
        <v>1032</v>
      </c>
      <c r="D170" s="55">
        <v>3</v>
      </c>
      <c r="E170" s="88" t="s">
        <v>828</v>
      </c>
      <c r="F170" s="56">
        <v>1983.58</v>
      </c>
      <c r="G170" s="57">
        <f t="shared" si="515"/>
        <v>5950.74</v>
      </c>
      <c r="H170" s="28"/>
      <c r="I170" s="59" t="str">
        <f t="shared" si="516"/>
        <v/>
      </c>
      <c r="J170" s="60"/>
      <c r="K170" s="59" t="str">
        <f t="shared" si="517"/>
        <v/>
      </c>
      <c r="L170" s="60"/>
      <c r="M170" s="59" t="str">
        <f t="shared" si="518"/>
        <v/>
      </c>
      <c r="N170" s="60"/>
      <c r="O170" s="59" t="str">
        <f t="shared" si="519"/>
        <v/>
      </c>
      <c r="P170" s="60"/>
      <c r="Q170" s="59" t="str">
        <f t="shared" si="520"/>
        <v/>
      </c>
      <c r="R170" s="60"/>
      <c r="S170" s="59" t="str">
        <f t="shared" si="521"/>
        <v/>
      </c>
      <c r="T170" s="60"/>
      <c r="U170" s="59" t="str">
        <f t="shared" si="522"/>
        <v/>
      </c>
      <c r="V170" s="60"/>
      <c r="W170" s="59" t="str">
        <f t="shared" si="523"/>
        <v/>
      </c>
      <c r="X170" s="95"/>
      <c r="Y170" s="59" t="str">
        <f t="shared" si="524"/>
        <v/>
      </c>
      <c r="Z170" s="95"/>
      <c r="AA170" s="59" t="str">
        <f t="shared" si="525"/>
        <v/>
      </c>
      <c r="AB170" s="60"/>
      <c r="AC170" s="59" t="str">
        <f t="shared" si="526"/>
        <v/>
      </c>
      <c r="AD170" s="60"/>
      <c r="AE170" s="59" t="str">
        <f t="shared" si="527"/>
        <v/>
      </c>
      <c r="AF170" s="95"/>
      <c r="AG170" s="59" t="str">
        <f t="shared" ref="AG170" si="1129">+IF(OR($F170="",AF170=""),"",$F170*AF170)</f>
        <v/>
      </c>
      <c r="AH170" s="95"/>
      <c r="AI170" s="59" t="str">
        <f t="shared" si="529"/>
        <v/>
      </c>
      <c r="AJ170" s="60"/>
      <c r="AK170" s="59" t="str">
        <f t="shared" si="529"/>
        <v/>
      </c>
      <c r="AL170" s="60"/>
      <c r="AM170" s="59" t="str">
        <f t="shared" ref="AM170" si="1130">+IF(OR($F170="",AL170=""),"",$F170*AL170)</f>
        <v/>
      </c>
      <c r="AN170" s="60"/>
      <c r="AO170" s="59" t="str">
        <f t="shared" ref="AO170" si="1131">+IF(OR($F170="",AN170=""),"",$F170*AN170)</f>
        <v/>
      </c>
      <c r="AP170" s="60"/>
      <c r="AQ170" s="59" t="str">
        <f t="shared" ref="AQ170" si="1132">+IF(OR($F170="",AP170=""),"",$F170*AP170)</f>
        <v/>
      </c>
      <c r="AR170" s="60"/>
      <c r="AS170" s="59" t="str">
        <f t="shared" ref="AS170" si="1133">+IF(OR($F170="",AR170=""),"",$F170*AR170)</f>
        <v/>
      </c>
      <c r="AT170" s="60"/>
      <c r="AU170" s="59" t="str">
        <f t="shared" ref="AU170" si="1134">+IF(OR($F170="",AT170=""),"",$F170*AT170)</f>
        <v/>
      </c>
      <c r="AV170" s="60"/>
      <c r="AW170" s="59" t="str">
        <f t="shared" ref="AW170" si="1135">+IF(OR($F170="",AV170=""),"",$F170*AV170)</f>
        <v/>
      </c>
      <c r="AX170" s="60"/>
      <c r="AY170" s="59" t="str">
        <f t="shared" ref="AY170" si="1136">+IF(OR($F170="",AX170=""),"",$F170*AX170)</f>
        <v/>
      </c>
      <c r="AZ170" s="60"/>
      <c r="BA170" s="59" t="str">
        <f t="shared" ref="BA170" si="1137">+IF(OR($F170="",AZ170=""),"",$F170*AZ170)</f>
        <v/>
      </c>
      <c r="BB170" s="60"/>
      <c r="BC170" s="59" t="str">
        <f t="shared" ref="BC170" si="1138">+IF(OR($F170="",BB170=""),"",$F170*BB170)</f>
        <v/>
      </c>
      <c r="BD170" s="61">
        <f t="shared" si="539"/>
        <v>0</v>
      </c>
      <c r="BE170" s="59">
        <f t="shared" si="540"/>
        <v>0</v>
      </c>
      <c r="BF170" s="61">
        <f t="shared" si="541"/>
        <v>3</v>
      </c>
      <c r="BG170" s="59">
        <f t="shared" si="542"/>
        <v>5950.74</v>
      </c>
      <c r="BH170" s="196"/>
      <c r="BI170" s="1">
        <f t="shared" si="543"/>
        <v>0</v>
      </c>
      <c r="BJ170" s="1">
        <f t="shared" si="544"/>
        <v>0</v>
      </c>
      <c r="BK170" s="1">
        <f t="shared" si="545"/>
        <v>0</v>
      </c>
      <c r="BL170" s="1">
        <f t="shared" si="546"/>
        <v>0</v>
      </c>
      <c r="BM170" s="1">
        <f t="shared" si="547"/>
        <v>0</v>
      </c>
      <c r="BN170" s="1">
        <f t="shared" si="548"/>
        <v>0</v>
      </c>
      <c r="BO170" s="1">
        <f t="shared" si="549"/>
        <v>0</v>
      </c>
      <c r="BP170" s="1">
        <f t="shared" si="550"/>
        <v>0</v>
      </c>
      <c r="BQ170" s="1">
        <f t="shared" si="551"/>
        <v>0</v>
      </c>
      <c r="BR170" s="1">
        <f t="shared" si="552"/>
        <v>0</v>
      </c>
      <c r="BS170" s="1">
        <f t="shared" si="553"/>
        <v>0</v>
      </c>
      <c r="BT170" s="1">
        <f t="shared" si="554"/>
        <v>0</v>
      </c>
      <c r="BU170" s="1">
        <f t="shared" si="555"/>
        <v>0</v>
      </c>
      <c r="BV170" s="1">
        <f t="shared" si="556"/>
        <v>0</v>
      </c>
      <c r="BW170" s="1">
        <f t="shared" si="557"/>
        <v>0</v>
      </c>
      <c r="BX170" s="1">
        <f t="shared" si="558"/>
        <v>0</v>
      </c>
      <c r="BY170" s="1">
        <f t="shared" si="559"/>
        <v>0</v>
      </c>
      <c r="BZ170" s="1">
        <f t="shared" si="560"/>
        <v>0</v>
      </c>
      <c r="CA170" s="1">
        <f t="shared" si="561"/>
        <v>0</v>
      </c>
      <c r="CB170" s="1">
        <f t="shared" si="562"/>
        <v>0</v>
      </c>
      <c r="CC170" s="1">
        <f t="shared" si="563"/>
        <v>0</v>
      </c>
      <c r="CD170" s="1">
        <f t="shared" si="564"/>
        <v>0</v>
      </c>
      <c r="CE170" s="1">
        <f t="shared" si="565"/>
        <v>0</v>
      </c>
      <c r="CF170" s="1">
        <f t="shared" si="566"/>
        <v>0</v>
      </c>
    </row>
    <row r="171" spans="3:84" ht="33.75" outlineLevel="1">
      <c r="C171" s="27" t="s">
        <v>1033</v>
      </c>
      <c r="D171" s="55">
        <v>1</v>
      </c>
      <c r="E171" s="88" t="s">
        <v>828</v>
      </c>
      <c r="F171" s="56">
        <v>2027.39</v>
      </c>
      <c r="G171" s="57">
        <f t="shared" si="515"/>
        <v>2027.39</v>
      </c>
      <c r="H171" s="28"/>
      <c r="I171" s="59" t="str">
        <f t="shared" si="516"/>
        <v/>
      </c>
      <c r="J171" s="60"/>
      <c r="K171" s="59" t="str">
        <f t="shared" si="517"/>
        <v/>
      </c>
      <c r="L171" s="60"/>
      <c r="M171" s="59" t="str">
        <f t="shared" si="518"/>
        <v/>
      </c>
      <c r="N171" s="60"/>
      <c r="O171" s="59" t="str">
        <f t="shared" si="519"/>
        <v/>
      </c>
      <c r="P171" s="60"/>
      <c r="Q171" s="59" t="str">
        <f t="shared" si="520"/>
        <v/>
      </c>
      <c r="R171" s="60"/>
      <c r="S171" s="59" t="str">
        <f t="shared" si="521"/>
        <v/>
      </c>
      <c r="T171" s="60"/>
      <c r="U171" s="59" t="str">
        <f t="shared" si="522"/>
        <v/>
      </c>
      <c r="V171" s="60"/>
      <c r="W171" s="59" t="str">
        <f t="shared" si="523"/>
        <v/>
      </c>
      <c r="X171" s="95"/>
      <c r="Y171" s="59" t="str">
        <f t="shared" si="524"/>
        <v/>
      </c>
      <c r="Z171" s="95"/>
      <c r="AA171" s="59" t="str">
        <f t="shared" si="525"/>
        <v/>
      </c>
      <c r="AB171" s="60"/>
      <c r="AC171" s="59" t="str">
        <f t="shared" si="526"/>
        <v/>
      </c>
      <c r="AD171" s="60"/>
      <c r="AE171" s="59" t="str">
        <f t="shared" si="527"/>
        <v/>
      </c>
      <c r="AF171" s="95"/>
      <c r="AG171" s="59" t="str">
        <f t="shared" ref="AG171" si="1139">+IF(OR($F171="",AF171=""),"",$F171*AF171)</f>
        <v/>
      </c>
      <c r="AH171" s="95"/>
      <c r="AI171" s="59" t="str">
        <f t="shared" si="529"/>
        <v/>
      </c>
      <c r="AJ171" s="60"/>
      <c r="AK171" s="59" t="str">
        <f t="shared" si="529"/>
        <v/>
      </c>
      <c r="AL171" s="60"/>
      <c r="AM171" s="59" t="str">
        <f t="shared" ref="AM171" si="1140">+IF(OR($F171="",AL171=""),"",$F171*AL171)</f>
        <v/>
      </c>
      <c r="AN171" s="60"/>
      <c r="AO171" s="59" t="str">
        <f t="shared" ref="AO171" si="1141">+IF(OR($F171="",AN171=""),"",$F171*AN171)</f>
        <v/>
      </c>
      <c r="AP171" s="60"/>
      <c r="AQ171" s="59" t="str">
        <f t="shared" ref="AQ171" si="1142">+IF(OR($F171="",AP171=""),"",$F171*AP171)</f>
        <v/>
      </c>
      <c r="AR171" s="60"/>
      <c r="AS171" s="59" t="str">
        <f t="shared" ref="AS171" si="1143">+IF(OR($F171="",AR171=""),"",$F171*AR171)</f>
        <v/>
      </c>
      <c r="AT171" s="60"/>
      <c r="AU171" s="59" t="str">
        <f t="shared" ref="AU171" si="1144">+IF(OR($F171="",AT171=""),"",$F171*AT171)</f>
        <v/>
      </c>
      <c r="AV171" s="60"/>
      <c r="AW171" s="59" t="str">
        <f t="shared" ref="AW171" si="1145">+IF(OR($F171="",AV171=""),"",$F171*AV171)</f>
        <v/>
      </c>
      <c r="AX171" s="60"/>
      <c r="AY171" s="59" t="str">
        <f t="shared" ref="AY171" si="1146">+IF(OR($F171="",AX171=""),"",$F171*AX171)</f>
        <v/>
      </c>
      <c r="AZ171" s="60"/>
      <c r="BA171" s="59" t="str">
        <f t="shared" ref="BA171" si="1147">+IF(OR($F171="",AZ171=""),"",$F171*AZ171)</f>
        <v/>
      </c>
      <c r="BB171" s="60"/>
      <c r="BC171" s="59" t="str">
        <f t="shared" ref="BC171" si="1148">+IF(OR($F171="",BB171=""),"",$F171*BB171)</f>
        <v/>
      </c>
      <c r="BD171" s="61">
        <f t="shared" si="539"/>
        <v>0</v>
      </c>
      <c r="BE171" s="59">
        <f t="shared" si="540"/>
        <v>0</v>
      </c>
      <c r="BF171" s="61">
        <f t="shared" si="541"/>
        <v>1</v>
      </c>
      <c r="BG171" s="59">
        <f t="shared" si="542"/>
        <v>2027.39</v>
      </c>
      <c r="BH171" s="196"/>
      <c r="BI171" s="1">
        <f t="shared" si="543"/>
        <v>0</v>
      </c>
      <c r="BJ171" s="1">
        <f t="shared" si="544"/>
        <v>0</v>
      </c>
      <c r="BK171" s="1">
        <f t="shared" si="545"/>
        <v>0</v>
      </c>
      <c r="BL171" s="1">
        <f t="shared" si="546"/>
        <v>0</v>
      </c>
      <c r="BM171" s="1">
        <f t="shared" si="547"/>
        <v>0</v>
      </c>
      <c r="BN171" s="1">
        <f t="shared" si="548"/>
        <v>0</v>
      </c>
      <c r="BO171" s="1">
        <f t="shared" si="549"/>
        <v>0</v>
      </c>
      <c r="BP171" s="1">
        <f t="shared" si="550"/>
        <v>0</v>
      </c>
      <c r="BQ171" s="1">
        <f t="shared" si="551"/>
        <v>0</v>
      </c>
      <c r="BR171" s="1">
        <f t="shared" si="552"/>
        <v>0</v>
      </c>
      <c r="BS171" s="1">
        <f t="shared" si="553"/>
        <v>0</v>
      </c>
      <c r="BT171" s="1">
        <f t="shared" si="554"/>
        <v>0</v>
      </c>
      <c r="BU171" s="1">
        <f t="shared" si="555"/>
        <v>0</v>
      </c>
      <c r="BV171" s="1">
        <f t="shared" si="556"/>
        <v>0</v>
      </c>
      <c r="BW171" s="1">
        <f t="shared" si="557"/>
        <v>0</v>
      </c>
      <c r="BX171" s="1">
        <f t="shared" si="558"/>
        <v>0</v>
      </c>
      <c r="BY171" s="1">
        <f t="shared" si="559"/>
        <v>0</v>
      </c>
      <c r="BZ171" s="1">
        <f t="shared" si="560"/>
        <v>0</v>
      </c>
      <c r="CA171" s="1">
        <f t="shared" si="561"/>
        <v>0</v>
      </c>
      <c r="CB171" s="1">
        <f t="shared" si="562"/>
        <v>0</v>
      </c>
      <c r="CC171" s="1">
        <f t="shared" si="563"/>
        <v>0</v>
      </c>
      <c r="CD171" s="1">
        <f t="shared" si="564"/>
        <v>0</v>
      </c>
      <c r="CE171" s="1">
        <f t="shared" si="565"/>
        <v>0</v>
      </c>
      <c r="CF171" s="1">
        <f t="shared" si="566"/>
        <v>0</v>
      </c>
    </row>
    <row r="172" spans="3:84" ht="33.75" outlineLevel="1">
      <c r="C172" s="27" t="s">
        <v>1034</v>
      </c>
      <c r="D172" s="55">
        <v>1</v>
      </c>
      <c r="E172" s="88" t="s">
        <v>828</v>
      </c>
      <c r="F172" s="56">
        <v>2702.43</v>
      </c>
      <c r="G172" s="57">
        <f t="shared" si="515"/>
        <v>2702.43</v>
      </c>
      <c r="H172" s="28"/>
      <c r="I172" s="59" t="str">
        <f t="shared" si="516"/>
        <v/>
      </c>
      <c r="J172" s="60"/>
      <c r="K172" s="59" t="str">
        <f t="shared" si="517"/>
        <v/>
      </c>
      <c r="L172" s="60"/>
      <c r="M172" s="59" t="str">
        <f t="shared" si="518"/>
        <v/>
      </c>
      <c r="N172" s="60"/>
      <c r="O172" s="59" t="str">
        <f t="shared" si="519"/>
        <v/>
      </c>
      <c r="P172" s="60"/>
      <c r="Q172" s="59" t="str">
        <f t="shared" si="520"/>
        <v/>
      </c>
      <c r="R172" s="60"/>
      <c r="S172" s="59" t="str">
        <f t="shared" si="521"/>
        <v/>
      </c>
      <c r="T172" s="60"/>
      <c r="U172" s="59" t="str">
        <f t="shared" si="522"/>
        <v/>
      </c>
      <c r="V172" s="60"/>
      <c r="W172" s="59" t="str">
        <f t="shared" si="523"/>
        <v/>
      </c>
      <c r="X172" s="95"/>
      <c r="Y172" s="59" t="str">
        <f t="shared" si="524"/>
        <v/>
      </c>
      <c r="Z172" s="95"/>
      <c r="AA172" s="59" t="str">
        <f t="shared" si="525"/>
        <v/>
      </c>
      <c r="AB172" s="60"/>
      <c r="AC172" s="59" t="str">
        <f t="shared" si="526"/>
        <v/>
      </c>
      <c r="AD172" s="60"/>
      <c r="AE172" s="59" t="str">
        <f t="shared" si="527"/>
        <v/>
      </c>
      <c r="AF172" s="95"/>
      <c r="AG172" s="59" t="str">
        <f t="shared" ref="AG172" si="1149">+IF(OR($F172="",AF172=""),"",$F172*AF172)</f>
        <v/>
      </c>
      <c r="AH172" s="95"/>
      <c r="AI172" s="59" t="str">
        <f t="shared" si="529"/>
        <v/>
      </c>
      <c r="AJ172" s="60"/>
      <c r="AK172" s="59" t="str">
        <f t="shared" si="529"/>
        <v/>
      </c>
      <c r="AL172" s="60"/>
      <c r="AM172" s="59" t="str">
        <f t="shared" ref="AM172" si="1150">+IF(OR($F172="",AL172=""),"",$F172*AL172)</f>
        <v/>
      </c>
      <c r="AN172" s="60"/>
      <c r="AO172" s="59" t="str">
        <f t="shared" ref="AO172" si="1151">+IF(OR($F172="",AN172=""),"",$F172*AN172)</f>
        <v/>
      </c>
      <c r="AP172" s="60"/>
      <c r="AQ172" s="59" t="str">
        <f t="shared" ref="AQ172" si="1152">+IF(OR($F172="",AP172=""),"",$F172*AP172)</f>
        <v/>
      </c>
      <c r="AR172" s="60"/>
      <c r="AS172" s="59" t="str">
        <f t="shared" ref="AS172" si="1153">+IF(OR($F172="",AR172=""),"",$F172*AR172)</f>
        <v/>
      </c>
      <c r="AT172" s="60"/>
      <c r="AU172" s="59" t="str">
        <f t="shared" ref="AU172" si="1154">+IF(OR($F172="",AT172=""),"",$F172*AT172)</f>
        <v/>
      </c>
      <c r="AV172" s="60"/>
      <c r="AW172" s="59" t="str">
        <f t="shared" ref="AW172" si="1155">+IF(OR($F172="",AV172=""),"",$F172*AV172)</f>
        <v/>
      </c>
      <c r="AX172" s="60"/>
      <c r="AY172" s="59" t="str">
        <f t="shared" ref="AY172" si="1156">+IF(OR($F172="",AX172=""),"",$F172*AX172)</f>
        <v/>
      </c>
      <c r="AZ172" s="60"/>
      <c r="BA172" s="59" t="str">
        <f t="shared" ref="BA172" si="1157">+IF(OR($F172="",AZ172=""),"",$F172*AZ172)</f>
        <v/>
      </c>
      <c r="BB172" s="60"/>
      <c r="BC172" s="59" t="str">
        <f t="shared" ref="BC172" si="1158">+IF(OR($F172="",BB172=""),"",$F172*BB172)</f>
        <v/>
      </c>
      <c r="BD172" s="61">
        <f t="shared" si="539"/>
        <v>0</v>
      </c>
      <c r="BE172" s="59">
        <f t="shared" si="540"/>
        <v>0</v>
      </c>
      <c r="BF172" s="61">
        <f t="shared" si="541"/>
        <v>1</v>
      </c>
      <c r="BG172" s="59">
        <f t="shared" si="542"/>
        <v>2702.43</v>
      </c>
      <c r="BH172" s="196"/>
      <c r="BI172" s="1">
        <f t="shared" si="543"/>
        <v>0</v>
      </c>
      <c r="BJ172" s="1">
        <f t="shared" si="544"/>
        <v>0</v>
      </c>
      <c r="BK172" s="1">
        <f t="shared" si="545"/>
        <v>0</v>
      </c>
      <c r="BL172" s="1">
        <f t="shared" si="546"/>
        <v>0</v>
      </c>
      <c r="BM172" s="1">
        <f t="shared" si="547"/>
        <v>0</v>
      </c>
      <c r="BN172" s="1">
        <f t="shared" si="548"/>
        <v>0</v>
      </c>
      <c r="BO172" s="1">
        <f t="shared" si="549"/>
        <v>0</v>
      </c>
      <c r="BP172" s="1">
        <f t="shared" si="550"/>
        <v>0</v>
      </c>
      <c r="BQ172" s="1">
        <f t="shared" si="551"/>
        <v>0</v>
      </c>
      <c r="BR172" s="1">
        <f t="shared" si="552"/>
        <v>0</v>
      </c>
      <c r="BS172" s="1">
        <f t="shared" si="553"/>
        <v>0</v>
      </c>
      <c r="BT172" s="1">
        <f t="shared" si="554"/>
        <v>0</v>
      </c>
      <c r="BU172" s="1">
        <f t="shared" si="555"/>
        <v>0</v>
      </c>
      <c r="BV172" s="1">
        <f t="shared" si="556"/>
        <v>0</v>
      </c>
      <c r="BW172" s="1">
        <f t="shared" si="557"/>
        <v>0</v>
      </c>
      <c r="BX172" s="1">
        <f t="shared" si="558"/>
        <v>0</v>
      </c>
      <c r="BY172" s="1">
        <f t="shared" si="559"/>
        <v>0</v>
      </c>
      <c r="BZ172" s="1">
        <f t="shared" si="560"/>
        <v>0</v>
      </c>
      <c r="CA172" s="1">
        <f t="shared" si="561"/>
        <v>0</v>
      </c>
      <c r="CB172" s="1">
        <f t="shared" si="562"/>
        <v>0</v>
      </c>
      <c r="CC172" s="1">
        <f t="shared" si="563"/>
        <v>0</v>
      </c>
      <c r="CD172" s="1">
        <f t="shared" si="564"/>
        <v>0</v>
      </c>
      <c r="CE172" s="1">
        <f t="shared" si="565"/>
        <v>0</v>
      </c>
      <c r="CF172" s="1">
        <f t="shared" si="566"/>
        <v>0</v>
      </c>
    </row>
    <row r="173" spans="3:84" ht="33.75" outlineLevel="1">
      <c r="C173" s="27" t="s">
        <v>1035</v>
      </c>
      <c r="D173" s="55">
        <v>1</v>
      </c>
      <c r="E173" s="88" t="s">
        <v>828</v>
      </c>
      <c r="F173" s="56">
        <v>1853.37</v>
      </c>
      <c r="G173" s="57">
        <f t="shared" si="515"/>
        <v>1853.37</v>
      </c>
      <c r="H173" s="28"/>
      <c r="I173" s="59" t="str">
        <f t="shared" si="516"/>
        <v/>
      </c>
      <c r="J173" s="60"/>
      <c r="K173" s="59" t="str">
        <f t="shared" si="517"/>
        <v/>
      </c>
      <c r="L173" s="60"/>
      <c r="M173" s="59" t="str">
        <f t="shared" si="518"/>
        <v/>
      </c>
      <c r="N173" s="60"/>
      <c r="O173" s="59" t="str">
        <f t="shared" si="519"/>
        <v/>
      </c>
      <c r="P173" s="60"/>
      <c r="Q173" s="59" t="str">
        <f t="shared" si="520"/>
        <v/>
      </c>
      <c r="R173" s="60"/>
      <c r="S173" s="59" t="str">
        <f t="shared" si="521"/>
        <v/>
      </c>
      <c r="T173" s="60"/>
      <c r="U173" s="59" t="str">
        <f t="shared" si="522"/>
        <v/>
      </c>
      <c r="V173" s="60"/>
      <c r="W173" s="59" t="str">
        <f t="shared" si="523"/>
        <v/>
      </c>
      <c r="X173" s="95"/>
      <c r="Y173" s="59" t="str">
        <f t="shared" si="524"/>
        <v/>
      </c>
      <c r="Z173" s="95"/>
      <c r="AA173" s="59" t="str">
        <f t="shared" si="525"/>
        <v/>
      </c>
      <c r="AB173" s="60"/>
      <c r="AC173" s="59" t="str">
        <f t="shared" si="526"/>
        <v/>
      </c>
      <c r="AD173" s="60"/>
      <c r="AE173" s="59" t="str">
        <f t="shared" si="527"/>
        <v/>
      </c>
      <c r="AF173" s="95"/>
      <c r="AG173" s="59" t="str">
        <f t="shared" ref="AG173" si="1159">+IF(OR($F173="",AF173=""),"",$F173*AF173)</f>
        <v/>
      </c>
      <c r="AH173" s="95"/>
      <c r="AI173" s="59" t="str">
        <f t="shared" si="529"/>
        <v/>
      </c>
      <c r="AJ173" s="60"/>
      <c r="AK173" s="59" t="str">
        <f t="shared" si="529"/>
        <v/>
      </c>
      <c r="AL173" s="60"/>
      <c r="AM173" s="59" t="str">
        <f t="shared" ref="AM173" si="1160">+IF(OR($F173="",AL173=""),"",$F173*AL173)</f>
        <v/>
      </c>
      <c r="AN173" s="60"/>
      <c r="AO173" s="59" t="str">
        <f t="shared" ref="AO173" si="1161">+IF(OR($F173="",AN173=""),"",$F173*AN173)</f>
        <v/>
      </c>
      <c r="AP173" s="60"/>
      <c r="AQ173" s="59" t="str">
        <f t="shared" ref="AQ173" si="1162">+IF(OR($F173="",AP173=""),"",$F173*AP173)</f>
        <v/>
      </c>
      <c r="AR173" s="60"/>
      <c r="AS173" s="59" t="str">
        <f t="shared" ref="AS173" si="1163">+IF(OR($F173="",AR173=""),"",$F173*AR173)</f>
        <v/>
      </c>
      <c r="AT173" s="60"/>
      <c r="AU173" s="59" t="str">
        <f t="shared" ref="AU173" si="1164">+IF(OR($F173="",AT173=""),"",$F173*AT173)</f>
        <v/>
      </c>
      <c r="AV173" s="60"/>
      <c r="AW173" s="59" t="str">
        <f t="shared" ref="AW173" si="1165">+IF(OR($F173="",AV173=""),"",$F173*AV173)</f>
        <v/>
      </c>
      <c r="AX173" s="60"/>
      <c r="AY173" s="59" t="str">
        <f t="shared" ref="AY173" si="1166">+IF(OR($F173="",AX173=""),"",$F173*AX173)</f>
        <v/>
      </c>
      <c r="AZ173" s="60"/>
      <c r="BA173" s="59" t="str">
        <f t="shared" ref="BA173" si="1167">+IF(OR($F173="",AZ173=""),"",$F173*AZ173)</f>
        <v/>
      </c>
      <c r="BB173" s="60"/>
      <c r="BC173" s="59" t="str">
        <f t="shared" ref="BC173" si="1168">+IF(OR($F173="",BB173=""),"",$F173*BB173)</f>
        <v/>
      </c>
      <c r="BD173" s="61">
        <f t="shared" si="539"/>
        <v>0</v>
      </c>
      <c r="BE173" s="59">
        <f t="shared" si="540"/>
        <v>0</v>
      </c>
      <c r="BF173" s="61">
        <f t="shared" si="541"/>
        <v>1</v>
      </c>
      <c r="BG173" s="59">
        <f t="shared" si="542"/>
        <v>1853.37</v>
      </c>
      <c r="BH173" s="196"/>
      <c r="BI173" s="1">
        <f t="shared" si="543"/>
        <v>0</v>
      </c>
      <c r="BJ173" s="1">
        <f t="shared" si="544"/>
        <v>0</v>
      </c>
      <c r="BK173" s="1">
        <f t="shared" si="545"/>
        <v>0</v>
      </c>
      <c r="BL173" s="1">
        <f t="shared" si="546"/>
        <v>0</v>
      </c>
      <c r="BM173" s="1">
        <f t="shared" si="547"/>
        <v>0</v>
      </c>
      <c r="BN173" s="1">
        <f t="shared" si="548"/>
        <v>0</v>
      </c>
      <c r="BO173" s="1">
        <f t="shared" si="549"/>
        <v>0</v>
      </c>
      <c r="BP173" s="1">
        <f t="shared" si="550"/>
        <v>0</v>
      </c>
      <c r="BQ173" s="1">
        <f t="shared" si="551"/>
        <v>0</v>
      </c>
      <c r="BR173" s="1">
        <f t="shared" si="552"/>
        <v>0</v>
      </c>
      <c r="BS173" s="1">
        <f t="shared" si="553"/>
        <v>0</v>
      </c>
      <c r="BT173" s="1">
        <f t="shared" si="554"/>
        <v>0</v>
      </c>
      <c r="BU173" s="1">
        <f t="shared" si="555"/>
        <v>0</v>
      </c>
      <c r="BV173" s="1">
        <f t="shared" si="556"/>
        <v>0</v>
      </c>
      <c r="BW173" s="1">
        <f t="shared" si="557"/>
        <v>0</v>
      </c>
      <c r="BX173" s="1">
        <f t="shared" si="558"/>
        <v>0</v>
      </c>
      <c r="BY173" s="1">
        <f t="shared" si="559"/>
        <v>0</v>
      </c>
      <c r="BZ173" s="1">
        <f t="shared" si="560"/>
        <v>0</v>
      </c>
      <c r="CA173" s="1">
        <f t="shared" si="561"/>
        <v>0</v>
      </c>
      <c r="CB173" s="1">
        <f t="shared" si="562"/>
        <v>0</v>
      </c>
      <c r="CC173" s="1">
        <f t="shared" si="563"/>
        <v>0</v>
      </c>
      <c r="CD173" s="1">
        <f t="shared" si="564"/>
        <v>0</v>
      </c>
      <c r="CE173" s="1">
        <f t="shared" si="565"/>
        <v>0</v>
      </c>
      <c r="CF173" s="1">
        <f t="shared" si="566"/>
        <v>0</v>
      </c>
    </row>
    <row r="174" spans="3:84" ht="22.5" outlineLevel="1">
      <c r="C174" s="27" t="s">
        <v>900</v>
      </c>
      <c r="D174" s="55">
        <v>2</v>
      </c>
      <c r="E174" s="88" t="s">
        <v>828</v>
      </c>
      <c r="F174" s="56">
        <v>355.44</v>
      </c>
      <c r="G174" s="57">
        <f t="shared" si="515"/>
        <v>710.88</v>
      </c>
      <c r="H174" s="28"/>
      <c r="I174" s="59" t="str">
        <f t="shared" si="516"/>
        <v/>
      </c>
      <c r="J174" s="60"/>
      <c r="K174" s="59" t="str">
        <f t="shared" si="517"/>
        <v/>
      </c>
      <c r="L174" s="60"/>
      <c r="M174" s="59" t="str">
        <f t="shared" si="518"/>
        <v/>
      </c>
      <c r="N174" s="60"/>
      <c r="O174" s="59" t="str">
        <f t="shared" si="519"/>
        <v/>
      </c>
      <c r="P174" s="60"/>
      <c r="Q174" s="59" t="str">
        <f t="shared" si="520"/>
        <v/>
      </c>
      <c r="R174" s="60"/>
      <c r="S174" s="59" t="str">
        <f t="shared" si="521"/>
        <v/>
      </c>
      <c r="T174" s="60"/>
      <c r="U174" s="59" t="str">
        <f t="shared" si="522"/>
        <v/>
      </c>
      <c r="V174" s="60"/>
      <c r="W174" s="59" t="str">
        <f t="shared" si="523"/>
        <v/>
      </c>
      <c r="X174" s="95"/>
      <c r="Y174" s="59" t="str">
        <f t="shared" si="524"/>
        <v/>
      </c>
      <c r="Z174" s="95"/>
      <c r="AA174" s="59" t="str">
        <f t="shared" si="525"/>
        <v/>
      </c>
      <c r="AB174" s="60"/>
      <c r="AC174" s="59" t="str">
        <f t="shared" si="526"/>
        <v/>
      </c>
      <c r="AD174" s="60"/>
      <c r="AE174" s="59" t="str">
        <f t="shared" si="527"/>
        <v/>
      </c>
      <c r="AF174" s="95"/>
      <c r="AG174" s="59" t="str">
        <f t="shared" ref="AG174" si="1169">+IF(OR($F174="",AF174=""),"",$F174*AF174)</f>
        <v/>
      </c>
      <c r="AH174" s="95"/>
      <c r="AI174" s="59" t="str">
        <f t="shared" si="529"/>
        <v/>
      </c>
      <c r="AJ174" s="60"/>
      <c r="AK174" s="59" t="str">
        <f t="shared" si="529"/>
        <v/>
      </c>
      <c r="AL174" s="60"/>
      <c r="AM174" s="59" t="str">
        <f t="shared" ref="AM174" si="1170">+IF(OR($F174="",AL174=""),"",$F174*AL174)</f>
        <v/>
      </c>
      <c r="AN174" s="60"/>
      <c r="AO174" s="59" t="str">
        <f t="shared" ref="AO174" si="1171">+IF(OR($F174="",AN174=""),"",$F174*AN174)</f>
        <v/>
      </c>
      <c r="AP174" s="60"/>
      <c r="AQ174" s="59" t="str">
        <f t="shared" ref="AQ174" si="1172">+IF(OR($F174="",AP174=""),"",$F174*AP174)</f>
        <v/>
      </c>
      <c r="AR174" s="60"/>
      <c r="AS174" s="59" t="str">
        <f t="shared" ref="AS174" si="1173">+IF(OR($F174="",AR174=""),"",$F174*AR174)</f>
        <v/>
      </c>
      <c r="AT174" s="60"/>
      <c r="AU174" s="59" t="str">
        <f t="shared" ref="AU174" si="1174">+IF(OR($F174="",AT174=""),"",$F174*AT174)</f>
        <v/>
      </c>
      <c r="AV174" s="60"/>
      <c r="AW174" s="59" t="str">
        <f t="shared" ref="AW174" si="1175">+IF(OR($F174="",AV174=""),"",$F174*AV174)</f>
        <v/>
      </c>
      <c r="AX174" s="60"/>
      <c r="AY174" s="59" t="str">
        <f t="shared" ref="AY174" si="1176">+IF(OR($F174="",AX174=""),"",$F174*AX174)</f>
        <v/>
      </c>
      <c r="AZ174" s="60"/>
      <c r="BA174" s="59" t="str">
        <f t="shared" ref="BA174" si="1177">+IF(OR($F174="",AZ174=""),"",$F174*AZ174)</f>
        <v/>
      </c>
      <c r="BB174" s="60"/>
      <c r="BC174" s="59" t="str">
        <f t="shared" ref="BC174" si="1178">+IF(OR($F174="",BB174=""),"",$F174*BB174)</f>
        <v/>
      </c>
      <c r="BD174" s="61">
        <f t="shared" si="539"/>
        <v>0</v>
      </c>
      <c r="BE174" s="59">
        <f t="shared" si="540"/>
        <v>0</v>
      </c>
      <c r="BF174" s="61">
        <f t="shared" si="541"/>
        <v>2</v>
      </c>
      <c r="BG174" s="59">
        <f t="shared" si="542"/>
        <v>710.88</v>
      </c>
      <c r="BH174" s="196"/>
      <c r="BI174" s="1">
        <f t="shared" si="543"/>
        <v>0</v>
      </c>
      <c r="BJ174" s="1">
        <f t="shared" si="544"/>
        <v>0</v>
      </c>
      <c r="BK174" s="1">
        <f t="shared" si="545"/>
        <v>0</v>
      </c>
      <c r="BL174" s="1">
        <f t="shared" si="546"/>
        <v>0</v>
      </c>
      <c r="BM174" s="1">
        <f t="shared" si="547"/>
        <v>0</v>
      </c>
      <c r="BN174" s="1">
        <f t="shared" si="548"/>
        <v>0</v>
      </c>
      <c r="BO174" s="1">
        <f t="shared" si="549"/>
        <v>0</v>
      </c>
      <c r="BP174" s="1">
        <f t="shared" si="550"/>
        <v>0</v>
      </c>
      <c r="BQ174" s="1">
        <f t="shared" si="551"/>
        <v>0</v>
      </c>
      <c r="BR174" s="1">
        <f t="shared" si="552"/>
        <v>0</v>
      </c>
      <c r="BS174" s="1">
        <f t="shared" si="553"/>
        <v>0</v>
      </c>
      <c r="BT174" s="1">
        <f t="shared" si="554"/>
        <v>0</v>
      </c>
      <c r="BU174" s="1">
        <f t="shared" si="555"/>
        <v>0</v>
      </c>
      <c r="BV174" s="1">
        <f t="shared" si="556"/>
        <v>0</v>
      </c>
      <c r="BW174" s="1">
        <f t="shared" si="557"/>
        <v>0</v>
      </c>
      <c r="BX174" s="1">
        <f t="shared" si="558"/>
        <v>0</v>
      </c>
      <c r="BY174" s="1">
        <f t="shared" si="559"/>
        <v>0</v>
      </c>
      <c r="BZ174" s="1">
        <f t="shared" si="560"/>
        <v>0</v>
      </c>
      <c r="CA174" s="1">
        <f t="shared" si="561"/>
        <v>0</v>
      </c>
      <c r="CB174" s="1">
        <f t="shared" si="562"/>
        <v>0</v>
      </c>
      <c r="CC174" s="1">
        <f t="shared" si="563"/>
        <v>0</v>
      </c>
      <c r="CD174" s="1">
        <f t="shared" si="564"/>
        <v>0</v>
      </c>
      <c r="CE174" s="1">
        <f t="shared" si="565"/>
        <v>0</v>
      </c>
      <c r="CF174" s="1">
        <f t="shared" si="566"/>
        <v>0</v>
      </c>
    </row>
    <row r="175" spans="3:84" ht="22.5" outlineLevel="1">
      <c r="C175" s="27" t="s">
        <v>902</v>
      </c>
      <c r="D175" s="55">
        <v>2</v>
      </c>
      <c r="E175" s="88" t="s">
        <v>828</v>
      </c>
      <c r="F175" s="56">
        <v>549.25</v>
      </c>
      <c r="G175" s="57">
        <f t="shared" si="515"/>
        <v>1098.5</v>
      </c>
      <c r="H175" s="28"/>
      <c r="I175" s="59" t="str">
        <f t="shared" si="516"/>
        <v/>
      </c>
      <c r="J175" s="60"/>
      <c r="K175" s="59" t="str">
        <f t="shared" si="517"/>
        <v/>
      </c>
      <c r="L175" s="60"/>
      <c r="M175" s="59" t="str">
        <f t="shared" si="518"/>
        <v/>
      </c>
      <c r="N175" s="60"/>
      <c r="O175" s="59" t="str">
        <f t="shared" si="519"/>
        <v/>
      </c>
      <c r="P175" s="60"/>
      <c r="Q175" s="59" t="str">
        <f t="shared" si="520"/>
        <v/>
      </c>
      <c r="R175" s="60"/>
      <c r="S175" s="59" t="str">
        <f t="shared" si="521"/>
        <v/>
      </c>
      <c r="T175" s="60"/>
      <c r="U175" s="59" t="str">
        <f t="shared" si="522"/>
        <v/>
      </c>
      <c r="V175" s="60"/>
      <c r="W175" s="59" t="str">
        <f t="shared" si="523"/>
        <v/>
      </c>
      <c r="X175" s="95"/>
      <c r="Y175" s="59" t="str">
        <f t="shared" si="524"/>
        <v/>
      </c>
      <c r="Z175" s="95"/>
      <c r="AA175" s="59" t="str">
        <f t="shared" si="525"/>
        <v/>
      </c>
      <c r="AB175" s="60"/>
      <c r="AC175" s="59" t="str">
        <f t="shared" si="526"/>
        <v/>
      </c>
      <c r="AD175" s="60"/>
      <c r="AE175" s="59" t="str">
        <f t="shared" si="527"/>
        <v/>
      </c>
      <c r="AF175" s="95"/>
      <c r="AG175" s="59" t="str">
        <f t="shared" ref="AG175" si="1179">+IF(OR($F175="",AF175=""),"",$F175*AF175)</f>
        <v/>
      </c>
      <c r="AH175" s="95"/>
      <c r="AI175" s="59" t="str">
        <f t="shared" si="529"/>
        <v/>
      </c>
      <c r="AJ175" s="60"/>
      <c r="AK175" s="59" t="str">
        <f t="shared" si="529"/>
        <v/>
      </c>
      <c r="AL175" s="60"/>
      <c r="AM175" s="59" t="str">
        <f t="shared" ref="AM175" si="1180">+IF(OR($F175="",AL175=""),"",$F175*AL175)</f>
        <v/>
      </c>
      <c r="AN175" s="60"/>
      <c r="AO175" s="59" t="str">
        <f t="shared" ref="AO175" si="1181">+IF(OR($F175="",AN175=""),"",$F175*AN175)</f>
        <v/>
      </c>
      <c r="AP175" s="60"/>
      <c r="AQ175" s="59" t="str">
        <f t="shared" ref="AQ175" si="1182">+IF(OR($F175="",AP175=""),"",$F175*AP175)</f>
        <v/>
      </c>
      <c r="AR175" s="60"/>
      <c r="AS175" s="59" t="str">
        <f t="shared" ref="AS175" si="1183">+IF(OR($F175="",AR175=""),"",$F175*AR175)</f>
        <v/>
      </c>
      <c r="AT175" s="60"/>
      <c r="AU175" s="59" t="str">
        <f t="shared" ref="AU175" si="1184">+IF(OR($F175="",AT175=""),"",$F175*AT175)</f>
        <v/>
      </c>
      <c r="AV175" s="60"/>
      <c r="AW175" s="59" t="str">
        <f t="shared" ref="AW175" si="1185">+IF(OR($F175="",AV175=""),"",$F175*AV175)</f>
        <v/>
      </c>
      <c r="AX175" s="60"/>
      <c r="AY175" s="59" t="str">
        <f t="shared" ref="AY175" si="1186">+IF(OR($F175="",AX175=""),"",$F175*AX175)</f>
        <v/>
      </c>
      <c r="AZ175" s="60"/>
      <c r="BA175" s="59" t="str">
        <f t="shared" ref="BA175" si="1187">+IF(OR($F175="",AZ175=""),"",$F175*AZ175)</f>
        <v/>
      </c>
      <c r="BB175" s="60"/>
      <c r="BC175" s="59" t="str">
        <f t="shared" ref="BC175" si="1188">+IF(OR($F175="",BB175=""),"",$F175*BB175)</f>
        <v/>
      </c>
      <c r="BD175" s="61">
        <f t="shared" si="539"/>
        <v>0</v>
      </c>
      <c r="BE175" s="59">
        <f t="shared" si="540"/>
        <v>0</v>
      </c>
      <c r="BF175" s="61">
        <f t="shared" si="541"/>
        <v>2</v>
      </c>
      <c r="BG175" s="59">
        <f t="shared" si="542"/>
        <v>1098.5</v>
      </c>
      <c r="BH175" s="196"/>
      <c r="BI175" s="1">
        <f t="shared" si="543"/>
        <v>0</v>
      </c>
      <c r="BJ175" s="1">
        <f t="shared" si="544"/>
        <v>0</v>
      </c>
      <c r="BK175" s="1">
        <f t="shared" si="545"/>
        <v>0</v>
      </c>
      <c r="BL175" s="1">
        <f t="shared" si="546"/>
        <v>0</v>
      </c>
      <c r="BM175" s="1">
        <f t="shared" si="547"/>
        <v>0</v>
      </c>
      <c r="BN175" s="1">
        <f t="shared" si="548"/>
        <v>0</v>
      </c>
      <c r="BO175" s="1">
        <f t="shared" si="549"/>
        <v>0</v>
      </c>
      <c r="BP175" s="1">
        <f t="shared" si="550"/>
        <v>0</v>
      </c>
      <c r="BQ175" s="1">
        <f t="shared" si="551"/>
        <v>0</v>
      </c>
      <c r="BR175" s="1">
        <f t="shared" si="552"/>
        <v>0</v>
      </c>
      <c r="BS175" s="1">
        <f t="shared" si="553"/>
        <v>0</v>
      </c>
      <c r="BT175" s="1">
        <f t="shared" si="554"/>
        <v>0</v>
      </c>
      <c r="BU175" s="1">
        <f t="shared" si="555"/>
        <v>0</v>
      </c>
      <c r="BV175" s="1">
        <f t="shared" si="556"/>
        <v>0</v>
      </c>
      <c r="BW175" s="1">
        <f t="shared" si="557"/>
        <v>0</v>
      </c>
      <c r="BX175" s="1">
        <f t="shared" si="558"/>
        <v>0</v>
      </c>
      <c r="BY175" s="1">
        <f t="shared" si="559"/>
        <v>0</v>
      </c>
      <c r="BZ175" s="1">
        <f t="shared" si="560"/>
        <v>0</v>
      </c>
      <c r="CA175" s="1">
        <f t="shared" si="561"/>
        <v>0</v>
      </c>
      <c r="CB175" s="1">
        <f t="shared" si="562"/>
        <v>0</v>
      </c>
      <c r="CC175" s="1">
        <f t="shared" si="563"/>
        <v>0</v>
      </c>
      <c r="CD175" s="1">
        <f t="shared" si="564"/>
        <v>0</v>
      </c>
      <c r="CE175" s="1">
        <f t="shared" si="565"/>
        <v>0</v>
      </c>
      <c r="CF175" s="1">
        <f t="shared" si="566"/>
        <v>0</v>
      </c>
    </row>
    <row r="176" spans="3:84" ht="22.5" outlineLevel="1">
      <c r="C176" s="27" t="s">
        <v>901</v>
      </c>
      <c r="D176" s="55">
        <v>2</v>
      </c>
      <c r="E176" s="88" t="s">
        <v>828</v>
      </c>
      <c r="F176" s="56">
        <v>588.48</v>
      </c>
      <c r="G176" s="57">
        <f t="shared" si="515"/>
        <v>1176.96</v>
      </c>
      <c r="H176" s="28"/>
      <c r="I176" s="59" t="str">
        <f t="shared" si="516"/>
        <v/>
      </c>
      <c r="J176" s="60"/>
      <c r="K176" s="59" t="str">
        <f t="shared" si="517"/>
        <v/>
      </c>
      <c r="L176" s="60"/>
      <c r="M176" s="59" t="str">
        <f t="shared" si="518"/>
        <v/>
      </c>
      <c r="N176" s="60"/>
      <c r="O176" s="59" t="str">
        <f t="shared" si="519"/>
        <v/>
      </c>
      <c r="P176" s="60"/>
      <c r="Q176" s="59" t="str">
        <f t="shared" si="520"/>
        <v/>
      </c>
      <c r="R176" s="60"/>
      <c r="S176" s="59" t="str">
        <f t="shared" si="521"/>
        <v/>
      </c>
      <c r="T176" s="60"/>
      <c r="U176" s="59" t="str">
        <f t="shared" si="522"/>
        <v/>
      </c>
      <c r="V176" s="60"/>
      <c r="W176" s="59" t="str">
        <f t="shared" si="523"/>
        <v/>
      </c>
      <c r="X176" s="95"/>
      <c r="Y176" s="59" t="str">
        <f t="shared" si="524"/>
        <v/>
      </c>
      <c r="Z176" s="95"/>
      <c r="AA176" s="59" t="str">
        <f t="shared" si="525"/>
        <v/>
      </c>
      <c r="AB176" s="60"/>
      <c r="AC176" s="59" t="str">
        <f t="shared" si="526"/>
        <v/>
      </c>
      <c r="AD176" s="60"/>
      <c r="AE176" s="59" t="str">
        <f t="shared" si="527"/>
        <v/>
      </c>
      <c r="AF176" s="95"/>
      <c r="AG176" s="59" t="str">
        <f t="shared" ref="AG176" si="1189">+IF(OR($F176="",AF176=""),"",$F176*AF176)</f>
        <v/>
      </c>
      <c r="AH176" s="95"/>
      <c r="AI176" s="59" t="str">
        <f t="shared" si="529"/>
        <v/>
      </c>
      <c r="AJ176" s="60"/>
      <c r="AK176" s="59" t="str">
        <f t="shared" si="529"/>
        <v/>
      </c>
      <c r="AL176" s="60"/>
      <c r="AM176" s="59" t="str">
        <f t="shared" ref="AM176" si="1190">+IF(OR($F176="",AL176=""),"",$F176*AL176)</f>
        <v/>
      </c>
      <c r="AN176" s="60"/>
      <c r="AO176" s="59" t="str">
        <f t="shared" ref="AO176" si="1191">+IF(OR($F176="",AN176=""),"",$F176*AN176)</f>
        <v/>
      </c>
      <c r="AP176" s="60"/>
      <c r="AQ176" s="59" t="str">
        <f t="shared" ref="AQ176" si="1192">+IF(OR($F176="",AP176=""),"",$F176*AP176)</f>
        <v/>
      </c>
      <c r="AR176" s="60"/>
      <c r="AS176" s="59" t="str">
        <f t="shared" ref="AS176" si="1193">+IF(OR($F176="",AR176=""),"",$F176*AR176)</f>
        <v/>
      </c>
      <c r="AT176" s="60"/>
      <c r="AU176" s="59" t="str">
        <f t="shared" ref="AU176" si="1194">+IF(OR($F176="",AT176=""),"",$F176*AT176)</f>
        <v/>
      </c>
      <c r="AV176" s="60"/>
      <c r="AW176" s="59" t="str">
        <f t="shared" ref="AW176" si="1195">+IF(OR($F176="",AV176=""),"",$F176*AV176)</f>
        <v/>
      </c>
      <c r="AX176" s="60"/>
      <c r="AY176" s="59" t="str">
        <f t="shared" ref="AY176" si="1196">+IF(OR($F176="",AX176=""),"",$F176*AX176)</f>
        <v/>
      </c>
      <c r="AZ176" s="60"/>
      <c r="BA176" s="59" t="str">
        <f t="shared" ref="BA176" si="1197">+IF(OR($F176="",AZ176=""),"",$F176*AZ176)</f>
        <v/>
      </c>
      <c r="BB176" s="60"/>
      <c r="BC176" s="59" t="str">
        <f t="shared" ref="BC176" si="1198">+IF(OR($F176="",BB176=""),"",$F176*BB176)</f>
        <v/>
      </c>
      <c r="BD176" s="61">
        <f t="shared" si="539"/>
        <v>0</v>
      </c>
      <c r="BE176" s="59">
        <f t="shared" si="540"/>
        <v>0</v>
      </c>
      <c r="BF176" s="61">
        <f t="shared" si="541"/>
        <v>2</v>
      </c>
      <c r="BG176" s="59">
        <f t="shared" si="542"/>
        <v>1176.96</v>
      </c>
      <c r="BH176" s="196"/>
      <c r="BI176" s="1">
        <f t="shared" si="543"/>
        <v>0</v>
      </c>
      <c r="BJ176" s="1">
        <f t="shared" si="544"/>
        <v>0</v>
      </c>
      <c r="BK176" s="1">
        <f t="shared" si="545"/>
        <v>0</v>
      </c>
      <c r="BL176" s="1">
        <f t="shared" si="546"/>
        <v>0</v>
      </c>
      <c r="BM176" s="1">
        <f t="shared" si="547"/>
        <v>0</v>
      </c>
      <c r="BN176" s="1">
        <f t="shared" si="548"/>
        <v>0</v>
      </c>
      <c r="BO176" s="1">
        <f t="shared" si="549"/>
        <v>0</v>
      </c>
      <c r="BP176" s="1">
        <f t="shared" si="550"/>
        <v>0</v>
      </c>
      <c r="BQ176" s="1">
        <f t="shared" si="551"/>
        <v>0</v>
      </c>
      <c r="BR176" s="1">
        <f t="shared" si="552"/>
        <v>0</v>
      </c>
      <c r="BS176" s="1">
        <f t="shared" si="553"/>
        <v>0</v>
      </c>
      <c r="BT176" s="1">
        <f t="shared" si="554"/>
        <v>0</v>
      </c>
      <c r="BU176" s="1">
        <f t="shared" si="555"/>
        <v>0</v>
      </c>
      <c r="BV176" s="1">
        <f t="shared" si="556"/>
        <v>0</v>
      </c>
      <c r="BW176" s="1">
        <f t="shared" si="557"/>
        <v>0</v>
      </c>
      <c r="BX176" s="1">
        <f t="shared" si="558"/>
        <v>0</v>
      </c>
      <c r="BY176" s="1">
        <f t="shared" si="559"/>
        <v>0</v>
      </c>
      <c r="BZ176" s="1">
        <f t="shared" si="560"/>
        <v>0</v>
      </c>
      <c r="CA176" s="1">
        <f t="shared" si="561"/>
        <v>0</v>
      </c>
      <c r="CB176" s="1">
        <f t="shared" si="562"/>
        <v>0</v>
      </c>
      <c r="CC176" s="1">
        <f t="shared" si="563"/>
        <v>0</v>
      </c>
      <c r="CD176" s="1">
        <f t="shared" si="564"/>
        <v>0</v>
      </c>
      <c r="CE176" s="1">
        <f t="shared" si="565"/>
        <v>0</v>
      </c>
      <c r="CF176" s="1">
        <f t="shared" si="566"/>
        <v>0</v>
      </c>
    </row>
    <row r="177" spans="2:85" ht="33.75" outlineLevel="1">
      <c r="C177" s="27" t="s">
        <v>903</v>
      </c>
      <c r="D177" s="55">
        <v>5</v>
      </c>
      <c r="E177" s="88" t="s">
        <v>828</v>
      </c>
      <c r="F177" s="56">
        <v>3068.58</v>
      </c>
      <c r="G177" s="57">
        <f t="shared" ref="G177:G270" si="1199">+D177*F177</f>
        <v>15342.9</v>
      </c>
      <c r="H177" s="28"/>
      <c r="I177" s="59" t="str">
        <f t="shared" ref="I177:I182" si="1200">+IF(OR($F177="",H177=""),"",$F177*H177)</f>
        <v/>
      </c>
      <c r="J177" s="60"/>
      <c r="K177" s="59" t="str">
        <f t="shared" ref="K177:K182" si="1201">+IF(OR($F177="",J177=""),"",$F177*J177)</f>
        <v/>
      </c>
      <c r="L177" s="60"/>
      <c r="M177" s="59" t="str">
        <f t="shared" ref="M177:M182" si="1202">+IF(OR($F177="",L177=""),"",$F177*L177)</f>
        <v/>
      </c>
      <c r="N177" s="60"/>
      <c r="O177" s="59" t="str">
        <f t="shared" ref="O177:O182" si="1203">+IF(OR($F177="",N177=""),"",$F177*N177)</f>
        <v/>
      </c>
      <c r="P177" s="60"/>
      <c r="Q177" s="59" t="str">
        <f t="shared" ref="Q177:Q182" si="1204">+IF(OR($F177="",P177=""),"",$F177*P177)</f>
        <v/>
      </c>
      <c r="R177" s="60"/>
      <c r="S177" s="59" t="str">
        <f t="shared" ref="S177:S182" si="1205">+IF(OR($F177="",R177=""),"",$F177*R177)</f>
        <v/>
      </c>
      <c r="T177" s="60"/>
      <c r="U177" s="59" t="str">
        <f t="shared" ref="U177:U182" si="1206">+IF(OR($F177="",T177=""),"",$F177*T177)</f>
        <v/>
      </c>
      <c r="V177" s="60"/>
      <c r="W177" s="59" t="str">
        <f t="shared" ref="W177:W182" si="1207">+IF(OR($F177="",V177=""),"",$F177*V177)</f>
        <v/>
      </c>
      <c r="X177" s="95"/>
      <c r="Y177" s="59" t="str">
        <f t="shared" ref="Y177:Y182" si="1208">+IF(OR($F177="",X177=""),"",$F177*X177)</f>
        <v/>
      </c>
      <c r="Z177" s="95"/>
      <c r="AA177" s="59" t="str">
        <f t="shared" ref="AA177:AA182" si="1209">+IF(OR($F177="",Z177=""),"",$F177*Z177)</f>
        <v/>
      </c>
      <c r="AB177" s="60"/>
      <c r="AC177" s="59" t="str">
        <f t="shared" ref="AC177:AC182" si="1210">+IF(OR($F177="",AB177=""),"",$F177*AB177)</f>
        <v/>
      </c>
      <c r="AD177" s="60"/>
      <c r="AE177" s="59" t="str">
        <f t="shared" ref="AE177:AE182" si="1211">+IF(OR($F177="",AD177=""),"",$F177*AD177)</f>
        <v/>
      </c>
      <c r="AF177" s="95"/>
      <c r="AG177" s="59" t="str">
        <f t="shared" ref="AG177" si="1212">+IF(OR($F177="",AF177=""),"",$F177*AF177)</f>
        <v/>
      </c>
      <c r="AH177" s="95"/>
      <c r="AI177" s="59" t="str">
        <f t="shared" ref="AI177:AK182" si="1213">+IF(OR($F177="",AH177=""),"",$F177*AH177)</f>
        <v/>
      </c>
      <c r="AJ177" s="60"/>
      <c r="AK177" s="59" t="str">
        <f t="shared" si="1213"/>
        <v/>
      </c>
      <c r="AL177" s="60"/>
      <c r="AM177" s="59" t="str">
        <f t="shared" ref="AM177" si="1214">+IF(OR($F177="",AL177=""),"",$F177*AL177)</f>
        <v/>
      </c>
      <c r="AN177" s="60"/>
      <c r="AO177" s="59" t="str">
        <f t="shared" ref="AO177" si="1215">+IF(OR($F177="",AN177=""),"",$F177*AN177)</f>
        <v/>
      </c>
      <c r="AP177" s="60"/>
      <c r="AQ177" s="59" t="str">
        <f t="shared" ref="AQ177" si="1216">+IF(OR($F177="",AP177=""),"",$F177*AP177)</f>
        <v/>
      </c>
      <c r="AR177" s="60"/>
      <c r="AS177" s="59" t="str">
        <f t="shared" ref="AS177" si="1217">+IF(OR($F177="",AR177=""),"",$F177*AR177)</f>
        <v/>
      </c>
      <c r="AT177" s="60"/>
      <c r="AU177" s="59" t="str">
        <f t="shared" ref="AU177" si="1218">+IF(OR($F177="",AT177=""),"",$F177*AT177)</f>
        <v/>
      </c>
      <c r="AV177" s="60"/>
      <c r="AW177" s="59" t="str">
        <f t="shared" ref="AW177" si="1219">+IF(OR($F177="",AV177=""),"",$F177*AV177)</f>
        <v/>
      </c>
      <c r="AX177" s="60"/>
      <c r="AY177" s="59" t="str">
        <f t="shared" ref="AY177" si="1220">+IF(OR($F177="",AX177=""),"",$F177*AX177)</f>
        <v/>
      </c>
      <c r="AZ177" s="60"/>
      <c r="BA177" s="59" t="str">
        <f t="shared" ref="BA177" si="1221">+IF(OR($F177="",AZ177=""),"",$F177*AZ177)</f>
        <v/>
      </c>
      <c r="BB177" s="60"/>
      <c r="BC177" s="59" t="str">
        <f t="shared" ref="BC177" si="1222">+IF(OR($F177="",BB177=""),"",$F177*BB177)</f>
        <v/>
      </c>
      <c r="BD177" s="61">
        <f t="shared" ref="BD177:BD270" si="1223">+SUM(BI177:CF177)</f>
        <v>0</v>
      </c>
      <c r="BE177" s="59">
        <f t="shared" ref="BE177:BE182" si="1224">+IF(OR($F177="",BD177=""),"",$F177*BD177)</f>
        <v>0</v>
      </c>
      <c r="BF177" s="61">
        <f t="shared" ref="BF177:BF270" si="1225">+D177-BD177</f>
        <v>5</v>
      </c>
      <c r="BG177" s="59">
        <f t="shared" ref="BG177:BG182" si="1226">+IF(OR($F177="",BF177=""),"",$F177*BF177)</f>
        <v>15342.9</v>
      </c>
      <c r="BH177" s="196"/>
      <c r="BI177" s="1">
        <f t="shared" ref="BI177:BI270" si="1227">+H177</f>
        <v>0</v>
      </c>
      <c r="BJ177" s="1">
        <f t="shared" ref="BJ177:BJ270" si="1228">+J177</f>
        <v>0</v>
      </c>
      <c r="BK177" s="1">
        <f t="shared" ref="BK177:BK270" si="1229">+L177</f>
        <v>0</v>
      </c>
      <c r="BL177" s="1">
        <f t="shared" ref="BL177:BL270" si="1230">+N177</f>
        <v>0</v>
      </c>
      <c r="BM177" s="1">
        <f t="shared" ref="BM177:BM270" si="1231">+P177</f>
        <v>0</v>
      </c>
      <c r="BN177" s="1">
        <f t="shared" ref="BN177:BN270" si="1232">+R177</f>
        <v>0</v>
      </c>
      <c r="BO177" s="1">
        <f t="shared" ref="BO177:BO270" si="1233">+T177</f>
        <v>0</v>
      </c>
      <c r="BP177" s="1">
        <f t="shared" ref="BP177:BP270" si="1234">+V177</f>
        <v>0</v>
      </c>
      <c r="BQ177" s="1">
        <f t="shared" ref="BQ177:BQ270" si="1235">+X177</f>
        <v>0</v>
      </c>
      <c r="BR177" s="1">
        <f t="shared" ref="BR177:BR270" si="1236">+Z177</f>
        <v>0</v>
      </c>
      <c r="BS177" s="1">
        <f t="shared" ref="BS177:BS270" si="1237">+AB177</f>
        <v>0</v>
      </c>
      <c r="BT177" s="1">
        <f t="shared" ref="BT177:BT270" si="1238">+AD177</f>
        <v>0</v>
      </c>
      <c r="BU177" s="1">
        <f t="shared" ref="BU177:BU270" si="1239">+AF177</f>
        <v>0</v>
      </c>
      <c r="BV177" s="1">
        <f t="shared" ref="BV177:BV270" si="1240">+AH177</f>
        <v>0</v>
      </c>
      <c r="BW177" s="1">
        <f t="shared" ref="BW177:BW270" si="1241">+AJ177</f>
        <v>0</v>
      </c>
      <c r="BX177" s="1">
        <f t="shared" ref="BX177:BX270" si="1242">+AL177</f>
        <v>0</v>
      </c>
      <c r="BY177" s="1">
        <f t="shared" ref="BY177:BY270" si="1243">+AN177</f>
        <v>0</v>
      </c>
      <c r="BZ177" s="1">
        <f t="shared" ref="BZ177:BZ270" si="1244">+AP177</f>
        <v>0</v>
      </c>
      <c r="CA177" s="1">
        <f t="shared" ref="CA177:CA270" si="1245">+AR177</f>
        <v>0</v>
      </c>
      <c r="CB177" s="1">
        <f t="shared" ref="CB177:CB270" si="1246">+AT177</f>
        <v>0</v>
      </c>
      <c r="CC177" s="1">
        <f t="shared" ref="CC177:CC270" si="1247">+AV177</f>
        <v>0</v>
      </c>
      <c r="CD177" s="1">
        <f t="shared" ref="CD177:CD270" si="1248">+AX177</f>
        <v>0</v>
      </c>
      <c r="CE177" s="1">
        <f t="shared" ref="CE177:CE270" si="1249">+AZ177</f>
        <v>0</v>
      </c>
      <c r="CF177" s="1">
        <f t="shared" ref="CF177:CF270" si="1250">+BB177</f>
        <v>0</v>
      </c>
    </row>
    <row r="178" spans="2:85" ht="33.75" outlineLevel="1">
      <c r="C178" s="27" t="s">
        <v>904</v>
      </c>
      <c r="D178" s="55">
        <v>3</v>
      </c>
      <c r="E178" s="88" t="s">
        <v>828</v>
      </c>
      <c r="F178" s="56">
        <v>1763.76</v>
      </c>
      <c r="G178" s="57">
        <f t="shared" si="1199"/>
        <v>5291.28</v>
      </c>
      <c r="H178" s="28"/>
      <c r="I178" s="59" t="str">
        <f t="shared" si="1200"/>
        <v/>
      </c>
      <c r="J178" s="60"/>
      <c r="K178" s="59" t="str">
        <f t="shared" si="1201"/>
        <v/>
      </c>
      <c r="L178" s="60"/>
      <c r="M178" s="59" t="str">
        <f t="shared" si="1202"/>
        <v/>
      </c>
      <c r="N178" s="60"/>
      <c r="O178" s="59" t="str">
        <f t="shared" si="1203"/>
        <v/>
      </c>
      <c r="P178" s="60"/>
      <c r="Q178" s="59" t="str">
        <f t="shared" si="1204"/>
        <v/>
      </c>
      <c r="R178" s="60"/>
      <c r="S178" s="59" t="str">
        <f t="shared" si="1205"/>
        <v/>
      </c>
      <c r="T178" s="60"/>
      <c r="U178" s="59" t="str">
        <f t="shared" si="1206"/>
        <v/>
      </c>
      <c r="V178" s="60"/>
      <c r="W178" s="59" t="str">
        <f t="shared" si="1207"/>
        <v/>
      </c>
      <c r="X178" s="95"/>
      <c r="Y178" s="59" t="str">
        <f t="shared" si="1208"/>
        <v/>
      </c>
      <c r="Z178" s="95"/>
      <c r="AA178" s="59" t="str">
        <f t="shared" si="1209"/>
        <v/>
      </c>
      <c r="AB178" s="60"/>
      <c r="AC178" s="59" t="str">
        <f t="shared" si="1210"/>
        <v/>
      </c>
      <c r="AD178" s="60"/>
      <c r="AE178" s="59" t="str">
        <f t="shared" si="1211"/>
        <v/>
      </c>
      <c r="AF178" s="95"/>
      <c r="AG178" s="59" t="str">
        <f t="shared" ref="AG178" si="1251">+IF(OR($F178="",AF178=""),"",$F178*AF178)</f>
        <v/>
      </c>
      <c r="AH178" s="95"/>
      <c r="AI178" s="59" t="str">
        <f t="shared" si="1213"/>
        <v/>
      </c>
      <c r="AJ178" s="60"/>
      <c r="AK178" s="59" t="str">
        <f t="shared" si="1213"/>
        <v/>
      </c>
      <c r="AL178" s="60"/>
      <c r="AM178" s="59" t="str">
        <f t="shared" ref="AM178" si="1252">+IF(OR($F178="",AL178=""),"",$F178*AL178)</f>
        <v/>
      </c>
      <c r="AN178" s="60"/>
      <c r="AO178" s="59" t="str">
        <f t="shared" ref="AO178" si="1253">+IF(OR($F178="",AN178=""),"",$F178*AN178)</f>
        <v/>
      </c>
      <c r="AP178" s="60"/>
      <c r="AQ178" s="59" t="str">
        <f t="shared" ref="AQ178" si="1254">+IF(OR($F178="",AP178=""),"",$F178*AP178)</f>
        <v/>
      </c>
      <c r="AR178" s="60"/>
      <c r="AS178" s="59" t="str">
        <f t="shared" ref="AS178" si="1255">+IF(OR($F178="",AR178=""),"",$F178*AR178)</f>
        <v/>
      </c>
      <c r="AT178" s="60"/>
      <c r="AU178" s="59" t="str">
        <f t="shared" ref="AU178" si="1256">+IF(OR($F178="",AT178=""),"",$F178*AT178)</f>
        <v/>
      </c>
      <c r="AV178" s="60"/>
      <c r="AW178" s="59" t="str">
        <f t="shared" ref="AW178" si="1257">+IF(OR($F178="",AV178=""),"",$F178*AV178)</f>
        <v/>
      </c>
      <c r="AX178" s="60"/>
      <c r="AY178" s="59" t="str">
        <f t="shared" ref="AY178" si="1258">+IF(OR($F178="",AX178=""),"",$F178*AX178)</f>
        <v/>
      </c>
      <c r="AZ178" s="60"/>
      <c r="BA178" s="59" t="str">
        <f t="shared" ref="BA178" si="1259">+IF(OR($F178="",AZ178=""),"",$F178*AZ178)</f>
        <v/>
      </c>
      <c r="BB178" s="60"/>
      <c r="BC178" s="59" t="str">
        <f t="shared" ref="BC178" si="1260">+IF(OR($F178="",BB178=""),"",$F178*BB178)</f>
        <v/>
      </c>
      <c r="BD178" s="61">
        <f t="shared" si="1223"/>
        <v>0</v>
      </c>
      <c r="BE178" s="59">
        <f t="shared" si="1224"/>
        <v>0</v>
      </c>
      <c r="BF178" s="61">
        <f t="shared" si="1225"/>
        <v>3</v>
      </c>
      <c r="BG178" s="59">
        <f t="shared" si="1226"/>
        <v>5291.28</v>
      </c>
      <c r="BH178" s="196"/>
      <c r="BI178" s="1">
        <f t="shared" si="1227"/>
        <v>0</v>
      </c>
      <c r="BJ178" s="1">
        <f t="shared" si="1228"/>
        <v>0</v>
      </c>
      <c r="BK178" s="1">
        <f t="shared" si="1229"/>
        <v>0</v>
      </c>
      <c r="BL178" s="1">
        <f t="shared" si="1230"/>
        <v>0</v>
      </c>
      <c r="BM178" s="1">
        <f t="shared" si="1231"/>
        <v>0</v>
      </c>
      <c r="BN178" s="1">
        <f t="shared" si="1232"/>
        <v>0</v>
      </c>
      <c r="BO178" s="1">
        <f t="shared" si="1233"/>
        <v>0</v>
      </c>
      <c r="BP178" s="1">
        <f t="shared" si="1234"/>
        <v>0</v>
      </c>
      <c r="BQ178" s="1">
        <f t="shared" si="1235"/>
        <v>0</v>
      </c>
      <c r="BR178" s="1">
        <f t="shared" si="1236"/>
        <v>0</v>
      </c>
      <c r="BS178" s="1">
        <f t="shared" si="1237"/>
        <v>0</v>
      </c>
      <c r="BT178" s="1">
        <f t="shared" si="1238"/>
        <v>0</v>
      </c>
      <c r="BU178" s="1">
        <f t="shared" si="1239"/>
        <v>0</v>
      </c>
      <c r="BV178" s="1">
        <f t="shared" si="1240"/>
        <v>0</v>
      </c>
      <c r="BW178" s="1">
        <f t="shared" si="1241"/>
        <v>0</v>
      </c>
      <c r="BX178" s="1">
        <f t="shared" si="1242"/>
        <v>0</v>
      </c>
      <c r="BY178" s="1">
        <f t="shared" si="1243"/>
        <v>0</v>
      </c>
      <c r="BZ178" s="1">
        <f t="shared" si="1244"/>
        <v>0</v>
      </c>
      <c r="CA178" s="1">
        <f t="shared" si="1245"/>
        <v>0</v>
      </c>
      <c r="CB178" s="1">
        <f t="shared" si="1246"/>
        <v>0</v>
      </c>
      <c r="CC178" s="1">
        <f t="shared" si="1247"/>
        <v>0</v>
      </c>
      <c r="CD178" s="1">
        <f t="shared" si="1248"/>
        <v>0</v>
      </c>
      <c r="CE178" s="1">
        <f t="shared" si="1249"/>
        <v>0</v>
      </c>
      <c r="CF178" s="1">
        <f t="shared" si="1250"/>
        <v>0</v>
      </c>
    </row>
    <row r="179" spans="2:85" ht="45" outlineLevel="1">
      <c r="C179" s="27" t="s">
        <v>905</v>
      </c>
      <c r="D179" s="55">
        <v>1</v>
      </c>
      <c r="E179" s="88" t="s">
        <v>828</v>
      </c>
      <c r="F179" s="56">
        <v>3026.11466666667</v>
      </c>
      <c r="G179" s="57">
        <f t="shared" si="1199"/>
        <v>3026.11466666667</v>
      </c>
      <c r="H179" s="28"/>
      <c r="I179" s="59" t="str">
        <f t="shared" si="1200"/>
        <v/>
      </c>
      <c r="J179" s="60"/>
      <c r="K179" s="59" t="str">
        <f t="shared" si="1201"/>
        <v/>
      </c>
      <c r="L179" s="60"/>
      <c r="M179" s="59" t="str">
        <f t="shared" si="1202"/>
        <v/>
      </c>
      <c r="N179" s="60"/>
      <c r="O179" s="59" t="str">
        <f t="shared" si="1203"/>
        <v/>
      </c>
      <c r="P179" s="60"/>
      <c r="Q179" s="59" t="str">
        <f t="shared" si="1204"/>
        <v/>
      </c>
      <c r="R179" s="60"/>
      <c r="S179" s="59" t="str">
        <f t="shared" si="1205"/>
        <v/>
      </c>
      <c r="T179" s="60"/>
      <c r="U179" s="59" t="str">
        <f t="shared" si="1206"/>
        <v/>
      </c>
      <c r="V179" s="60"/>
      <c r="W179" s="59" t="str">
        <f t="shared" si="1207"/>
        <v/>
      </c>
      <c r="X179" s="95"/>
      <c r="Y179" s="59" t="str">
        <f t="shared" si="1208"/>
        <v/>
      </c>
      <c r="Z179" s="95"/>
      <c r="AA179" s="59" t="str">
        <f t="shared" si="1209"/>
        <v/>
      </c>
      <c r="AB179" s="60"/>
      <c r="AC179" s="59" t="str">
        <f t="shared" si="1210"/>
        <v/>
      </c>
      <c r="AD179" s="60"/>
      <c r="AE179" s="59" t="str">
        <f t="shared" si="1211"/>
        <v/>
      </c>
      <c r="AF179" s="95"/>
      <c r="AG179" s="59" t="str">
        <f t="shared" ref="AG179" si="1261">+IF(OR($F179="",AF179=""),"",$F179*AF179)</f>
        <v/>
      </c>
      <c r="AH179" s="95"/>
      <c r="AI179" s="59" t="str">
        <f t="shared" si="1213"/>
        <v/>
      </c>
      <c r="AJ179" s="60"/>
      <c r="AK179" s="59" t="str">
        <f t="shared" si="1213"/>
        <v/>
      </c>
      <c r="AL179" s="60"/>
      <c r="AM179" s="59" t="str">
        <f t="shared" ref="AM179" si="1262">+IF(OR($F179="",AL179=""),"",$F179*AL179)</f>
        <v/>
      </c>
      <c r="AN179" s="60"/>
      <c r="AO179" s="59" t="str">
        <f t="shared" ref="AO179" si="1263">+IF(OR($F179="",AN179=""),"",$F179*AN179)</f>
        <v/>
      </c>
      <c r="AP179" s="60"/>
      <c r="AQ179" s="59" t="str">
        <f t="shared" ref="AQ179" si="1264">+IF(OR($F179="",AP179=""),"",$F179*AP179)</f>
        <v/>
      </c>
      <c r="AR179" s="60"/>
      <c r="AS179" s="59" t="str">
        <f t="shared" ref="AS179" si="1265">+IF(OR($F179="",AR179=""),"",$F179*AR179)</f>
        <v/>
      </c>
      <c r="AT179" s="60"/>
      <c r="AU179" s="59" t="str">
        <f t="shared" ref="AU179" si="1266">+IF(OR($F179="",AT179=""),"",$F179*AT179)</f>
        <v/>
      </c>
      <c r="AV179" s="60"/>
      <c r="AW179" s="59" t="str">
        <f t="shared" ref="AW179" si="1267">+IF(OR($F179="",AV179=""),"",$F179*AV179)</f>
        <v/>
      </c>
      <c r="AX179" s="60"/>
      <c r="AY179" s="59" t="str">
        <f t="shared" ref="AY179" si="1268">+IF(OR($F179="",AX179=""),"",$F179*AX179)</f>
        <v/>
      </c>
      <c r="AZ179" s="60"/>
      <c r="BA179" s="59" t="str">
        <f t="shared" ref="BA179" si="1269">+IF(OR($F179="",AZ179=""),"",$F179*AZ179)</f>
        <v/>
      </c>
      <c r="BB179" s="60"/>
      <c r="BC179" s="59" t="str">
        <f t="shared" ref="BC179" si="1270">+IF(OR($F179="",BB179=""),"",$F179*BB179)</f>
        <v/>
      </c>
      <c r="BD179" s="61">
        <f t="shared" si="1223"/>
        <v>0</v>
      </c>
      <c r="BE179" s="59">
        <f t="shared" si="1224"/>
        <v>0</v>
      </c>
      <c r="BF179" s="61">
        <f t="shared" si="1225"/>
        <v>1</v>
      </c>
      <c r="BG179" s="59">
        <f t="shared" si="1226"/>
        <v>3026.11466666667</v>
      </c>
      <c r="BH179" s="196"/>
      <c r="BI179" s="1">
        <f t="shared" si="1227"/>
        <v>0</v>
      </c>
      <c r="BJ179" s="1">
        <f t="shared" si="1228"/>
        <v>0</v>
      </c>
      <c r="BK179" s="1">
        <f t="shared" si="1229"/>
        <v>0</v>
      </c>
      <c r="BL179" s="1">
        <f t="shared" si="1230"/>
        <v>0</v>
      </c>
      <c r="BM179" s="1">
        <f t="shared" si="1231"/>
        <v>0</v>
      </c>
      <c r="BN179" s="1">
        <f t="shared" si="1232"/>
        <v>0</v>
      </c>
      <c r="BO179" s="1">
        <f t="shared" si="1233"/>
        <v>0</v>
      </c>
      <c r="BP179" s="1">
        <f t="shared" si="1234"/>
        <v>0</v>
      </c>
      <c r="BQ179" s="1">
        <f t="shared" si="1235"/>
        <v>0</v>
      </c>
      <c r="BR179" s="1">
        <f t="shared" si="1236"/>
        <v>0</v>
      </c>
      <c r="BS179" s="1">
        <f t="shared" si="1237"/>
        <v>0</v>
      </c>
      <c r="BT179" s="1">
        <f t="shared" si="1238"/>
        <v>0</v>
      </c>
      <c r="BU179" s="1">
        <f t="shared" si="1239"/>
        <v>0</v>
      </c>
      <c r="BV179" s="1">
        <f t="shared" si="1240"/>
        <v>0</v>
      </c>
      <c r="BW179" s="1">
        <f t="shared" si="1241"/>
        <v>0</v>
      </c>
      <c r="BX179" s="1">
        <f t="shared" si="1242"/>
        <v>0</v>
      </c>
      <c r="BY179" s="1">
        <f t="shared" si="1243"/>
        <v>0</v>
      </c>
      <c r="BZ179" s="1">
        <f t="shared" si="1244"/>
        <v>0</v>
      </c>
      <c r="CA179" s="1">
        <f t="shared" si="1245"/>
        <v>0</v>
      </c>
      <c r="CB179" s="1">
        <f t="shared" si="1246"/>
        <v>0</v>
      </c>
      <c r="CC179" s="1">
        <f t="shared" si="1247"/>
        <v>0</v>
      </c>
      <c r="CD179" s="1">
        <f t="shared" si="1248"/>
        <v>0</v>
      </c>
      <c r="CE179" s="1">
        <f t="shared" si="1249"/>
        <v>0</v>
      </c>
      <c r="CF179" s="1">
        <f t="shared" si="1250"/>
        <v>0</v>
      </c>
    </row>
    <row r="180" spans="2:85" ht="45" outlineLevel="1">
      <c r="C180" s="27" t="s">
        <v>906</v>
      </c>
      <c r="D180" s="55">
        <v>1</v>
      </c>
      <c r="E180" s="88" t="s">
        <v>828</v>
      </c>
      <c r="F180" s="56">
        <v>2058.7876877823301</v>
      </c>
      <c r="G180" s="57">
        <f t="shared" si="1199"/>
        <v>2058.7876877823301</v>
      </c>
      <c r="H180" s="28"/>
      <c r="I180" s="59" t="str">
        <f t="shared" si="1200"/>
        <v/>
      </c>
      <c r="J180" s="60"/>
      <c r="K180" s="59" t="str">
        <f t="shared" si="1201"/>
        <v/>
      </c>
      <c r="L180" s="60"/>
      <c r="M180" s="59" t="str">
        <f t="shared" si="1202"/>
        <v/>
      </c>
      <c r="N180" s="60"/>
      <c r="O180" s="59" t="str">
        <f t="shared" si="1203"/>
        <v/>
      </c>
      <c r="P180" s="60"/>
      <c r="Q180" s="59" t="str">
        <f t="shared" si="1204"/>
        <v/>
      </c>
      <c r="R180" s="60"/>
      <c r="S180" s="59" t="str">
        <f t="shared" si="1205"/>
        <v/>
      </c>
      <c r="T180" s="60"/>
      <c r="U180" s="59" t="str">
        <f t="shared" si="1206"/>
        <v/>
      </c>
      <c r="V180" s="60"/>
      <c r="W180" s="59" t="str">
        <f t="shared" si="1207"/>
        <v/>
      </c>
      <c r="X180" s="95"/>
      <c r="Y180" s="59" t="str">
        <f t="shared" si="1208"/>
        <v/>
      </c>
      <c r="Z180" s="95"/>
      <c r="AA180" s="59" t="str">
        <f t="shared" si="1209"/>
        <v/>
      </c>
      <c r="AB180" s="60"/>
      <c r="AC180" s="59" t="str">
        <f t="shared" si="1210"/>
        <v/>
      </c>
      <c r="AD180" s="60"/>
      <c r="AE180" s="59" t="str">
        <f t="shared" si="1211"/>
        <v/>
      </c>
      <c r="AF180" s="95"/>
      <c r="AG180" s="59" t="str">
        <f t="shared" ref="AG180" si="1271">+IF(OR($F180="",AF180=""),"",$F180*AF180)</f>
        <v/>
      </c>
      <c r="AH180" s="95"/>
      <c r="AI180" s="59" t="str">
        <f t="shared" si="1213"/>
        <v/>
      </c>
      <c r="AJ180" s="60"/>
      <c r="AK180" s="59" t="str">
        <f t="shared" si="1213"/>
        <v/>
      </c>
      <c r="AL180" s="60"/>
      <c r="AM180" s="59" t="str">
        <f t="shared" ref="AM180" si="1272">+IF(OR($F180="",AL180=""),"",$F180*AL180)</f>
        <v/>
      </c>
      <c r="AN180" s="60"/>
      <c r="AO180" s="59" t="str">
        <f t="shared" ref="AO180" si="1273">+IF(OR($F180="",AN180=""),"",$F180*AN180)</f>
        <v/>
      </c>
      <c r="AP180" s="60"/>
      <c r="AQ180" s="59" t="str">
        <f t="shared" ref="AQ180" si="1274">+IF(OR($F180="",AP180=""),"",$F180*AP180)</f>
        <v/>
      </c>
      <c r="AR180" s="60"/>
      <c r="AS180" s="59" t="str">
        <f t="shared" ref="AS180" si="1275">+IF(OR($F180="",AR180=""),"",$F180*AR180)</f>
        <v/>
      </c>
      <c r="AT180" s="60"/>
      <c r="AU180" s="59" t="str">
        <f t="shared" ref="AU180" si="1276">+IF(OR($F180="",AT180=""),"",$F180*AT180)</f>
        <v/>
      </c>
      <c r="AV180" s="60"/>
      <c r="AW180" s="59" t="str">
        <f t="shared" ref="AW180" si="1277">+IF(OR($F180="",AV180=""),"",$F180*AV180)</f>
        <v/>
      </c>
      <c r="AX180" s="60"/>
      <c r="AY180" s="59" t="str">
        <f t="shared" ref="AY180" si="1278">+IF(OR($F180="",AX180=""),"",$F180*AX180)</f>
        <v/>
      </c>
      <c r="AZ180" s="60"/>
      <c r="BA180" s="59" t="str">
        <f t="shared" ref="BA180" si="1279">+IF(OR($F180="",AZ180=""),"",$F180*AZ180)</f>
        <v/>
      </c>
      <c r="BB180" s="60"/>
      <c r="BC180" s="59" t="str">
        <f t="shared" ref="BC180" si="1280">+IF(OR($F180="",BB180=""),"",$F180*BB180)</f>
        <v/>
      </c>
      <c r="BD180" s="61">
        <f t="shared" si="1223"/>
        <v>0</v>
      </c>
      <c r="BE180" s="59">
        <f t="shared" si="1224"/>
        <v>0</v>
      </c>
      <c r="BF180" s="61">
        <f t="shared" si="1225"/>
        <v>1</v>
      </c>
      <c r="BG180" s="59">
        <f t="shared" si="1226"/>
        <v>2058.7876877823301</v>
      </c>
      <c r="BH180" s="196"/>
      <c r="BI180" s="1">
        <f t="shared" si="1227"/>
        <v>0</v>
      </c>
      <c r="BJ180" s="1">
        <f t="shared" si="1228"/>
        <v>0</v>
      </c>
      <c r="BK180" s="1">
        <f t="shared" si="1229"/>
        <v>0</v>
      </c>
      <c r="BL180" s="1">
        <f t="shared" si="1230"/>
        <v>0</v>
      </c>
      <c r="BM180" s="1">
        <f t="shared" si="1231"/>
        <v>0</v>
      </c>
      <c r="BN180" s="1">
        <f t="shared" si="1232"/>
        <v>0</v>
      </c>
      <c r="BO180" s="1">
        <f t="shared" si="1233"/>
        <v>0</v>
      </c>
      <c r="BP180" s="1">
        <f t="shared" si="1234"/>
        <v>0</v>
      </c>
      <c r="BQ180" s="1">
        <f t="shared" si="1235"/>
        <v>0</v>
      </c>
      <c r="BR180" s="1">
        <f t="shared" si="1236"/>
        <v>0</v>
      </c>
      <c r="BS180" s="1">
        <f t="shared" si="1237"/>
        <v>0</v>
      </c>
      <c r="BT180" s="1">
        <f t="shared" si="1238"/>
        <v>0</v>
      </c>
      <c r="BU180" s="1">
        <f t="shared" si="1239"/>
        <v>0</v>
      </c>
      <c r="BV180" s="1">
        <f t="shared" si="1240"/>
        <v>0</v>
      </c>
      <c r="BW180" s="1">
        <f t="shared" si="1241"/>
        <v>0</v>
      </c>
      <c r="BX180" s="1">
        <f t="shared" si="1242"/>
        <v>0</v>
      </c>
      <c r="BY180" s="1">
        <f t="shared" si="1243"/>
        <v>0</v>
      </c>
      <c r="BZ180" s="1">
        <f t="shared" si="1244"/>
        <v>0</v>
      </c>
      <c r="CA180" s="1">
        <f t="shared" si="1245"/>
        <v>0</v>
      </c>
      <c r="CB180" s="1">
        <f t="shared" si="1246"/>
        <v>0</v>
      </c>
      <c r="CC180" s="1">
        <f t="shared" si="1247"/>
        <v>0</v>
      </c>
      <c r="CD180" s="1">
        <f t="shared" si="1248"/>
        <v>0</v>
      </c>
      <c r="CE180" s="1">
        <f t="shared" si="1249"/>
        <v>0</v>
      </c>
      <c r="CF180" s="1">
        <f t="shared" si="1250"/>
        <v>0</v>
      </c>
    </row>
    <row r="181" spans="2:85" s="6" customFormat="1" ht="18" customHeight="1">
      <c r="B181" s="62" t="s">
        <v>909</v>
      </c>
      <c r="C181" s="25" t="s">
        <v>910</v>
      </c>
      <c r="D181" s="49"/>
      <c r="E181" s="85"/>
      <c r="F181" s="50"/>
      <c r="G181" s="63">
        <f>+SUM(G182:G184)</f>
        <v>10511.300000000001</v>
      </c>
      <c r="H181" s="51"/>
      <c r="I181" s="52" t="str">
        <f>IF(SUM(I182:I184)=0,"",SUM(I182:I184))</f>
        <v/>
      </c>
      <c r="J181" s="53"/>
      <c r="K181" s="52" t="str">
        <f>IF(SUM(K182:K184)=0,"",SUM(K182:K184))</f>
        <v/>
      </c>
      <c r="L181" s="53"/>
      <c r="M181" s="52" t="str">
        <f>IF(SUM(M182:M184)=0,"",SUM(M182:M184))</f>
        <v/>
      </c>
      <c r="N181" s="53"/>
      <c r="O181" s="52" t="str">
        <f>IF(SUM(O182:O184)=0,"",SUM(O182:O184))</f>
        <v/>
      </c>
      <c r="P181" s="51"/>
      <c r="Q181" s="52" t="str">
        <f>IF(SUM(Q182:Q184)=0,"",SUM(Q182:Q184))</f>
        <v/>
      </c>
      <c r="R181" s="53"/>
      <c r="S181" s="52" t="str">
        <f>IF(SUM(S182:S184)=0,"",SUM(S182:S184))</f>
        <v/>
      </c>
      <c r="T181" s="53"/>
      <c r="U181" s="52" t="str">
        <f>IF(SUM(U182:U184)=0,"",SUM(U182:U184))</f>
        <v/>
      </c>
      <c r="V181" s="53"/>
      <c r="W181" s="52" t="str">
        <f>IF(SUM(W182:W184)=0,"",SUM(W182:W184))</f>
        <v/>
      </c>
      <c r="X181" s="51"/>
      <c r="Y181" s="52" t="str">
        <f>IF(SUM(Y182:Y184)=0,"",SUM(Y182:Y184))</f>
        <v/>
      </c>
      <c r="Z181" s="53"/>
      <c r="AA181" s="52" t="str">
        <f>IF(SUM(AA182:AA184)=0,"",SUM(AA182:AA184))</f>
        <v/>
      </c>
      <c r="AB181" s="53"/>
      <c r="AC181" s="52" t="str">
        <f>IF(SUM(AC182:AC184)=0,"",SUM(AC182:AC184))</f>
        <v/>
      </c>
      <c r="AD181" s="53"/>
      <c r="AE181" s="52" t="str">
        <f>IF(SUM(AE182:AE184)=0,"",SUM(AE182:AE184))</f>
        <v/>
      </c>
      <c r="AF181" s="192"/>
      <c r="AG181" s="52" t="str">
        <f>IF(SUM(AG182:AG184)=0,"",SUM(AG182:AG184))</f>
        <v/>
      </c>
      <c r="AH181" s="91"/>
      <c r="AI181" s="52">
        <f>IF(SUM(AI182:AI184)=0,"",SUM(AI182:AI184))</f>
        <v>3153.3900000000003</v>
      </c>
      <c r="AJ181" s="53"/>
      <c r="AK181" s="52" t="str">
        <f>IF(SUM(AK182:AK184)=0,"",SUM(AK182:AK184))</f>
        <v/>
      </c>
      <c r="AL181" s="53"/>
      <c r="AM181" s="52" t="str">
        <f>IF(SUM(AM182:AM184)=0,"",SUM(AM182:AM184))</f>
        <v/>
      </c>
      <c r="AN181" s="51"/>
      <c r="AO181" s="52" t="str">
        <f>IF(SUM(AO182:AO184)=0,"",SUM(AO182:AO184))</f>
        <v/>
      </c>
      <c r="AP181" s="53"/>
      <c r="AQ181" s="52" t="str">
        <f>IF(SUM(AQ182:AQ184)=0,"",SUM(AQ182:AQ184))</f>
        <v/>
      </c>
      <c r="AR181" s="53"/>
      <c r="AS181" s="52" t="str">
        <f>IF(SUM(AS182:AS184)=0,"",SUM(AS182:AS184))</f>
        <v/>
      </c>
      <c r="AT181" s="53"/>
      <c r="AU181" s="52" t="str">
        <f>IF(SUM(AU182:AU184)=0,"",SUM(AU182:AU184))</f>
        <v/>
      </c>
      <c r="AV181" s="51"/>
      <c r="AW181" s="52" t="str">
        <f>IF(SUM(AW182:AW184)=0,"",SUM(AW182:AW184))</f>
        <v/>
      </c>
      <c r="AX181" s="53"/>
      <c r="AY181" s="52" t="str">
        <f>IF(SUM(AY182:AY184)=0,"",SUM(AY182:AY184))</f>
        <v/>
      </c>
      <c r="AZ181" s="53"/>
      <c r="BA181" s="52" t="str">
        <f>IF(SUM(BA182:BA184)=0,"",SUM(BA182:BA184))</f>
        <v/>
      </c>
      <c r="BB181" s="53"/>
      <c r="BC181" s="52" t="str">
        <f>IF(SUM(BC182:BC184)=0,"",SUM(BC182:BC184))</f>
        <v/>
      </c>
      <c r="BD181" s="54"/>
      <c r="BE181" s="63">
        <f>+SUM(BE182:BE184)</f>
        <v>3153.3900000000003</v>
      </c>
      <c r="BF181" s="54"/>
      <c r="BG181" s="52">
        <f>+SUM(BG182:BG184)</f>
        <v>7357.91</v>
      </c>
      <c r="BH181" s="210"/>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row>
    <row r="182" spans="2:85" ht="31.5" customHeight="1" outlineLevel="1">
      <c r="C182" s="27" t="s">
        <v>911</v>
      </c>
      <c r="D182" s="55">
        <v>-5</v>
      </c>
      <c r="E182" s="88" t="s">
        <v>828</v>
      </c>
      <c r="F182" s="56">
        <v>1505.71</v>
      </c>
      <c r="G182" s="57">
        <f t="shared" si="1199"/>
        <v>-7528.55</v>
      </c>
      <c r="H182" s="28"/>
      <c r="I182" s="59" t="str">
        <f t="shared" si="1200"/>
        <v/>
      </c>
      <c r="J182" s="60"/>
      <c r="K182" s="59" t="str">
        <f t="shared" si="1201"/>
        <v/>
      </c>
      <c r="L182" s="60"/>
      <c r="M182" s="59" t="str">
        <f t="shared" si="1202"/>
        <v/>
      </c>
      <c r="N182" s="60"/>
      <c r="O182" s="59" t="str">
        <f t="shared" si="1203"/>
        <v/>
      </c>
      <c r="P182" s="60"/>
      <c r="Q182" s="59" t="str">
        <f t="shared" si="1204"/>
        <v/>
      </c>
      <c r="R182" s="60"/>
      <c r="S182" s="59" t="str">
        <f t="shared" si="1205"/>
        <v/>
      </c>
      <c r="T182" s="60"/>
      <c r="U182" s="59" t="str">
        <f t="shared" si="1206"/>
        <v/>
      </c>
      <c r="V182" s="60"/>
      <c r="W182" s="59" t="str">
        <f t="shared" si="1207"/>
        <v/>
      </c>
      <c r="X182" s="95"/>
      <c r="Y182" s="59" t="str">
        <f t="shared" si="1208"/>
        <v/>
      </c>
      <c r="Z182" s="95"/>
      <c r="AA182" s="59" t="str">
        <f t="shared" si="1209"/>
        <v/>
      </c>
      <c r="AB182" s="60"/>
      <c r="AC182" s="59" t="str">
        <f t="shared" si="1210"/>
        <v/>
      </c>
      <c r="AD182" s="60"/>
      <c r="AE182" s="59" t="str">
        <f t="shared" si="1211"/>
        <v/>
      </c>
      <c r="AF182" s="95"/>
      <c r="AG182" s="59" t="str">
        <f t="shared" ref="AG182" si="1281">+IF(OR($F182="",AF182=""),"",$F182*AF182)</f>
        <v/>
      </c>
      <c r="AH182" s="98">
        <f>0.3*D182</f>
        <v>-1.5</v>
      </c>
      <c r="AI182" s="59">
        <f t="shared" si="1213"/>
        <v>-2258.5650000000001</v>
      </c>
      <c r="AJ182" s="60"/>
      <c r="AK182" s="59" t="str">
        <f t="shared" si="1213"/>
        <v/>
      </c>
      <c r="AL182" s="60"/>
      <c r="AM182" s="59" t="str">
        <f t="shared" ref="AM182" si="1282">+IF(OR($F182="",AL182=""),"",$F182*AL182)</f>
        <v/>
      </c>
      <c r="AN182" s="60"/>
      <c r="AO182" s="59" t="str">
        <f t="shared" ref="AO182" si="1283">+IF(OR($F182="",AN182=""),"",$F182*AN182)</f>
        <v/>
      </c>
      <c r="AP182" s="60"/>
      <c r="AQ182" s="59" t="str">
        <f t="shared" ref="AQ182" si="1284">+IF(OR($F182="",AP182=""),"",$F182*AP182)</f>
        <v/>
      </c>
      <c r="AR182" s="60"/>
      <c r="AS182" s="59" t="str">
        <f t="shared" ref="AS182" si="1285">+IF(OR($F182="",AR182=""),"",$F182*AR182)</f>
        <v/>
      </c>
      <c r="AT182" s="60"/>
      <c r="AU182" s="59" t="str">
        <f t="shared" ref="AU182" si="1286">+IF(OR($F182="",AT182=""),"",$F182*AT182)</f>
        <v/>
      </c>
      <c r="AV182" s="60"/>
      <c r="AW182" s="59" t="str">
        <f t="shared" ref="AW182" si="1287">+IF(OR($F182="",AV182=""),"",$F182*AV182)</f>
        <v/>
      </c>
      <c r="AX182" s="60"/>
      <c r="AY182" s="59" t="str">
        <f t="shared" ref="AY182" si="1288">+IF(OR($F182="",AX182=""),"",$F182*AX182)</f>
        <v/>
      </c>
      <c r="AZ182" s="60"/>
      <c r="BA182" s="59" t="str">
        <f t="shared" ref="BA182" si="1289">+IF(OR($F182="",AZ182=""),"",$F182*AZ182)</f>
        <v/>
      </c>
      <c r="BB182" s="60"/>
      <c r="BC182" s="59" t="str">
        <f t="shared" ref="BC182" si="1290">+IF(OR($F182="",BB182=""),"",$F182*BB182)</f>
        <v/>
      </c>
      <c r="BD182" s="61">
        <f t="shared" si="1223"/>
        <v>-1.5</v>
      </c>
      <c r="BE182" s="59">
        <f t="shared" si="1224"/>
        <v>-2258.5650000000001</v>
      </c>
      <c r="BF182" s="61">
        <f t="shared" si="1225"/>
        <v>-3.5</v>
      </c>
      <c r="BG182" s="59">
        <f t="shared" si="1226"/>
        <v>-5269.9850000000006</v>
      </c>
      <c r="BH182" s="196"/>
      <c r="BI182" s="1">
        <f t="shared" si="1227"/>
        <v>0</v>
      </c>
      <c r="BJ182" s="1">
        <f t="shared" si="1228"/>
        <v>0</v>
      </c>
      <c r="BK182" s="1">
        <f t="shared" si="1229"/>
        <v>0</v>
      </c>
      <c r="BL182" s="1">
        <f t="shared" si="1230"/>
        <v>0</v>
      </c>
      <c r="BM182" s="1">
        <f t="shared" si="1231"/>
        <v>0</v>
      </c>
      <c r="BN182" s="1">
        <f t="shared" si="1232"/>
        <v>0</v>
      </c>
      <c r="BO182" s="1">
        <f t="shared" si="1233"/>
        <v>0</v>
      </c>
      <c r="BP182" s="1">
        <f t="shared" si="1234"/>
        <v>0</v>
      </c>
      <c r="BQ182" s="1">
        <f t="shared" si="1235"/>
        <v>0</v>
      </c>
      <c r="BR182" s="1">
        <f t="shared" si="1236"/>
        <v>0</v>
      </c>
      <c r="BS182" s="1">
        <f t="shared" si="1237"/>
        <v>0</v>
      </c>
      <c r="BT182" s="1">
        <f t="shared" si="1238"/>
        <v>0</v>
      </c>
      <c r="BU182" s="1">
        <f t="shared" si="1239"/>
        <v>0</v>
      </c>
      <c r="BV182" s="1">
        <f t="shared" si="1240"/>
        <v>-1.5</v>
      </c>
      <c r="BW182" s="1">
        <f t="shared" si="1241"/>
        <v>0</v>
      </c>
      <c r="BX182" s="1">
        <f t="shared" si="1242"/>
        <v>0</v>
      </c>
      <c r="BY182" s="1">
        <f t="shared" si="1243"/>
        <v>0</v>
      </c>
      <c r="BZ182" s="1">
        <f t="shared" si="1244"/>
        <v>0</v>
      </c>
      <c r="CA182" s="1">
        <f t="shared" si="1245"/>
        <v>0</v>
      </c>
      <c r="CB182" s="1">
        <f t="shared" si="1246"/>
        <v>0</v>
      </c>
      <c r="CC182" s="1">
        <f t="shared" si="1247"/>
        <v>0</v>
      </c>
      <c r="CD182" s="1">
        <f t="shared" si="1248"/>
        <v>0</v>
      </c>
      <c r="CE182" s="1">
        <f t="shared" si="1249"/>
        <v>0</v>
      </c>
      <c r="CF182" s="1">
        <f t="shared" si="1250"/>
        <v>0</v>
      </c>
      <c r="CG182" s="220" t="s">
        <v>1043</v>
      </c>
    </row>
    <row r="183" spans="2:85" ht="31.5" customHeight="1" outlineLevel="1">
      <c r="C183" s="27" t="s">
        <v>912</v>
      </c>
      <c r="D183" s="55">
        <v>-5</v>
      </c>
      <c r="E183" s="88" t="s">
        <v>828</v>
      </c>
      <c r="F183" s="56">
        <v>1505.71</v>
      </c>
      <c r="G183" s="57">
        <f t="shared" ref="G183:G242" si="1291">+D183*F183</f>
        <v>-7528.55</v>
      </c>
      <c r="H183" s="28"/>
      <c r="I183" s="59" t="str">
        <f t="shared" ref="I183:I242" si="1292">+IF(OR($F183="",H183=""),"",$F183*H183)</f>
        <v/>
      </c>
      <c r="J183" s="60"/>
      <c r="K183" s="59" t="str">
        <f t="shared" ref="K183:K242" si="1293">+IF(OR($F183="",J183=""),"",$F183*J183)</f>
        <v/>
      </c>
      <c r="L183" s="60"/>
      <c r="M183" s="59" t="str">
        <f t="shared" ref="M183:M242" si="1294">+IF(OR($F183="",L183=""),"",$F183*L183)</f>
        <v/>
      </c>
      <c r="N183" s="60"/>
      <c r="O183" s="59" t="str">
        <f t="shared" ref="O183:O242" si="1295">+IF(OR($F183="",N183=""),"",$F183*N183)</f>
        <v/>
      </c>
      <c r="P183" s="60"/>
      <c r="Q183" s="59" t="str">
        <f t="shared" ref="Q183:Q242" si="1296">+IF(OR($F183="",P183=""),"",$F183*P183)</f>
        <v/>
      </c>
      <c r="R183" s="60"/>
      <c r="S183" s="59" t="str">
        <f t="shared" ref="S183:S242" si="1297">+IF(OR($F183="",R183=""),"",$F183*R183)</f>
        <v/>
      </c>
      <c r="T183" s="60"/>
      <c r="U183" s="59" t="str">
        <f t="shared" ref="U183:U242" si="1298">+IF(OR($F183="",T183=""),"",$F183*T183)</f>
        <v/>
      </c>
      <c r="V183" s="60"/>
      <c r="W183" s="59" t="str">
        <f t="shared" ref="W183:W242" si="1299">+IF(OR($F183="",V183=""),"",$F183*V183)</f>
        <v/>
      </c>
      <c r="X183" s="95"/>
      <c r="Y183" s="59" t="str">
        <f t="shared" ref="Y183:Y242" si="1300">+IF(OR($F183="",X183=""),"",$F183*X183)</f>
        <v/>
      </c>
      <c r="Z183" s="95"/>
      <c r="AA183" s="59" t="str">
        <f t="shared" ref="AA183:AA242" si="1301">+IF(OR($F183="",Z183=""),"",$F183*Z183)</f>
        <v/>
      </c>
      <c r="AB183" s="60"/>
      <c r="AC183" s="59" t="str">
        <f t="shared" ref="AC183:AC242" si="1302">+IF(OR($F183="",AB183=""),"",$F183*AB183)</f>
        <v/>
      </c>
      <c r="AD183" s="60"/>
      <c r="AE183" s="59" t="str">
        <f t="shared" ref="AE183:AE242" si="1303">+IF(OR($F183="",AD183=""),"",$F183*AD183)</f>
        <v/>
      </c>
      <c r="AF183" s="95"/>
      <c r="AG183" s="59" t="str">
        <f t="shared" ref="AG183" si="1304">+IF(OR($F183="",AF183=""),"",$F183*AF183)</f>
        <v/>
      </c>
      <c r="AH183" s="98">
        <f>0.3*D183</f>
        <v>-1.5</v>
      </c>
      <c r="AI183" s="59">
        <f t="shared" ref="AI183:AK242" si="1305">+IF(OR($F183="",AH183=""),"",$F183*AH183)</f>
        <v>-2258.5650000000001</v>
      </c>
      <c r="AJ183" s="60"/>
      <c r="AK183" s="59" t="str">
        <f t="shared" si="1305"/>
        <v/>
      </c>
      <c r="AL183" s="60"/>
      <c r="AM183" s="59" t="str">
        <f t="shared" ref="AM183" si="1306">+IF(OR($F183="",AL183=""),"",$F183*AL183)</f>
        <v/>
      </c>
      <c r="AN183" s="60"/>
      <c r="AO183" s="59" t="str">
        <f t="shared" ref="AO183" si="1307">+IF(OR($F183="",AN183=""),"",$F183*AN183)</f>
        <v/>
      </c>
      <c r="AP183" s="60"/>
      <c r="AQ183" s="59" t="str">
        <f t="shared" ref="AQ183" si="1308">+IF(OR($F183="",AP183=""),"",$F183*AP183)</f>
        <v/>
      </c>
      <c r="AR183" s="60"/>
      <c r="AS183" s="59" t="str">
        <f t="shared" ref="AS183" si="1309">+IF(OR($F183="",AR183=""),"",$F183*AR183)</f>
        <v/>
      </c>
      <c r="AT183" s="60"/>
      <c r="AU183" s="59" t="str">
        <f t="shared" ref="AU183" si="1310">+IF(OR($F183="",AT183=""),"",$F183*AT183)</f>
        <v/>
      </c>
      <c r="AV183" s="60"/>
      <c r="AW183" s="59" t="str">
        <f t="shared" ref="AW183" si="1311">+IF(OR($F183="",AV183=""),"",$F183*AV183)</f>
        <v/>
      </c>
      <c r="AX183" s="60"/>
      <c r="AY183" s="59" t="str">
        <f t="shared" ref="AY183" si="1312">+IF(OR($F183="",AX183=""),"",$F183*AX183)</f>
        <v/>
      </c>
      <c r="AZ183" s="60"/>
      <c r="BA183" s="59" t="str">
        <f t="shared" ref="BA183" si="1313">+IF(OR($F183="",AZ183=""),"",$F183*AZ183)</f>
        <v/>
      </c>
      <c r="BB183" s="60"/>
      <c r="BC183" s="59" t="str">
        <f t="shared" ref="BC183" si="1314">+IF(OR($F183="",BB183=""),"",$F183*BB183)</f>
        <v/>
      </c>
      <c r="BD183" s="61">
        <f t="shared" ref="BD183:BD242" si="1315">+SUM(BI183:CF183)</f>
        <v>-1.5</v>
      </c>
      <c r="BE183" s="59">
        <f t="shared" ref="BE183:BE242" si="1316">+IF(OR($F183="",BD183=""),"",$F183*BD183)</f>
        <v>-2258.5650000000001</v>
      </c>
      <c r="BF183" s="61">
        <f t="shared" ref="BF183:BF242" si="1317">+D183-BD183</f>
        <v>-3.5</v>
      </c>
      <c r="BG183" s="59">
        <f t="shared" ref="BG183:BG242" si="1318">+IF(OR($F183="",BF183=""),"",$F183*BF183)</f>
        <v>-5269.9850000000006</v>
      </c>
      <c r="BH183" s="196"/>
      <c r="BI183" s="1">
        <f t="shared" ref="BI183:BI242" si="1319">+H183</f>
        <v>0</v>
      </c>
      <c r="BJ183" s="1">
        <f t="shared" ref="BJ183:BJ242" si="1320">+J183</f>
        <v>0</v>
      </c>
      <c r="BK183" s="1">
        <f t="shared" ref="BK183:BK242" si="1321">+L183</f>
        <v>0</v>
      </c>
      <c r="BL183" s="1">
        <f t="shared" ref="BL183:BL242" si="1322">+N183</f>
        <v>0</v>
      </c>
      <c r="BM183" s="1">
        <f t="shared" ref="BM183:BM242" si="1323">+P183</f>
        <v>0</v>
      </c>
      <c r="BN183" s="1">
        <f t="shared" ref="BN183:BN242" si="1324">+R183</f>
        <v>0</v>
      </c>
      <c r="BO183" s="1">
        <f t="shared" ref="BO183:BO242" si="1325">+T183</f>
        <v>0</v>
      </c>
      <c r="BP183" s="1">
        <f t="shared" ref="BP183:BP242" si="1326">+V183</f>
        <v>0</v>
      </c>
      <c r="BQ183" s="1">
        <f t="shared" ref="BQ183:BQ242" si="1327">+X183</f>
        <v>0</v>
      </c>
      <c r="BR183" s="1">
        <f t="shared" ref="BR183:BR242" si="1328">+Z183</f>
        <v>0</v>
      </c>
      <c r="BS183" s="1">
        <f t="shared" ref="BS183:BS242" si="1329">+AB183</f>
        <v>0</v>
      </c>
      <c r="BT183" s="1">
        <f t="shared" ref="BT183:BT242" si="1330">+AD183</f>
        <v>0</v>
      </c>
      <c r="BU183" s="1">
        <f t="shared" ref="BU183:BU242" si="1331">+AF183</f>
        <v>0</v>
      </c>
      <c r="BV183" s="1">
        <f t="shared" ref="BV183:BV242" si="1332">+AH183</f>
        <v>-1.5</v>
      </c>
      <c r="BW183" s="1">
        <f t="shared" ref="BW183:BW242" si="1333">+AJ183</f>
        <v>0</v>
      </c>
      <c r="BX183" s="1">
        <f t="shared" ref="BX183:BX242" si="1334">+AL183</f>
        <v>0</v>
      </c>
      <c r="BY183" s="1">
        <f t="shared" ref="BY183:BY242" si="1335">+AN183</f>
        <v>0</v>
      </c>
      <c r="BZ183" s="1">
        <f t="shared" ref="BZ183:BZ242" si="1336">+AP183</f>
        <v>0</v>
      </c>
      <c r="CA183" s="1">
        <f t="shared" ref="CA183:CA242" si="1337">+AR183</f>
        <v>0</v>
      </c>
      <c r="CB183" s="1">
        <f t="shared" ref="CB183:CB242" si="1338">+AT183</f>
        <v>0</v>
      </c>
      <c r="CC183" s="1">
        <f t="shared" ref="CC183:CC242" si="1339">+AV183</f>
        <v>0</v>
      </c>
      <c r="CD183" s="1">
        <f t="shared" ref="CD183:CD242" si="1340">+AX183</f>
        <v>0</v>
      </c>
      <c r="CE183" s="1">
        <f t="shared" ref="CE183:CE242" si="1341">+AZ183</f>
        <v>0</v>
      </c>
      <c r="CF183" s="1">
        <f t="shared" ref="CF183:CF242" si="1342">+BB183</f>
        <v>0</v>
      </c>
      <c r="CG183" s="221"/>
    </row>
    <row r="184" spans="2:85" ht="31.5" customHeight="1" outlineLevel="1">
      <c r="C184" s="27" t="s">
        <v>913</v>
      </c>
      <c r="D184" s="55">
        <v>10</v>
      </c>
      <c r="E184" s="88" t="s">
        <v>828</v>
      </c>
      <c r="F184" s="56">
        <v>2556.84</v>
      </c>
      <c r="G184" s="57">
        <f t="shared" si="1291"/>
        <v>25568.400000000001</v>
      </c>
      <c r="H184" s="28"/>
      <c r="I184" s="59" t="str">
        <f t="shared" si="1292"/>
        <v/>
      </c>
      <c r="J184" s="60"/>
      <c r="K184" s="59" t="str">
        <f t="shared" si="1293"/>
        <v/>
      </c>
      <c r="L184" s="60"/>
      <c r="M184" s="59" t="str">
        <f t="shared" si="1294"/>
        <v/>
      </c>
      <c r="N184" s="60"/>
      <c r="O184" s="59" t="str">
        <f t="shared" si="1295"/>
        <v/>
      </c>
      <c r="P184" s="60"/>
      <c r="Q184" s="59" t="str">
        <f t="shared" si="1296"/>
        <v/>
      </c>
      <c r="R184" s="60"/>
      <c r="S184" s="59" t="str">
        <f t="shared" si="1297"/>
        <v/>
      </c>
      <c r="T184" s="60"/>
      <c r="U184" s="59" t="str">
        <f t="shared" si="1298"/>
        <v/>
      </c>
      <c r="V184" s="60"/>
      <c r="W184" s="59" t="str">
        <f t="shared" si="1299"/>
        <v/>
      </c>
      <c r="X184" s="95"/>
      <c r="Y184" s="59" t="str">
        <f t="shared" si="1300"/>
        <v/>
      </c>
      <c r="Z184" s="95"/>
      <c r="AA184" s="59" t="str">
        <f t="shared" si="1301"/>
        <v/>
      </c>
      <c r="AB184" s="60"/>
      <c r="AC184" s="59" t="str">
        <f t="shared" si="1302"/>
        <v/>
      </c>
      <c r="AD184" s="60"/>
      <c r="AE184" s="59" t="str">
        <f t="shared" si="1303"/>
        <v/>
      </c>
      <c r="AF184" s="95"/>
      <c r="AG184" s="59" t="str">
        <f t="shared" ref="AG184" si="1343">+IF(OR($F184="",AF184=""),"",$F184*AF184)</f>
        <v/>
      </c>
      <c r="AH184" s="98">
        <f>0.3*D184</f>
        <v>3</v>
      </c>
      <c r="AI184" s="59">
        <f t="shared" si="1305"/>
        <v>7670.52</v>
      </c>
      <c r="AJ184" s="60"/>
      <c r="AK184" s="59" t="str">
        <f t="shared" si="1305"/>
        <v/>
      </c>
      <c r="AL184" s="60"/>
      <c r="AM184" s="59" t="str">
        <f t="shared" ref="AM184" si="1344">+IF(OR($F184="",AL184=""),"",$F184*AL184)</f>
        <v/>
      </c>
      <c r="AN184" s="60"/>
      <c r="AO184" s="59" t="str">
        <f t="shared" ref="AO184" si="1345">+IF(OR($F184="",AN184=""),"",$F184*AN184)</f>
        <v/>
      </c>
      <c r="AP184" s="60"/>
      <c r="AQ184" s="59" t="str">
        <f t="shared" ref="AQ184" si="1346">+IF(OR($F184="",AP184=""),"",$F184*AP184)</f>
        <v/>
      </c>
      <c r="AR184" s="60"/>
      <c r="AS184" s="59" t="str">
        <f t="shared" ref="AS184" si="1347">+IF(OR($F184="",AR184=""),"",$F184*AR184)</f>
        <v/>
      </c>
      <c r="AT184" s="60"/>
      <c r="AU184" s="59" t="str">
        <f t="shared" ref="AU184" si="1348">+IF(OR($F184="",AT184=""),"",$F184*AT184)</f>
        <v/>
      </c>
      <c r="AV184" s="60"/>
      <c r="AW184" s="59" t="str">
        <f t="shared" ref="AW184" si="1349">+IF(OR($F184="",AV184=""),"",$F184*AV184)</f>
        <v/>
      </c>
      <c r="AX184" s="60"/>
      <c r="AY184" s="59" t="str">
        <f t="shared" ref="AY184" si="1350">+IF(OR($F184="",AX184=""),"",$F184*AX184)</f>
        <v/>
      </c>
      <c r="AZ184" s="60"/>
      <c r="BA184" s="59" t="str">
        <f t="shared" ref="BA184" si="1351">+IF(OR($F184="",AZ184=""),"",$F184*AZ184)</f>
        <v/>
      </c>
      <c r="BB184" s="60"/>
      <c r="BC184" s="59" t="str">
        <f t="shared" ref="BC184" si="1352">+IF(OR($F184="",BB184=""),"",$F184*BB184)</f>
        <v/>
      </c>
      <c r="BD184" s="61">
        <f t="shared" si="1315"/>
        <v>3</v>
      </c>
      <c r="BE184" s="59">
        <f t="shared" si="1316"/>
        <v>7670.52</v>
      </c>
      <c r="BF184" s="61">
        <f t="shared" si="1317"/>
        <v>7</v>
      </c>
      <c r="BG184" s="59">
        <f t="shared" si="1318"/>
        <v>17897.88</v>
      </c>
      <c r="BH184" s="196"/>
      <c r="BI184" s="1">
        <f t="shared" si="1319"/>
        <v>0</v>
      </c>
      <c r="BJ184" s="1">
        <f t="shared" si="1320"/>
        <v>0</v>
      </c>
      <c r="BK184" s="1">
        <f t="shared" si="1321"/>
        <v>0</v>
      </c>
      <c r="BL184" s="1">
        <f t="shared" si="1322"/>
        <v>0</v>
      </c>
      <c r="BM184" s="1">
        <f t="shared" si="1323"/>
        <v>0</v>
      </c>
      <c r="BN184" s="1">
        <f t="shared" si="1324"/>
        <v>0</v>
      </c>
      <c r="BO184" s="1">
        <f t="shared" si="1325"/>
        <v>0</v>
      </c>
      <c r="BP184" s="1">
        <f t="shared" si="1326"/>
        <v>0</v>
      </c>
      <c r="BQ184" s="1">
        <f t="shared" si="1327"/>
        <v>0</v>
      </c>
      <c r="BR184" s="1">
        <f t="shared" si="1328"/>
        <v>0</v>
      </c>
      <c r="BS184" s="1">
        <f t="shared" si="1329"/>
        <v>0</v>
      </c>
      <c r="BT184" s="1">
        <f t="shared" si="1330"/>
        <v>0</v>
      </c>
      <c r="BU184" s="1">
        <f t="shared" si="1331"/>
        <v>0</v>
      </c>
      <c r="BV184" s="1">
        <f t="shared" si="1332"/>
        <v>3</v>
      </c>
      <c r="BW184" s="1">
        <f t="shared" si="1333"/>
        <v>0</v>
      </c>
      <c r="BX184" s="1">
        <f t="shared" si="1334"/>
        <v>0</v>
      </c>
      <c r="BY184" s="1">
        <f t="shared" si="1335"/>
        <v>0</v>
      </c>
      <c r="BZ184" s="1">
        <f t="shared" si="1336"/>
        <v>0</v>
      </c>
      <c r="CA184" s="1">
        <f t="shared" si="1337"/>
        <v>0</v>
      </c>
      <c r="CB184" s="1">
        <f t="shared" si="1338"/>
        <v>0</v>
      </c>
      <c r="CC184" s="1">
        <f t="shared" si="1339"/>
        <v>0</v>
      </c>
      <c r="CD184" s="1">
        <f t="shared" si="1340"/>
        <v>0</v>
      </c>
      <c r="CE184" s="1">
        <f t="shared" si="1341"/>
        <v>0</v>
      </c>
      <c r="CF184" s="1">
        <f t="shared" si="1342"/>
        <v>0</v>
      </c>
      <c r="CG184" s="221"/>
    </row>
    <row r="185" spans="2:85" s="6" customFormat="1" ht="18" customHeight="1">
      <c r="B185" s="62" t="s">
        <v>977</v>
      </c>
      <c r="C185" s="25" t="s">
        <v>944</v>
      </c>
      <c r="D185" s="49"/>
      <c r="E185" s="85"/>
      <c r="F185" s="50"/>
      <c r="G185" s="63">
        <f>+SUM(G186:G188)</f>
        <v>3542</v>
      </c>
      <c r="H185" s="51"/>
      <c r="I185" s="52" t="str">
        <f>IF(SUM(I186:I188)=0,"",SUM(I186:I188))</f>
        <v/>
      </c>
      <c r="J185" s="53"/>
      <c r="K185" s="52" t="str">
        <f>IF(SUM(K186:K188)=0,"",SUM(K186:K188))</f>
        <v/>
      </c>
      <c r="L185" s="53"/>
      <c r="M185" s="52" t="str">
        <f>IF(SUM(M186:M188)=0,"",SUM(M186:M188))</f>
        <v/>
      </c>
      <c r="N185" s="53"/>
      <c r="O185" s="52" t="str">
        <f>IF(SUM(O186:O188)=0,"",SUM(O186:O188))</f>
        <v/>
      </c>
      <c r="P185" s="51"/>
      <c r="Q185" s="52" t="str">
        <f>IF(SUM(Q186:Q188)=0,"",SUM(Q186:Q188))</f>
        <v/>
      </c>
      <c r="R185" s="53"/>
      <c r="S185" s="52" t="str">
        <f>IF(SUM(S186:S188)=0,"",SUM(S186:S188))</f>
        <v/>
      </c>
      <c r="T185" s="53"/>
      <c r="U185" s="52" t="str">
        <f>IF(SUM(U186:U188)=0,"",SUM(U186:U188))</f>
        <v/>
      </c>
      <c r="V185" s="53"/>
      <c r="W185" s="52" t="str">
        <f>IF(SUM(W186:W188)=0,"",SUM(W186:W188))</f>
        <v/>
      </c>
      <c r="X185" s="51"/>
      <c r="Y185" s="52" t="str">
        <f>IF(SUM(Y186:Y188)=0,"",SUM(Y186:Y188))</f>
        <v/>
      </c>
      <c r="Z185" s="53"/>
      <c r="AA185" s="52" t="str">
        <f>IF(SUM(AA186:AA188)=0,"",SUM(AA186:AA188))</f>
        <v/>
      </c>
      <c r="AB185" s="53"/>
      <c r="AC185" s="52" t="str">
        <f>IF(SUM(AC186:AC188)=0,"",SUM(AC186:AC188))</f>
        <v/>
      </c>
      <c r="AD185" s="53"/>
      <c r="AE185" s="52" t="str">
        <f>IF(SUM(AE186:AE188)=0,"",SUM(AE186:AE188))</f>
        <v/>
      </c>
      <c r="AF185" s="192"/>
      <c r="AG185" s="52" t="str">
        <f>IF(SUM(AG186:AG188)=0,"",SUM(AG186:AG188))</f>
        <v/>
      </c>
      <c r="AH185" s="91"/>
      <c r="AI185" s="52">
        <f>IF(SUM(AI186:AI188)=0,"",SUM(AI186:AI188))</f>
        <v>3542</v>
      </c>
      <c r="AJ185" s="53"/>
      <c r="AK185" s="52" t="str">
        <f>IF(SUM(AK186:AK189)=0,"",SUM(AK186:AK189))</f>
        <v/>
      </c>
      <c r="AL185" s="53"/>
      <c r="AM185" s="52" t="str">
        <f>IF(SUM(AM186:AM189)=0,"",SUM(AM186:AM189))</f>
        <v/>
      </c>
      <c r="AN185" s="51"/>
      <c r="AO185" s="52" t="str">
        <f>IF(SUM(AO186:AO189)=0,"",SUM(AO186:AO189))</f>
        <v/>
      </c>
      <c r="AP185" s="53"/>
      <c r="AQ185" s="52" t="str">
        <f>IF(SUM(AQ186:AQ189)=0,"",SUM(AQ186:AQ189))</f>
        <v/>
      </c>
      <c r="AR185" s="53"/>
      <c r="AS185" s="52" t="str">
        <f>IF(SUM(AS186:AS189)=0,"",SUM(AS186:AS189))</f>
        <v/>
      </c>
      <c r="AT185" s="53"/>
      <c r="AU185" s="52" t="str">
        <f>IF(SUM(AU186:AU189)=0,"",SUM(AU186:AU189))</f>
        <v/>
      </c>
      <c r="AV185" s="51"/>
      <c r="AW185" s="52" t="str">
        <f>IF(SUM(AW186:AW189)=0,"",SUM(AW186:AW189))</f>
        <v/>
      </c>
      <c r="AX185" s="53"/>
      <c r="AY185" s="52" t="str">
        <f>IF(SUM(AY186:AY189)=0,"",SUM(AY186:AY189))</f>
        <v/>
      </c>
      <c r="AZ185" s="53"/>
      <c r="BA185" s="52" t="str">
        <f>IF(SUM(BA186:BA189)=0,"",SUM(BA186:BA189))</f>
        <v/>
      </c>
      <c r="BB185" s="53"/>
      <c r="BC185" s="52" t="str">
        <f>IF(SUM(BC186:BC189)=0,"",SUM(BC186:BC189))</f>
        <v/>
      </c>
      <c r="BD185" s="54"/>
      <c r="BE185" s="63">
        <f>+SUM(BE186:BE188)</f>
        <v>3542</v>
      </c>
      <c r="BF185" s="54"/>
      <c r="BG185" s="52">
        <f>+SUM(BG186:BG188)</f>
        <v>0</v>
      </c>
      <c r="BH185" s="210"/>
      <c r="BI185" s="18">
        <f t="shared" si="1319"/>
        <v>0</v>
      </c>
      <c r="BJ185" s="18">
        <f t="shared" si="1320"/>
        <v>0</v>
      </c>
      <c r="BK185" s="18">
        <f t="shared" si="1321"/>
        <v>0</v>
      </c>
      <c r="BL185" s="18">
        <f t="shared" si="1322"/>
        <v>0</v>
      </c>
      <c r="BM185" s="18">
        <f t="shared" si="1323"/>
        <v>0</v>
      </c>
      <c r="BN185" s="18">
        <f t="shared" si="1324"/>
        <v>0</v>
      </c>
      <c r="BO185" s="18">
        <f t="shared" si="1325"/>
        <v>0</v>
      </c>
      <c r="BP185" s="18">
        <f t="shared" si="1326"/>
        <v>0</v>
      </c>
      <c r="BQ185" s="18">
        <f t="shared" si="1327"/>
        <v>0</v>
      </c>
      <c r="BR185" s="18">
        <f t="shared" si="1328"/>
        <v>0</v>
      </c>
      <c r="BS185" s="18">
        <f t="shared" si="1329"/>
        <v>0</v>
      </c>
      <c r="BT185" s="18">
        <f t="shared" si="1330"/>
        <v>0</v>
      </c>
      <c r="BU185" s="18">
        <f t="shared" si="1331"/>
        <v>0</v>
      </c>
      <c r="BV185" s="18">
        <f t="shared" si="1332"/>
        <v>0</v>
      </c>
      <c r="BW185" s="18">
        <f t="shared" si="1333"/>
        <v>0</v>
      </c>
      <c r="BX185" s="18">
        <f t="shared" si="1334"/>
        <v>0</v>
      </c>
      <c r="BY185" s="18">
        <f t="shared" si="1335"/>
        <v>0</v>
      </c>
      <c r="BZ185" s="18">
        <f t="shared" si="1336"/>
        <v>0</v>
      </c>
      <c r="CA185" s="18">
        <f t="shared" si="1337"/>
        <v>0</v>
      </c>
      <c r="CB185" s="18">
        <f t="shared" si="1338"/>
        <v>0</v>
      </c>
      <c r="CC185" s="18">
        <f t="shared" si="1339"/>
        <v>0</v>
      </c>
      <c r="CD185" s="18">
        <f t="shared" si="1340"/>
        <v>0</v>
      </c>
      <c r="CE185" s="18">
        <f t="shared" si="1341"/>
        <v>0</v>
      </c>
      <c r="CF185" s="18">
        <f t="shared" si="1342"/>
        <v>0</v>
      </c>
    </row>
    <row r="186" spans="2:85" ht="56.25" outlineLevel="1">
      <c r="C186" s="27" t="s">
        <v>950</v>
      </c>
      <c r="D186" s="55">
        <v>-5</v>
      </c>
      <c r="E186" s="88" t="s">
        <v>828</v>
      </c>
      <c r="F186" s="56">
        <v>632.5</v>
      </c>
      <c r="G186" s="57">
        <f t="shared" si="1291"/>
        <v>-3162.5</v>
      </c>
      <c r="H186" s="28"/>
      <c r="I186" s="59" t="str">
        <f t="shared" si="1292"/>
        <v/>
      </c>
      <c r="J186" s="60"/>
      <c r="K186" s="59" t="str">
        <f t="shared" si="1293"/>
        <v/>
      </c>
      <c r="L186" s="60"/>
      <c r="M186" s="59" t="str">
        <f t="shared" si="1294"/>
        <v/>
      </c>
      <c r="N186" s="60"/>
      <c r="O186" s="59" t="str">
        <f t="shared" si="1295"/>
        <v/>
      </c>
      <c r="P186" s="60"/>
      <c r="Q186" s="59" t="str">
        <f t="shared" si="1296"/>
        <v/>
      </c>
      <c r="R186" s="60"/>
      <c r="S186" s="59" t="str">
        <f t="shared" si="1297"/>
        <v/>
      </c>
      <c r="T186" s="60"/>
      <c r="U186" s="59" t="str">
        <f t="shared" si="1298"/>
        <v/>
      </c>
      <c r="V186" s="60"/>
      <c r="W186" s="59" t="str">
        <f t="shared" si="1299"/>
        <v/>
      </c>
      <c r="X186" s="95"/>
      <c r="Y186" s="59" t="str">
        <f t="shared" si="1300"/>
        <v/>
      </c>
      <c r="Z186" s="95"/>
      <c r="AA186" s="59" t="str">
        <f t="shared" si="1301"/>
        <v/>
      </c>
      <c r="AB186" s="60"/>
      <c r="AC186" s="59" t="str">
        <f t="shared" si="1302"/>
        <v/>
      </c>
      <c r="AD186" s="60"/>
      <c r="AE186" s="59" t="str">
        <f t="shared" si="1303"/>
        <v/>
      </c>
      <c r="AF186" s="95"/>
      <c r="AG186" s="59" t="str">
        <f t="shared" ref="AG186" si="1353">+IF(OR($F186="",AF186=""),"",$F186*AF186)</f>
        <v/>
      </c>
      <c r="AH186" s="98">
        <f>+D186</f>
        <v>-5</v>
      </c>
      <c r="AI186" s="59">
        <f t="shared" si="1305"/>
        <v>-3162.5</v>
      </c>
      <c r="AJ186" s="60"/>
      <c r="AK186" s="59" t="str">
        <f t="shared" si="1305"/>
        <v/>
      </c>
      <c r="AL186" s="60"/>
      <c r="AM186" s="59" t="str">
        <f t="shared" ref="AM186" si="1354">+IF(OR($F186="",AL186=""),"",$F186*AL186)</f>
        <v/>
      </c>
      <c r="AN186" s="60"/>
      <c r="AO186" s="59" t="str">
        <f t="shared" ref="AO186" si="1355">+IF(OR($F186="",AN186=""),"",$F186*AN186)</f>
        <v/>
      </c>
      <c r="AP186" s="60"/>
      <c r="AQ186" s="59" t="str">
        <f t="shared" ref="AQ186" si="1356">+IF(OR($F186="",AP186=""),"",$F186*AP186)</f>
        <v/>
      </c>
      <c r="AR186" s="60"/>
      <c r="AS186" s="59" t="str">
        <f t="shared" ref="AS186" si="1357">+IF(OR($F186="",AR186=""),"",$F186*AR186)</f>
        <v/>
      </c>
      <c r="AT186" s="60"/>
      <c r="AU186" s="59" t="str">
        <f t="shared" ref="AU186" si="1358">+IF(OR($F186="",AT186=""),"",$F186*AT186)</f>
        <v/>
      </c>
      <c r="AV186" s="60"/>
      <c r="AW186" s="59" t="str">
        <f t="shared" ref="AW186" si="1359">+IF(OR($F186="",AV186=""),"",$F186*AV186)</f>
        <v/>
      </c>
      <c r="AX186" s="60"/>
      <c r="AY186" s="59" t="str">
        <f t="shared" ref="AY186" si="1360">+IF(OR($F186="",AX186=""),"",$F186*AX186)</f>
        <v/>
      </c>
      <c r="AZ186" s="60"/>
      <c r="BA186" s="59" t="str">
        <f t="shared" ref="BA186" si="1361">+IF(OR($F186="",AZ186=""),"",$F186*AZ186)</f>
        <v/>
      </c>
      <c r="BB186" s="60"/>
      <c r="BC186" s="59" t="str">
        <f t="shared" ref="BC186" si="1362">+IF(OR($F186="",BB186=""),"",$F186*BB186)</f>
        <v/>
      </c>
      <c r="BD186" s="61">
        <f t="shared" si="1315"/>
        <v>-5</v>
      </c>
      <c r="BE186" s="59">
        <f t="shared" si="1316"/>
        <v>-3162.5</v>
      </c>
      <c r="BF186" s="61">
        <f t="shared" si="1317"/>
        <v>0</v>
      </c>
      <c r="BG186" s="59">
        <f t="shared" si="1318"/>
        <v>0</v>
      </c>
      <c r="BH186" s="196"/>
      <c r="BI186" s="1">
        <f t="shared" si="1319"/>
        <v>0</v>
      </c>
      <c r="BJ186" s="1">
        <f t="shared" si="1320"/>
        <v>0</v>
      </c>
      <c r="BK186" s="1">
        <f t="shared" si="1321"/>
        <v>0</v>
      </c>
      <c r="BL186" s="1">
        <f t="shared" si="1322"/>
        <v>0</v>
      </c>
      <c r="BM186" s="1">
        <f t="shared" si="1323"/>
        <v>0</v>
      </c>
      <c r="BN186" s="1">
        <f t="shared" si="1324"/>
        <v>0</v>
      </c>
      <c r="BO186" s="1">
        <f t="shared" si="1325"/>
        <v>0</v>
      </c>
      <c r="BP186" s="1">
        <f t="shared" si="1326"/>
        <v>0</v>
      </c>
      <c r="BQ186" s="1">
        <f t="shared" si="1327"/>
        <v>0</v>
      </c>
      <c r="BR186" s="1">
        <f t="shared" si="1328"/>
        <v>0</v>
      </c>
      <c r="BS186" s="1">
        <f t="shared" si="1329"/>
        <v>0</v>
      </c>
      <c r="BT186" s="1">
        <f t="shared" si="1330"/>
        <v>0</v>
      </c>
      <c r="BU186" s="1">
        <f t="shared" si="1331"/>
        <v>0</v>
      </c>
      <c r="BV186" s="1">
        <f t="shared" si="1332"/>
        <v>-5</v>
      </c>
      <c r="BW186" s="1">
        <f t="shared" si="1333"/>
        <v>0</v>
      </c>
      <c r="BX186" s="1">
        <f t="shared" si="1334"/>
        <v>0</v>
      </c>
      <c r="BY186" s="1">
        <f t="shared" si="1335"/>
        <v>0</v>
      </c>
      <c r="BZ186" s="1">
        <f t="shared" si="1336"/>
        <v>0</v>
      </c>
      <c r="CA186" s="1">
        <f t="shared" si="1337"/>
        <v>0</v>
      </c>
      <c r="CB186" s="1">
        <f t="shared" si="1338"/>
        <v>0</v>
      </c>
      <c r="CC186" s="1">
        <f t="shared" si="1339"/>
        <v>0</v>
      </c>
      <c r="CD186" s="1">
        <f t="shared" si="1340"/>
        <v>0</v>
      </c>
      <c r="CE186" s="1">
        <f t="shared" si="1341"/>
        <v>0</v>
      </c>
      <c r="CF186" s="1">
        <f t="shared" si="1342"/>
        <v>0</v>
      </c>
      <c r="CG186" s="220" t="s">
        <v>1044</v>
      </c>
    </row>
    <row r="187" spans="2:85" ht="67.5" outlineLevel="1">
      <c r="C187" s="27" t="s">
        <v>951</v>
      </c>
      <c r="D187" s="55">
        <v>8</v>
      </c>
      <c r="E187" s="88" t="s">
        <v>828</v>
      </c>
      <c r="F187" s="56">
        <v>632.5</v>
      </c>
      <c r="G187" s="57">
        <f t="shared" si="1291"/>
        <v>5060</v>
      </c>
      <c r="H187" s="28"/>
      <c r="I187" s="59" t="str">
        <f t="shared" si="1292"/>
        <v/>
      </c>
      <c r="J187" s="60"/>
      <c r="K187" s="59" t="str">
        <f t="shared" si="1293"/>
        <v/>
      </c>
      <c r="L187" s="60"/>
      <c r="M187" s="59" t="str">
        <f t="shared" si="1294"/>
        <v/>
      </c>
      <c r="N187" s="60"/>
      <c r="O187" s="59" t="str">
        <f t="shared" si="1295"/>
        <v/>
      </c>
      <c r="P187" s="60"/>
      <c r="Q187" s="59" t="str">
        <f t="shared" si="1296"/>
        <v/>
      </c>
      <c r="R187" s="60"/>
      <c r="S187" s="59" t="str">
        <f t="shared" si="1297"/>
        <v/>
      </c>
      <c r="T187" s="60"/>
      <c r="U187" s="59" t="str">
        <f t="shared" si="1298"/>
        <v/>
      </c>
      <c r="V187" s="60"/>
      <c r="W187" s="59" t="str">
        <f t="shared" si="1299"/>
        <v/>
      </c>
      <c r="X187" s="95"/>
      <c r="Y187" s="59" t="str">
        <f t="shared" si="1300"/>
        <v/>
      </c>
      <c r="Z187" s="95"/>
      <c r="AA187" s="59" t="str">
        <f t="shared" si="1301"/>
        <v/>
      </c>
      <c r="AB187" s="60"/>
      <c r="AC187" s="59" t="str">
        <f t="shared" si="1302"/>
        <v/>
      </c>
      <c r="AD187" s="60"/>
      <c r="AE187" s="59" t="str">
        <f t="shared" si="1303"/>
        <v/>
      </c>
      <c r="AF187" s="95"/>
      <c r="AG187" s="59" t="str">
        <f t="shared" ref="AG187" si="1363">+IF(OR($F187="",AF187=""),"",$F187*AF187)</f>
        <v/>
      </c>
      <c r="AH187" s="98">
        <f t="shared" ref="AH187:AH188" si="1364">+D187</f>
        <v>8</v>
      </c>
      <c r="AI187" s="59">
        <f t="shared" si="1305"/>
        <v>5060</v>
      </c>
      <c r="AJ187" s="60"/>
      <c r="AK187" s="59" t="str">
        <f t="shared" si="1305"/>
        <v/>
      </c>
      <c r="AL187" s="60"/>
      <c r="AM187" s="59" t="str">
        <f t="shared" ref="AM187" si="1365">+IF(OR($F187="",AL187=""),"",$F187*AL187)</f>
        <v/>
      </c>
      <c r="AN187" s="60"/>
      <c r="AO187" s="59" t="str">
        <f t="shared" ref="AO187" si="1366">+IF(OR($F187="",AN187=""),"",$F187*AN187)</f>
        <v/>
      </c>
      <c r="AP187" s="60"/>
      <c r="AQ187" s="59" t="str">
        <f t="shared" ref="AQ187" si="1367">+IF(OR($F187="",AP187=""),"",$F187*AP187)</f>
        <v/>
      </c>
      <c r="AR187" s="60"/>
      <c r="AS187" s="59" t="str">
        <f t="shared" ref="AS187" si="1368">+IF(OR($F187="",AR187=""),"",$F187*AR187)</f>
        <v/>
      </c>
      <c r="AT187" s="60"/>
      <c r="AU187" s="59" t="str">
        <f t="shared" ref="AU187" si="1369">+IF(OR($F187="",AT187=""),"",$F187*AT187)</f>
        <v/>
      </c>
      <c r="AV187" s="60"/>
      <c r="AW187" s="59" t="str">
        <f t="shared" ref="AW187" si="1370">+IF(OR($F187="",AV187=""),"",$F187*AV187)</f>
        <v/>
      </c>
      <c r="AX187" s="60"/>
      <c r="AY187" s="59" t="str">
        <f t="shared" ref="AY187" si="1371">+IF(OR($F187="",AX187=""),"",$F187*AX187)</f>
        <v/>
      </c>
      <c r="AZ187" s="60"/>
      <c r="BA187" s="59" t="str">
        <f t="shared" ref="BA187" si="1372">+IF(OR($F187="",AZ187=""),"",$F187*AZ187)</f>
        <v/>
      </c>
      <c r="BB187" s="60"/>
      <c r="BC187" s="59" t="str">
        <f t="shared" ref="BC187" si="1373">+IF(OR($F187="",BB187=""),"",$F187*BB187)</f>
        <v/>
      </c>
      <c r="BD187" s="61">
        <f t="shared" si="1315"/>
        <v>8</v>
      </c>
      <c r="BE187" s="59">
        <f t="shared" si="1316"/>
        <v>5060</v>
      </c>
      <c r="BF187" s="61">
        <f t="shared" si="1317"/>
        <v>0</v>
      </c>
      <c r="BG187" s="59">
        <f t="shared" si="1318"/>
        <v>0</v>
      </c>
      <c r="BH187" s="196"/>
      <c r="BI187" s="1">
        <f t="shared" si="1319"/>
        <v>0</v>
      </c>
      <c r="BJ187" s="1">
        <f t="shared" si="1320"/>
        <v>0</v>
      </c>
      <c r="BK187" s="1">
        <f t="shared" si="1321"/>
        <v>0</v>
      </c>
      <c r="BL187" s="1">
        <f t="shared" si="1322"/>
        <v>0</v>
      </c>
      <c r="BM187" s="1">
        <f t="shared" si="1323"/>
        <v>0</v>
      </c>
      <c r="BN187" s="1">
        <f t="shared" si="1324"/>
        <v>0</v>
      </c>
      <c r="BO187" s="1">
        <f t="shared" si="1325"/>
        <v>0</v>
      </c>
      <c r="BP187" s="1">
        <f t="shared" si="1326"/>
        <v>0</v>
      </c>
      <c r="BQ187" s="1">
        <f t="shared" si="1327"/>
        <v>0</v>
      </c>
      <c r="BR187" s="1">
        <f t="shared" si="1328"/>
        <v>0</v>
      </c>
      <c r="BS187" s="1">
        <f t="shared" si="1329"/>
        <v>0</v>
      </c>
      <c r="BT187" s="1">
        <f t="shared" si="1330"/>
        <v>0</v>
      </c>
      <c r="BU187" s="1">
        <f t="shared" si="1331"/>
        <v>0</v>
      </c>
      <c r="BV187" s="1">
        <f t="shared" si="1332"/>
        <v>8</v>
      </c>
      <c r="BW187" s="1">
        <f t="shared" si="1333"/>
        <v>0</v>
      </c>
      <c r="BX187" s="1">
        <f t="shared" si="1334"/>
        <v>0</v>
      </c>
      <c r="BY187" s="1">
        <f t="shared" si="1335"/>
        <v>0</v>
      </c>
      <c r="BZ187" s="1">
        <f t="shared" si="1336"/>
        <v>0</v>
      </c>
      <c r="CA187" s="1">
        <f t="shared" si="1337"/>
        <v>0</v>
      </c>
      <c r="CB187" s="1">
        <f t="shared" si="1338"/>
        <v>0</v>
      </c>
      <c r="CC187" s="1">
        <f t="shared" si="1339"/>
        <v>0</v>
      </c>
      <c r="CD187" s="1">
        <f t="shared" si="1340"/>
        <v>0</v>
      </c>
      <c r="CE187" s="1">
        <f t="shared" si="1341"/>
        <v>0</v>
      </c>
      <c r="CF187" s="1">
        <f t="shared" si="1342"/>
        <v>0</v>
      </c>
      <c r="CG187" s="221"/>
    </row>
    <row r="188" spans="2:85" ht="31.5" customHeight="1" outlineLevel="1">
      <c r="C188" s="27" t="s">
        <v>914</v>
      </c>
      <c r="D188" s="55">
        <v>5</v>
      </c>
      <c r="E188" s="88" t="s">
        <v>828</v>
      </c>
      <c r="F188" s="56">
        <v>328.9</v>
      </c>
      <c r="G188" s="57">
        <f t="shared" si="1291"/>
        <v>1644.5</v>
      </c>
      <c r="H188" s="28"/>
      <c r="I188" s="59" t="str">
        <f t="shared" si="1292"/>
        <v/>
      </c>
      <c r="J188" s="60"/>
      <c r="K188" s="59" t="str">
        <f t="shared" si="1293"/>
        <v/>
      </c>
      <c r="L188" s="60"/>
      <c r="M188" s="59" t="str">
        <f t="shared" si="1294"/>
        <v/>
      </c>
      <c r="N188" s="60"/>
      <c r="O188" s="59" t="str">
        <f t="shared" si="1295"/>
        <v/>
      </c>
      <c r="P188" s="60"/>
      <c r="Q188" s="59" t="str">
        <f t="shared" si="1296"/>
        <v/>
      </c>
      <c r="R188" s="60"/>
      <c r="S188" s="59" t="str">
        <f t="shared" si="1297"/>
        <v/>
      </c>
      <c r="T188" s="60"/>
      <c r="U188" s="59" t="str">
        <f t="shared" si="1298"/>
        <v/>
      </c>
      <c r="V188" s="60"/>
      <c r="W188" s="59" t="str">
        <f t="shared" si="1299"/>
        <v/>
      </c>
      <c r="X188" s="95"/>
      <c r="Y188" s="59" t="str">
        <f t="shared" si="1300"/>
        <v/>
      </c>
      <c r="Z188" s="95"/>
      <c r="AA188" s="59" t="str">
        <f t="shared" si="1301"/>
        <v/>
      </c>
      <c r="AB188" s="60"/>
      <c r="AC188" s="59" t="str">
        <f t="shared" si="1302"/>
        <v/>
      </c>
      <c r="AD188" s="60"/>
      <c r="AE188" s="59" t="str">
        <f t="shared" si="1303"/>
        <v/>
      </c>
      <c r="AF188" s="95"/>
      <c r="AG188" s="59" t="str">
        <f t="shared" ref="AG188" si="1374">+IF(OR($F188="",AF188=""),"",$F188*AF188)</f>
        <v/>
      </c>
      <c r="AH188" s="98">
        <f t="shared" si="1364"/>
        <v>5</v>
      </c>
      <c r="AI188" s="59">
        <f t="shared" si="1305"/>
        <v>1644.5</v>
      </c>
      <c r="AJ188" s="60"/>
      <c r="AK188" s="59" t="str">
        <f t="shared" si="1305"/>
        <v/>
      </c>
      <c r="AL188" s="60"/>
      <c r="AM188" s="59" t="str">
        <f t="shared" ref="AM188" si="1375">+IF(OR($F188="",AL188=""),"",$F188*AL188)</f>
        <v/>
      </c>
      <c r="AN188" s="60"/>
      <c r="AO188" s="59" t="str">
        <f t="shared" ref="AO188" si="1376">+IF(OR($F188="",AN188=""),"",$F188*AN188)</f>
        <v/>
      </c>
      <c r="AP188" s="60"/>
      <c r="AQ188" s="59" t="str">
        <f t="shared" ref="AQ188" si="1377">+IF(OR($F188="",AP188=""),"",$F188*AP188)</f>
        <v/>
      </c>
      <c r="AR188" s="60"/>
      <c r="AS188" s="59" t="str">
        <f t="shared" ref="AS188" si="1378">+IF(OR($F188="",AR188=""),"",$F188*AR188)</f>
        <v/>
      </c>
      <c r="AT188" s="60"/>
      <c r="AU188" s="59" t="str">
        <f t="shared" ref="AU188" si="1379">+IF(OR($F188="",AT188=""),"",$F188*AT188)</f>
        <v/>
      </c>
      <c r="AV188" s="60"/>
      <c r="AW188" s="59" t="str">
        <f t="shared" ref="AW188" si="1380">+IF(OR($F188="",AV188=""),"",$F188*AV188)</f>
        <v/>
      </c>
      <c r="AX188" s="60"/>
      <c r="AY188" s="59" t="str">
        <f t="shared" ref="AY188" si="1381">+IF(OR($F188="",AX188=""),"",$F188*AX188)</f>
        <v/>
      </c>
      <c r="AZ188" s="60"/>
      <c r="BA188" s="59" t="str">
        <f t="shared" ref="BA188" si="1382">+IF(OR($F188="",AZ188=""),"",$F188*AZ188)</f>
        <v/>
      </c>
      <c r="BB188" s="60"/>
      <c r="BC188" s="59" t="str">
        <f t="shared" ref="BC188" si="1383">+IF(OR($F188="",BB188=""),"",$F188*BB188)</f>
        <v/>
      </c>
      <c r="BD188" s="61">
        <f t="shared" si="1315"/>
        <v>5</v>
      </c>
      <c r="BE188" s="59">
        <f t="shared" si="1316"/>
        <v>1644.5</v>
      </c>
      <c r="BF188" s="61">
        <f t="shared" si="1317"/>
        <v>0</v>
      </c>
      <c r="BG188" s="59">
        <f t="shared" si="1318"/>
        <v>0</v>
      </c>
      <c r="BH188" s="196"/>
      <c r="BI188" s="1">
        <f t="shared" si="1319"/>
        <v>0</v>
      </c>
      <c r="BJ188" s="1">
        <f t="shared" si="1320"/>
        <v>0</v>
      </c>
      <c r="BK188" s="1">
        <f t="shared" si="1321"/>
        <v>0</v>
      </c>
      <c r="BL188" s="1">
        <f t="shared" si="1322"/>
        <v>0</v>
      </c>
      <c r="BM188" s="1">
        <f t="shared" si="1323"/>
        <v>0</v>
      </c>
      <c r="BN188" s="1">
        <f t="shared" si="1324"/>
        <v>0</v>
      </c>
      <c r="BO188" s="1">
        <f t="shared" si="1325"/>
        <v>0</v>
      </c>
      <c r="BP188" s="1">
        <f t="shared" si="1326"/>
        <v>0</v>
      </c>
      <c r="BQ188" s="1">
        <f t="shared" si="1327"/>
        <v>0</v>
      </c>
      <c r="BR188" s="1">
        <f t="shared" si="1328"/>
        <v>0</v>
      </c>
      <c r="BS188" s="1">
        <f t="shared" si="1329"/>
        <v>0</v>
      </c>
      <c r="BT188" s="1">
        <f t="shared" si="1330"/>
        <v>0</v>
      </c>
      <c r="BU188" s="1">
        <f t="shared" si="1331"/>
        <v>0</v>
      </c>
      <c r="BV188" s="1">
        <f t="shared" si="1332"/>
        <v>5</v>
      </c>
      <c r="BW188" s="1">
        <f t="shared" si="1333"/>
        <v>0</v>
      </c>
      <c r="BX188" s="1">
        <f t="shared" si="1334"/>
        <v>0</v>
      </c>
      <c r="BY188" s="1">
        <f t="shared" si="1335"/>
        <v>0</v>
      </c>
      <c r="BZ188" s="1">
        <f t="shared" si="1336"/>
        <v>0</v>
      </c>
      <c r="CA188" s="1">
        <f t="shared" si="1337"/>
        <v>0</v>
      </c>
      <c r="CB188" s="1">
        <f t="shared" si="1338"/>
        <v>0</v>
      </c>
      <c r="CC188" s="1">
        <f t="shared" si="1339"/>
        <v>0</v>
      </c>
      <c r="CD188" s="1">
        <f t="shared" si="1340"/>
        <v>0</v>
      </c>
      <c r="CE188" s="1">
        <f t="shared" si="1341"/>
        <v>0</v>
      </c>
      <c r="CF188" s="1">
        <f t="shared" si="1342"/>
        <v>0</v>
      </c>
      <c r="CG188" s="221"/>
    </row>
    <row r="189" spans="2:85" s="6" customFormat="1" ht="18" customHeight="1">
      <c r="B189" s="62" t="s">
        <v>978</v>
      </c>
      <c r="C189" s="25" t="s">
        <v>945</v>
      </c>
      <c r="D189" s="49"/>
      <c r="E189" s="85"/>
      <c r="F189" s="50"/>
      <c r="G189" s="63">
        <f>+SUM(G190:G191)</f>
        <v>1585.7629999999999</v>
      </c>
      <c r="H189" s="51"/>
      <c r="I189" s="52" t="str">
        <f>IF(SUM(I190:I191)=0,"",SUM(I190:I191))</f>
        <v/>
      </c>
      <c r="J189" s="53"/>
      <c r="K189" s="52" t="str">
        <f>IF(SUM(K190:K191)=0,"",SUM(K190:K191))</f>
        <v/>
      </c>
      <c r="L189" s="53"/>
      <c r="M189" s="52" t="str">
        <f>IF(SUM(M190:M191)=0,"",SUM(M190:M191))</f>
        <v/>
      </c>
      <c r="N189" s="53"/>
      <c r="O189" s="52" t="str">
        <f>IF(SUM(O190:O191)=0,"",SUM(O190:O191))</f>
        <v/>
      </c>
      <c r="P189" s="51"/>
      <c r="Q189" s="52" t="str">
        <f>IF(SUM(Q190:Q191)=0,"",SUM(Q190:Q191))</f>
        <v/>
      </c>
      <c r="R189" s="53"/>
      <c r="S189" s="52" t="str">
        <f>IF(SUM(S190:S191)=0,"",SUM(S190:S191))</f>
        <v/>
      </c>
      <c r="T189" s="53"/>
      <c r="U189" s="52" t="str">
        <f>IF(SUM(U190:U191)=0,"",SUM(U190:U191))</f>
        <v/>
      </c>
      <c r="V189" s="53"/>
      <c r="W189" s="52" t="str">
        <f>IF(SUM(W190:W191)=0,"",SUM(W190:W191))</f>
        <v/>
      </c>
      <c r="X189" s="51"/>
      <c r="Y189" s="52" t="str">
        <f>IF(SUM(Y190:Y191)=0,"",SUM(Y190:Y191))</f>
        <v/>
      </c>
      <c r="Z189" s="53"/>
      <c r="AA189" s="52" t="str">
        <f>IF(SUM(AA190:AA191)=0,"",SUM(AA190:AA191))</f>
        <v/>
      </c>
      <c r="AB189" s="53"/>
      <c r="AC189" s="52" t="str">
        <f>IF(SUM(AC190:AC191)=0,"",SUM(AC190:AC191))</f>
        <v/>
      </c>
      <c r="AD189" s="53"/>
      <c r="AE189" s="52" t="str">
        <f>IF(SUM(AE190:AE191)=0,"",SUM(AE190:AE191))</f>
        <v/>
      </c>
      <c r="AF189" s="192"/>
      <c r="AG189" s="52" t="str">
        <f>IF(SUM(AG190:AG191)=0,"",SUM(AG190:AG191))</f>
        <v/>
      </c>
      <c r="AH189" s="91"/>
      <c r="AI189" s="52">
        <f>IF(SUM(AI190:AI191)=0,"",SUM(AI190:AI191))</f>
        <v>1585.7629999999999</v>
      </c>
      <c r="AJ189" s="53"/>
      <c r="AK189" s="52" t="str">
        <f>IF(SUM(AK190:AK191)=0,"",SUM(AK190:AK191))</f>
        <v/>
      </c>
      <c r="AL189" s="53"/>
      <c r="AM189" s="52" t="str">
        <f>IF(SUM(AM190:AM191)=0,"",SUM(AM190:AM191))</f>
        <v/>
      </c>
      <c r="AN189" s="51"/>
      <c r="AO189" s="52" t="str">
        <f>IF(SUM(AO190:AO191)=0,"",SUM(AO190:AO191))</f>
        <v/>
      </c>
      <c r="AP189" s="53"/>
      <c r="AQ189" s="52" t="str">
        <f>IF(SUM(AQ190:AQ191)=0,"",SUM(AQ190:AQ191))</f>
        <v/>
      </c>
      <c r="AR189" s="53"/>
      <c r="AS189" s="52" t="str">
        <f>IF(SUM(AS190:AS191)=0,"",SUM(AS190:AS191))</f>
        <v/>
      </c>
      <c r="AT189" s="53"/>
      <c r="AU189" s="52" t="str">
        <f>IF(SUM(AU190:AU191)=0,"",SUM(AU190:AU191))</f>
        <v/>
      </c>
      <c r="AV189" s="51"/>
      <c r="AW189" s="52" t="str">
        <f>IF(SUM(AW190:AW191)=0,"",SUM(AW190:AW191))</f>
        <v/>
      </c>
      <c r="AX189" s="53"/>
      <c r="AY189" s="52" t="str">
        <f>IF(SUM(AY190:AY191)=0,"",SUM(AY190:AY191))</f>
        <v/>
      </c>
      <c r="AZ189" s="53"/>
      <c r="BA189" s="52" t="str">
        <f>IF(SUM(BA190:BA191)=0,"",SUM(BA190:BA191))</f>
        <v/>
      </c>
      <c r="BB189" s="53"/>
      <c r="BC189" s="52" t="str">
        <f>IF(SUM(BC190:BC191)=0,"",SUM(BC190:BC191))</f>
        <v/>
      </c>
      <c r="BD189" s="54"/>
      <c r="BE189" s="63">
        <f>+SUM(BE190:BE191)</f>
        <v>1585.7629999999999</v>
      </c>
      <c r="BF189" s="54"/>
      <c r="BG189" s="52">
        <f>+SUM(BG190:BG191)</f>
        <v>0</v>
      </c>
      <c r="BH189" s="210"/>
      <c r="BI189" s="18">
        <f t="shared" si="1319"/>
        <v>0</v>
      </c>
      <c r="BJ189" s="18">
        <f t="shared" si="1320"/>
        <v>0</v>
      </c>
      <c r="BK189" s="18">
        <f t="shared" si="1321"/>
        <v>0</v>
      </c>
      <c r="BL189" s="18">
        <f t="shared" si="1322"/>
        <v>0</v>
      </c>
      <c r="BM189" s="18">
        <f t="shared" si="1323"/>
        <v>0</v>
      </c>
      <c r="BN189" s="18">
        <f t="shared" si="1324"/>
        <v>0</v>
      </c>
      <c r="BO189" s="18">
        <f t="shared" si="1325"/>
        <v>0</v>
      </c>
      <c r="BP189" s="18">
        <f t="shared" si="1326"/>
        <v>0</v>
      </c>
      <c r="BQ189" s="18">
        <f t="shared" si="1327"/>
        <v>0</v>
      </c>
      <c r="BR189" s="18">
        <f t="shared" si="1328"/>
        <v>0</v>
      </c>
      <c r="BS189" s="18">
        <f t="shared" si="1329"/>
        <v>0</v>
      </c>
      <c r="BT189" s="18">
        <f t="shared" si="1330"/>
        <v>0</v>
      </c>
      <c r="BU189" s="18">
        <f t="shared" si="1331"/>
        <v>0</v>
      </c>
      <c r="BV189" s="18">
        <f t="shared" si="1332"/>
        <v>0</v>
      </c>
      <c r="BW189" s="18">
        <f t="shared" si="1333"/>
        <v>0</v>
      </c>
      <c r="BX189" s="18">
        <f t="shared" si="1334"/>
        <v>0</v>
      </c>
      <c r="BY189" s="18">
        <f t="shared" si="1335"/>
        <v>0</v>
      </c>
      <c r="BZ189" s="18">
        <f t="shared" si="1336"/>
        <v>0</v>
      </c>
      <c r="CA189" s="18">
        <f t="shared" si="1337"/>
        <v>0</v>
      </c>
      <c r="CB189" s="18">
        <f t="shared" si="1338"/>
        <v>0</v>
      </c>
      <c r="CC189" s="18">
        <f t="shared" si="1339"/>
        <v>0</v>
      </c>
      <c r="CD189" s="18">
        <f t="shared" si="1340"/>
        <v>0</v>
      </c>
      <c r="CE189" s="18">
        <f t="shared" si="1341"/>
        <v>0</v>
      </c>
      <c r="CF189" s="18">
        <f t="shared" si="1342"/>
        <v>0</v>
      </c>
    </row>
    <row r="190" spans="2:85" ht="22.5" outlineLevel="1">
      <c r="C190" s="27" t="s">
        <v>952</v>
      </c>
      <c r="D190" s="55">
        <v>171.45</v>
      </c>
      <c r="E190" s="88" t="s">
        <v>874</v>
      </c>
      <c r="F190" s="56">
        <v>4.8600000000000003</v>
      </c>
      <c r="G190" s="57">
        <f t="shared" si="1291"/>
        <v>833.24699999999996</v>
      </c>
      <c r="H190" s="28"/>
      <c r="I190" s="59" t="str">
        <f t="shared" si="1292"/>
        <v/>
      </c>
      <c r="J190" s="60"/>
      <c r="K190" s="59" t="str">
        <f t="shared" si="1293"/>
        <v/>
      </c>
      <c r="L190" s="60"/>
      <c r="M190" s="59" t="str">
        <f t="shared" si="1294"/>
        <v/>
      </c>
      <c r="N190" s="60"/>
      <c r="O190" s="59" t="str">
        <f t="shared" si="1295"/>
        <v/>
      </c>
      <c r="P190" s="60"/>
      <c r="Q190" s="59" t="str">
        <f t="shared" si="1296"/>
        <v/>
      </c>
      <c r="R190" s="60"/>
      <c r="S190" s="59" t="str">
        <f t="shared" si="1297"/>
        <v/>
      </c>
      <c r="T190" s="60"/>
      <c r="U190" s="59" t="str">
        <f t="shared" si="1298"/>
        <v/>
      </c>
      <c r="V190" s="60"/>
      <c r="W190" s="59" t="str">
        <f t="shared" si="1299"/>
        <v/>
      </c>
      <c r="X190" s="95"/>
      <c r="Y190" s="59" t="str">
        <f t="shared" si="1300"/>
        <v/>
      </c>
      <c r="Z190" s="95"/>
      <c r="AA190" s="59" t="str">
        <f t="shared" si="1301"/>
        <v/>
      </c>
      <c r="AB190" s="60"/>
      <c r="AC190" s="59" t="str">
        <f t="shared" si="1302"/>
        <v/>
      </c>
      <c r="AD190" s="60"/>
      <c r="AE190" s="59" t="str">
        <f t="shared" si="1303"/>
        <v/>
      </c>
      <c r="AF190" s="95"/>
      <c r="AG190" s="59" t="str">
        <f t="shared" ref="AG190" si="1384">+IF(OR($F190="",AF190=""),"",$F190*AF190)</f>
        <v/>
      </c>
      <c r="AH190" s="95">
        <f>+D190</f>
        <v>171.45</v>
      </c>
      <c r="AI190" s="59">
        <f t="shared" si="1305"/>
        <v>833.24699999999996</v>
      </c>
      <c r="AJ190" s="60"/>
      <c r="AK190" s="59" t="str">
        <f t="shared" si="1305"/>
        <v/>
      </c>
      <c r="AL190" s="60"/>
      <c r="AM190" s="59" t="str">
        <f t="shared" ref="AM190" si="1385">+IF(OR($F190="",AL190=""),"",$F190*AL190)</f>
        <v/>
      </c>
      <c r="AN190" s="60"/>
      <c r="AO190" s="59" t="str">
        <f t="shared" ref="AO190" si="1386">+IF(OR($F190="",AN190=""),"",$F190*AN190)</f>
        <v/>
      </c>
      <c r="AP190" s="60"/>
      <c r="AQ190" s="59" t="str">
        <f t="shared" ref="AQ190" si="1387">+IF(OR($F190="",AP190=""),"",$F190*AP190)</f>
        <v/>
      </c>
      <c r="AR190" s="60"/>
      <c r="AS190" s="59" t="str">
        <f t="shared" ref="AS190" si="1388">+IF(OR($F190="",AR190=""),"",$F190*AR190)</f>
        <v/>
      </c>
      <c r="AT190" s="60"/>
      <c r="AU190" s="59" t="str">
        <f t="shared" ref="AU190" si="1389">+IF(OR($F190="",AT190=""),"",$F190*AT190)</f>
        <v/>
      </c>
      <c r="AV190" s="60"/>
      <c r="AW190" s="59" t="str">
        <f t="shared" ref="AW190" si="1390">+IF(OR($F190="",AV190=""),"",$F190*AV190)</f>
        <v/>
      </c>
      <c r="AX190" s="60"/>
      <c r="AY190" s="59" t="str">
        <f t="shared" ref="AY190" si="1391">+IF(OR($F190="",AX190=""),"",$F190*AX190)</f>
        <v/>
      </c>
      <c r="AZ190" s="60"/>
      <c r="BA190" s="59" t="str">
        <f t="shared" ref="BA190" si="1392">+IF(OR($F190="",AZ190=""),"",$F190*AZ190)</f>
        <v/>
      </c>
      <c r="BB190" s="60"/>
      <c r="BC190" s="59" t="str">
        <f t="shared" ref="BC190" si="1393">+IF(OR($F190="",BB190=""),"",$F190*BB190)</f>
        <v/>
      </c>
      <c r="BD190" s="61">
        <f t="shared" si="1315"/>
        <v>171.45</v>
      </c>
      <c r="BE190" s="59">
        <f t="shared" si="1316"/>
        <v>833.24699999999996</v>
      </c>
      <c r="BF190" s="61">
        <f t="shared" si="1317"/>
        <v>0</v>
      </c>
      <c r="BG190" s="59">
        <f t="shared" si="1318"/>
        <v>0</v>
      </c>
      <c r="BH190" s="196"/>
      <c r="BI190" s="1">
        <f t="shared" si="1319"/>
        <v>0</v>
      </c>
      <c r="BJ190" s="1">
        <f t="shared" si="1320"/>
        <v>0</v>
      </c>
      <c r="BK190" s="1">
        <f t="shared" si="1321"/>
        <v>0</v>
      </c>
      <c r="BL190" s="1">
        <f t="shared" si="1322"/>
        <v>0</v>
      </c>
      <c r="BM190" s="1">
        <f t="shared" si="1323"/>
        <v>0</v>
      </c>
      <c r="BN190" s="1">
        <f t="shared" si="1324"/>
        <v>0</v>
      </c>
      <c r="BO190" s="1">
        <f t="shared" si="1325"/>
        <v>0</v>
      </c>
      <c r="BP190" s="1">
        <f t="shared" si="1326"/>
        <v>0</v>
      </c>
      <c r="BQ190" s="1">
        <f t="shared" si="1327"/>
        <v>0</v>
      </c>
      <c r="BR190" s="1">
        <f t="shared" si="1328"/>
        <v>0</v>
      </c>
      <c r="BS190" s="1">
        <f t="shared" si="1329"/>
        <v>0</v>
      </c>
      <c r="BT190" s="1">
        <f t="shared" si="1330"/>
        <v>0</v>
      </c>
      <c r="BU190" s="1">
        <f t="shared" si="1331"/>
        <v>0</v>
      </c>
      <c r="BV190" s="1">
        <f t="shared" si="1332"/>
        <v>171.45</v>
      </c>
      <c r="BW190" s="1">
        <f t="shared" si="1333"/>
        <v>0</v>
      </c>
      <c r="BX190" s="1">
        <f t="shared" si="1334"/>
        <v>0</v>
      </c>
      <c r="BY190" s="1">
        <f t="shared" si="1335"/>
        <v>0</v>
      </c>
      <c r="BZ190" s="1">
        <f t="shared" si="1336"/>
        <v>0</v>
      </c>
      <c r="CA190" s="1">
        <f t="shared" si="1337"/>
        <v>0</v>
      </c>
      <c r="CB190" s="1">
        <f t="shared" si="1338"/>
        <v>0</v>
      </c>
      <c r="CC190" s="1">
        <f t="shared" si="1339"/>
        <v>0</v>
      </c>
      <c r="CD190" s="1">
        <f t="shared" si="1340"/>
        <v>0</v>
      </c>
      <c r="CE190" s="1">
        <f t="shared" si="1341"/>
        <v>0</v>
      </c>
      <c r="CF190" s="1">
        <f t="shared" si="1342"/>
        <v>0</v>
      </c>
    </row>
    <row r="191" spans="2:85" ht="22.5" outlineLevel="1">
      <c r="C191" s="27" t="s">
        <v>952</v>
      </c>
      <c r="D191" s="55">
        <v>420.4</v>
      </c>
      <c r="E191" s="88" t="s">
        <v>874</v>
      </c>
      <c r="F191" s="56">
        <v>1.79</v>
      </c>
      <c r="G191" s="57">
        <f t="shared" si="1291"/>
        <v>752.51599999999996</v>
      </c>
      <c r="H191" s="28"/>
      <c r="I191" s="59" t="str">
        <f t="shared" si="1292"/>
        <v/>
      </c>
      <c r="J191" s="60"/>
      <c r="K191" s="59" t="str">
        <f t="shared" si="1293"/>
        <v/>
      </c>
      <c r="L191" s="60"/>
      <c r="M191" s="59" t="str">
        <f t="shared" si="1294"/>
        <v/>
      </c>
      <c r="N191" s="60"/>
      <c r="O191" s="59" t="str">
        <f t="shared" si="1295"/>
        <v/>
      </c>
      <c r="P191" s="60"/>
      <c r="Q191" s="59" t="str">
        <f t="shared" si="1296"/>
        <v/>
      </c>
      <c r="R191" s="60"/>
      <c r="S191" s="59" t="str">
        <f t="shared" si="1297"/>
        <v/>
      </c>
      <c r="T191" s="60"/>
      <c r="U191" s="59" t="str">
        <f t="shared" si="1298"/>
        <v/>
      </c>
      <c r="V191" s="60"/>
      <c r="W191" s="59" t="str">
        <f t="shared" si="1299"/>
        <v/>
      </c>
      <c r="X191" s="95"/>
      <c r="Y191" s="59" t="str">
        <f t="shared" si="1300"/>
        <v/>
      </c>
      <c r="Z191" s="95"/>
      <c r="AA191" s="59" t="str">
        <f t="shared" si="1301"/>
        <v/>
      </c>
      <c r="AB191" s="60"/>
      <c r="AC191" s="59" t="str">
        <f t="shared" si="1302"/>
        <v/>
      </c>
      <c r="AD191" s="60"/>
      <c r="AE191" s="59" t="str">
        <f t="shared" si="1303"/>
        <v/>
      </c>
      <c r="AF191" s="95"/>
      <c r="AG191" s="59" t="str">
        <f t="shared" ref="AG191" si="1394">+IF(OR($F191="",AF191=""),"",$F191*AF191)</f>
        <v/>
      </c>
      <c r="AH191" s="95">
        <f>+D191</f>
        <v>420.4</v>
      </c>
      <c r="AI191" s="59">
        <f t="shared" si="1305"/>
        <v>752.51599999999996</v>
      </c>
      <c r="AJ191" s="60"/>
      <c r="AK191" s="59" t="str">
        <f t="shared" si="1305"/>
        <v/>
      </c>
      <c r="AL191" s="60"/>
      <c r="AM191" s="59" t="str">
        <f t="shared" ref="AM191" si="1395">+IF(OR($F191="",AL191=""),"",$F191*AL191)</f>
        <v/>
      </c>
      <c r="AN191" s="60"/>
      <c r="AO191" s="59" t="str">
        <f t="shared" ref="AO191" si="1396">+IF(OR($F191="",AN191=""),"",$F191*AN191)</f>
        <v/>
      </c>
      <c r="AP191" s="60"/>
      <c r="AQ191" s="59" t="str">
        <f t="shared" ref="AQ191" si="1397">+IF(OR($F191="",AP191=""),"",$F191*AP191)</f>
        <v/>
      </c>
      <c r="AR191" s="60"/>
      <c r="AS191" s="59" t="str">
        <f t="shared" ref="AS191" si="1398">+IF(OR($F191="",AR191=""),"",$F191*AR191)</f>
        <v/>
      </c>
      <c r="AT191" s="60"/>
      <c r="AU191" s="59" t="str">
        <f t="shared" ref="AU191" si="1399">+IF(OR($F191="",AT191=""),"",$F191*AT191)</f>
        <v/>
      </c>
      <c r="AV191" s="60"/>
      <c r="AW191" s="59" t="str">
        <f t="shared" ref="AW191" si="1400">+IF(OR($F191="",AV191=""),"",$F191*AV191)</f>
        <v/>
      </c>
      <c r="AX191" s="60"/>
      <c r="AY191" s="59" t="str">
        <f t="shared" ref="AY191" si="1401">+IF(OR($F191="",AX191=""),"",$F191*AX191)</f>
        <v/>
      </c>
      <c r="AZ191" s="60"/>
      <c r="BA191" s="59" t="str">
        <f t="shared" ref="BA191" si="1402">+IF(OR($F191="",AZ191=""),"",$F191*AZ191)</f>
        <v/>
      </c>
      <c r="BB191" s="60"/>
      <c r="BC191" s="59" t="str">
        <f t="shared" ref="BC191" si="1403">+IF(OR($F191="",BB191=""),"",$F191*BB191)</f>
        <v/>
      </c>
      <c r="BD191" s="61">
        <f t="shared" si="1315"/>
        <v>420.4</v>
      </c>
      <c r="BE191" s="59">
        <f t="shared" si="1316"/>
        <v>752.51599999999996</v>
      </c>
      <c r="BF191" s="61">
        <f t="shared" si="1317"/>
        <v>0</v>
      </c>
      <c r="BG191" s="59">
        <f t="shared" si="1318"/>
        <v>0</v>
      </c>
      <c r="BH191" s="196"/>
      <c r="BI191" s="1">
        <f t="shared" si="1319"/>
        <v>0</v>
      </c>
      <c r="BJ191" s="1">
        <f t="shared" si="1320"/>
        <v>0</v>
      </c>
      <c r="BK191" s="1">
        <f t="shared" si="1321"/>
        <v>0</v>
      </c>
      <c r="BL191" s="1">
        <f t="shared" si="1322"/>
        <v>0</v>
      </c>
      <c r="BM191" s="1">
        <f t="shared" si="1323"/>
        <v>0</v>
      </c>
      <c r="BN191" s="1">
        <f t="shared" si="1324"/>
        <v>0</v>
      </c>
      <c r="BO191" s="1">
        <f t="shared" si="1325"/>
        <v>0</v>
      </c>
      <c r="BP191" s="1">
        <f t="shared" si="1326"/>
        <v>0</v>
      </c>
      <c r="BQ191" s="1">
        <f t="shared" si="1327"/>
        <v>0</v>
      </c>
      <c r="BR191" s="1">
        <f t="shared" si="1328"/>
        <v>0</v>
      </c>
      <c r="BS191" s="1">
        <f t="shared" si="1329"/>
        <v>0</v>
      </c>
      <c r="BT191" s="1">
        <f t="shared" si="1330"/>
        <v>0</v>
      </c>
      <c r="BU191" s="1">
        <f t="shared" si="1331"/>
        <v>0</v>
      </c>
      <c r="BV191" s="1">
        <f t="shared" si="1332"/>
        <v>420.4</v>
      </c>
      <c r="BW191" s="1">
        <f t="shared" si="1333"/>
        <v>0</v>
      </c>
      <c r="BX191" s="1">
        <f t="shared" si="1334"/>
        <v>0</v>
      </c>
      <c r="BY191" s="1">
        <f t="shared" si="1335"/>
        <v>0</v>
      </c>
      <c r="BZ191" s="1">
        <f t="shared" si="1336"/>
        <v>0</v>
      </c>
      <c r="CA191" s="1">
        <f t="shared" si="1337"/>
        <v>0</v>
      </c>
      <c r="CB191" s="1">
        <f t="shared" si="1338"/>
        <v>0</v>
      </c>
      <c r="CC191" s="1">
        <f t="shared" si="1339"/>
        <v>0</v>
      </c>
      <c r="CD191" s="1">
        <f t="shared" si="1340"/>
        <v>0</v>
      </c>
      <c r="CE191" s="1">
        <f t="shared" si="1341"/>
        <v>0</v>
      </c>
      <c r="CF191" s="1">
        <f t="shared" si="1342"/>
        <v>0</v>
      </c>
    </row>
    <row r="192" spans="2:85" s="6" customFormat="1" ht="18" customHeight="1">
      <c r="B192" s="62" t="s">
        <v>979</v>
      </c>
      <c r="C192" s="25" t="s">
        <v>946</v>
      </c>
      <c r="D192" s="49"/>
      <c r="E192" s="85"/>
      <c r="F192" s="50"/>
      <c r="G192" s="63">
        <f>+SUM(G193:G196)</f>
        <v>5991.5839999999998</v>
      </c>
      <c r="H192" s="51"/>
      <c r="I192" s="52" t="str">
        <f>IF(SUM(I193:I196)=0,"",SUM(I193:I196))</f>
        <v/>
      </c>
      <c r="J192" s="53"/>
      <c r="K192" s="52" t="str">
        <f>IF(SUM(K193:K196)=0,"",SUM(K193:K196))</f>
        <v/>
      </c>
      <c r="L192" s="53"/>
      <c r="M192" s="52" t="str">
        <f>IF(SUM(M193:M196)=0,"",SUM(M193:M196))</f>
        <v/>
      </c>
      <c r="N192" s="53"/>
      <c r="O192" s="52" t="str">
        <f>IF(SUM(O193:O196)=0,"",SUM(O193:O196))</f>
        <v/>
      </c>
      <c r="P192" s="51"/>
      <c r="Q192" s="52" t="str">
        <f>IF(SUM(Q193:Q196)=0,"",SUM(Q193:Q196))</f>
        <v/>
      </c>
      <c r="R192" s="53"/>
      <c r="S192" s="52" t="str">
        <f>IF(SUM(S193:S196)=0,"",SUM(S193:S196))</f>
        <v/>
      </c>
      <c r="T192" s="53"/>
      <c r="U192" s="52" t="str">
        <f>IF(SUM(U193:U196)=0,"",SUM(U193:U196))</f>
        <v/>
      </c>
      <c r="V192" s="53"/>
      <c r="W192" s="52" t="str">
        <f>IF(SUM(W193:W196)=0,"",SUM(W193:W196))</f>
        <v/>
      </c>
      <c r="X192" s="51"/>
      <c r="Y192" s="52" t="str">
        <f>IF(SUM(Y193:Y196)=0,"",SUM(Y193:Y196))</f>
        <v/>
      </c>
      <c r="Z192" s="53"/>
      <c r="AA192" s="52" t="str">
        <f>IF(SUM(AA193:AA196)=0,"",SUM(AA193:AA196))</f>
        <v/>
      </c>
      <c r="AB192" s="53"/>
      <c r="AC192" s="52" t="str">
        <f>IF(SUM(AC193:AC196)=0,"",SUM(AC193:AC196))</f>
        <v/>
      </c>
      <c r="AD192" s="53"/>
      <c r="AE192" s="52" t="str">
        <f>IF(SUM(AE193:AE196)=0,"",SUM(AE193:AE196))</f>
        <v/>
      </c>
      <c r="AF192" s="192"/>
      <c r="AG192" s="52" t="str">
        <f>IF(SUM(AG193:AG196)=0,"",SUM(AG193:AG196))</f>
        <v/>
      </c>
      <c r="AH192" s="91"/>
      <c r="AI192" s="52">
        <f>IF(SUM(AI193:AI196)=0,"",SUM(AI193:AI196))</f>
        <v>2785.5839999999998</v>
      </c>
      <c r="AJ192" s="53"/>
      <c r="AK192" s="52" t="str">
        <f>IF(SUM(AK193:AK196)=0,"",SUM(AK193:AK196))</f>
        <v/>
      </c>
      <c r="AL192" s="53"/>
      <c r="AM192" s="52" t="str">
        <f>IF(SUM(AM193:AM196)=0,"",SUM(AM193:AM196))</f>
        <v/>
      </c>
      <c r="AN192" s="51"/>
      <c r="AO192" s="52" t="str">
        <f>IF(SUM(AO193:AO196)=0,"",SUM(AO193:AO196))</f>
        <v/>
      </c>
      <c r="AP192" s="53"/>
      <c r="AQ192" s="52" t="str">
        <f>IF(SUM(AQ193:AQ196)=0,"",SUM(AQ193:AQ196))</f>
        <v/>
      </c>
      <c r="AR192" s="53"/>
      <c r="AS192" s="52" t="str">
        <f>IF(SUM(AS193:AS196)=0,"",SUM(AS193:AS196))</f>
        <v/>
      </c>
      <c r="AT192" s="53"/>
      <c r="AU192" s="52" t="str">
        <f>IF(SUM(AU193:AU196)=0,"",SUM(AU193:AU196))</f>
        <v/>
      </c>
      <c r="AV192" s="51"/>
      <c r="AW192" s="52" t="str">
        <f>IF(SUM(AW193:AW196)=0,"",SUM(AW193:AW196))</f>
        <v/>
      </c>
      <c r="AX192" s="53"/>
      <c r="AY192" s="52" t="str">
        <f>IF(SUM(AY193:AY196)=0,"",SUM(AY193:AY196))</f>
        <v/>
      </c>
      <c r="AZ192" s="53"/>
      <c r="BA192" s="52" t="str">
        <f>IF(SUM(BA193:BA196)=0,"",SUM(BA193:BA196))</f>
        <v/>
      </c>
      <c r="BB192" s="53"/>
      <c r="BC192" s="52" t="str">
        <f>IF(SUM(BC193:BC196)=0,"",SUM(BC193:BC196))</f>
        <v/>
      </c>
      <c r="BD192" s="54"/>
      <c r="BE192" s="63">
        <f>+SUM(BE193:BE196)</f>
        <v>2785.5839999999998</v>
      </c>
      <c r="BF192" s="54"/>
      <c r="BG192" s="52">
        <f>+SUM(BG193:BG196)</f>
        <v>3206</v>
      </c>
      <c r="BH192" s="210"/>
      <c r="BI192" s="18">
        <f t="shared" si="1319"/>
        <v>0</v>
      </c>
      <c r="BJ192" s="18">
        <f t="shared" si="1320"/>
        <v>0</v>
      </c>
      <c r="BK192" s="18">
        <f t="shared" si="1321"/>
        <v>0</v>
      </c>
      <c r="BL192" s="18">
        <f t="shared" si="1322"/>
        <v>0</v>
      </c>
      <c r="BM192" s="18">
        <f t="shared" si="1323"/>
        <v>0</v>
      </c>
      <c r="BN192" s="18">
        <f t="shared" si="1324"/>
        <v>0</v>
      </c>
      <c r="BO192" s="18">
        <f t="shared" si="1325"/>
        <v>0</v>
      </c>
      <c r="BP192" s="18">
        <f t="shared" si="1326"/>
        <v>0</v>
      </c>
      <c r="BQ192" s="18">
        <f t="shared" si="1327"/>
        <v>0</v>
      </c>
      <c r="BR192" s="18">
        <f t="shared" si="1328"/>
        <v>0</v>
      </c>
      <c r="BS192" s="18">
        <f t="shared" si="1329"/>
        <v>0</v>
      </c>
      <c r="BT192" s="18">
        <f t="shared" si="1330"/>
        <v>0</v>
      </c>
      <c r="BU192" s="18">
        <f t="shared" si="1331"/>
        <v>0</v>
      </c>
      <c r="BV192" s="18">
        <f t="shared" si="1332"/>
        <v>0</v>
      </c>
      <c r="BW192" s="18">
        <f t="shared" si="1333"/>
        <v>0</v>
      </c>
      <c r="BX192" s="18">
        <f t="shared" si="1334"/>
        <v>0</v>
      </c>
      <c r="BY192" s="18">
        <f t="shared" si="1335"/>
        <v>0</v>
      </c>
      <c r="BZ192" s="18">
        <f t="shared" si="1336"/>
        <v>0</v>
      </c>
      <c r="CA192" s="18">
        <f t="shared" si="1337"/>
        <v>0</v>
      </c>
      <c r="CB192" s="18">
        <f t="shared" si="1338"/>
        <v>0</v>
      </c>
      <c r="CC192" s="18">
        <f t="shared" si="1339"/>
        <v>0</v>
      </c>
      <c r="CD192" s="18">
        <f t="shared" si="1340"/>
        <v>0</v>
      </c>
      <c r="CE192" s="18">
        <f t="shared" si="1341"/>
        <v>0</v>
      </c>
      <c r="CF192" s="18">
        <f t="shared" si="1342"/>
        <v>0</v>
      </c>
    </row>
    <row r="193" spans="2:84" ht="31.5" customHeight="1" outlineLevel="1">
      <c r="C193" s="27" t="s">
        <v>915</v>
      </c>
      <c r="D193" s="55">
        <v>54.72</v>
      </c>
      <c r="E193" s="88" t="s">
        <v>874</v>
      </c>
      <c r="F193" s="56">
        <v>37.200000000000003</v>
      </c>
      <c r="G193" s="57">
        <f t="shared" si="1291"/>
        <v>2035.5840000000001</v>
      </c>
      <c r="H193" s="28"/>
      <c r="I193" s="59" t="str">
        <f t="shared" si="1292"/>
        <v/>
      </c>
      <c r="J193" s="60"/>
      <c r="K193" s="59" t="str">
        <f t="shared" si="1293"/>
        <v/>
      </c>
      <c r="L193" s="60"/>
      <c r="M193" s="59" t="str">
        <f t="shared" si="1294"/>
        <v/>
      </c>
      <c r="N193" s="60"/>
      <c r="O193" s="59" t="str">
        <f t="shared" si="1295"/>
        <v/>
      </c>
      <c r="P193" s="60"/>
      <c r="Q193" s="59" t="str">
        <f t="shared" si="1296"/>
        <v/>
      </c>
      <c r="R193" s="60"/>
      <c r="S193" s="59" t="str">
        <f t="shared" si="1297"/>
        <v/>
      </c>
      <c r="T193" s="60"/>
      <c r="U193" s="59" t="str">
        <f t="shared" si="1298"/>
        <v/>
      </c>
      <c r="V193" s="60"/>
      <c r="W193" s="59" t="str">
        <f t="shared" si="1299"/>
        <v/>
      </c>
      <c r="X193" s="95"/>
      <c r="Y193" s="59" t="str">
        <f t="shared" si="1300"/>
        <v/>
      </c>
      <c r="Z193" s="95"/>
      <c r="AA193" s="59" t="str">
        <f t="shared" si="1301"/>
        <v/>
      </c>
      <c r="AB193" s="60"/>
      <c r="AC193" s="59" t="str">
        <f t="shared" si="1302"/>
        <v/>
      </c>
      <c r="AD193" s="60"/>
      <c r="AE193" s="59" t="str">
        <f t="shared" si="1303"/>
        <v/>
      </c>
      <c r="AF193" s="95"/>
      <c r="AG193" s="59" t="str">
        <f t="shared" ref="AG193" si="1404">+IF(OR($F193="",AF193=""),"",$F193*AF193)</f>
        <v/>
      </c>
      <c r="AH193" s="95">
        <f t="shared" ref="AH193" si="1405">+D193</f>
        <v>54.72</v>
      </c>
      <c r="AI193" s="59">
        <f t="shared" si="1305"/>
        <v>2035.5840000000001</v>
      </c>
      <c r="AJ193" s="60"/>
      <c r="AK193" s="59" t="str">
        <f t="shared" si="1305"/>
        <v/>
      </c>
      <c r="AL193" s="60"/>
      <c r="AM193" s="59" t="str">
        <f t="shared" ref="AM193" si="1406">+IF(OR($F193="",AL193=""),"",$F193*AL193)</f>
        <v/>
      </c>
      <c r="AN193" s="60"/>
      <c r="AO193" s="59" t="str">
        <f t="shared" ref="AO193" si="1407">+IF(OR($F193="",AN193=""),"",$F193*AN193)</f>
        <v/>
      </c>
      <c r="AP193" s="60"/>
      <c r="AQ193" s="59" t="str">
        <f t="shared" ref="AQ193" si="1408">+IF(OR($F193="",AP193=""),"",$F193*AP193)</f>
        <v/>
      </c>
      <c r="AR193" s="60"/>
      <c r="AS193" s="59" t="str">
        <f t="shared" ref="AS193" si="1409">+IF(OR($F193="",AR193=""),"",$F193*AR193)</f>
        <v/>
      </c>
      <c r="AT193" s="60"/>
      <c r="AU193" s="59" t="str">
        <f t="shared" ref="AU193" si="1410">+IF(OR($F193="",AT193=""),"",$F193*AT193)</f>
        <v/>
      </c>
      <c r="AV193" s="60"/>
      <c r="AW193" s="59" t="str">
        <f t="shared" ref="AW193" si="1411">+IF(OR($F193="",AV193=""),"",$F193*AV193)</f>
        <v/>
      </c>
      <c r="AX193" s="60"/>
      <c r="AY193" s="59" t="str">
        <f t="shared" ref="AY193" si="1412">+IF(OR($F193="",AX193=""),"",$F193*AX193)</f>
        <v/>
      </c>
      <c r="AZ193" s="60"/>
      <c r="BA193" s="59" t="str">
        <f t="shared" ref="BA193" si="1413">+IF(OR($F193="",AZ193=""),"",$F193*AZ193)</f>
        <v/>
      </c>
      <c r="BB193" s="60"/>
      <c r="BC193" s="59" t="str">
        <f t="shared" ref="BC193" si="1414">+IF(OR($F193="",BB193=""),"",$F193*BB193)</f>
        <v/>
      </c>
      <c r="BD193" s="61">
        <f t="shared" si="1315"/>
        <v>54.72</v>
      </c>
      <c r="BE193" s="59">
        <f t="shared" si="1316"/>
        <v>2035.5840000000001</v>
      </c>
      <c r="BF193" s="61">
        <f t="shared" si="1317"/>
        <v>0</v>
      </c>
      <c r="BG193" s="59">
        <f t="shared" si="1318"/>
        <v>0</v>
      </c>
      <c r="BH193" s="196"/>
      <c r="BI193" s="1">
        <f t="shared" si="1319"/>
        <v>0</v>
      </c>
      <c r="BJ193" s="1">
        <f t="shared" si="1320"/>
        <v>0</v>
      </c>
      <c r="BK193" s="1">
        <f t="shared" si="1321"/>
        <v>0</v>
      </c>
      <c r="BL193" s="1">
        <f t="shared" si="1322"/>
        <v>0</v>
      </c>
      <c r="BM193" s="1">
        <f t="shared" si="1323"/>
        <v>0</v>
      </c>
      <c r="BN193" s="1">
        <f t="shared" si="1324"/>
        <v>0</v>
      </c>
      <c r="BO193" s="1">
        <f t="shared" si="1325"/>
        <v>0</v>
      </c>
      <c r="BP193" s="1">
        <f t="shared" si="1326"/>
        <v>0</v>
      </c>
      <c r="BQ193" s="1">
        <f t="shared" si="1327"/>
        <v>0</v>
      </c>
      <c r="BR193" s="1">
        <f t="shared" si="1328"/>
        <v>0</v>
      </c>
      <c r="BS193" s="1">
        <f t="shared" si="1329"/>
        <v>0</v>
      </c>
      <c r="BT193" s="1">
        <f t="shared" si="1330"/>
        <v>0</v>
      </c>
      <c r="BU193" s="1">
        <f t="shared" si="1331"/>
        <v>0</v>
      </c>
      <c r="BV193" s="1">
        <f t="shared" si="1332"/>
        <v>54.72</v>
      </c>
      <c r="BW193" s="1">
        <f t="shared" si="1333"/>
        <v>0</v>
      </c>
      <c r="BX193" s="1">
        <f t="shared" si="1334"/>
        <v>0</v>
      </c>
      <c r="BY193" s="1">
        <f t="shared" si="1335"/>
        <v>0</v>
      </c>
      <c r="BZ193" s="1">
        <f t="shared" si="1336"/>
        <v>0</v>
      </c>
      <c r="CA193" s="1">
        <f t="shared" si="1337"/>
        <v>0</v>
      </c>
      <c r="CB193" s="1">
        <f t="shared" si="1338"/>
        <v>0</v>
      </c>
      <c r="CC193" s="1">
        <f t="shared" si="1339"/>
        <v>0</v>
      </c>
      <c r="CD193" s="1">
        <f t="shared" si="1340"/>
        <v>0</v>
      </c>
      <c r="CE193" s="1">
        <f t="shared" si="1341"/>
        <v>0</v>
      </c>
      <c r="CF193" s="1">
        <f t="shared" si="1342"/>
        <v>0</v>
      </c>
    </row>
    <row r="194" spans="2:84" ht="31.5" customHeight="1" outlineLevel="1">
      <c r="C194" s="27" t="s">
        <v>916</v>
      </c>
      <c r="D194" s="55">
        <v>1</v>
      </c>
      <c r="E194" s="88" t="s">
        <v>819</v>
      </c>
      <c r="F194" s="56">
        <v>3206</v>
      </c>
      <c r="G194" s="57">
        <f t="shared" si="1291"/>
        <v>3206</v>
      </c>
      <c r="H194" s="28"/>
      <c r="I194" s="59" t="str">
        <f t="shared" si="1292"/>
        <v/>
      </c>
      <c r="J194" s="60"/>
      <c r="K194" s="59" t="str">
        <f t="shared" si="1293"/>
        <v/>
      </c>
      <c r="L194" s="60"/>
      <c r="M194" s="59" t="str">
        <f t="shared" si="1294"/>
        <v/>
      </c>
      <c r="N194" s="60"/>
      <c r="O194" s="59" t="str">
        <f t="shared" si="1295"/>
        <v/>
      </c>
      <c r="P194" s="60"/>
      <c r="Q194" s="59" t="str">
        <f t="shared" si="1296"/>
        <v/>
      </c>
      <c r="R194" s="60"/>
      <c r="S194" s="59" t="str">
        <f t="shared" si="1297"/>
        <v/>
      </c>
      <c r="T194" s="60"/>
      <c r="U194" s="59" t="str">
        <f t="shared" si="1298"/>
        <v/>
      </c>
      <c r="V194" s="60"/>
      <c r="W194" s="59" t="str">
        <f t="shared" si="1299"/>
        <v/>
      </c>
      <c r="X194" s="95"/>
      <c r="Y194" s="59" t="str">
        <f t="shared" si="1300"/>
        <v/>
      </c>
      <c r="Z194" s="95"/>
      <c r="AA194" s="59" t="str">
        <f t="shared" si="1301"/>
        <v/>
      </c>
      <c r="AB194" s="60"/>
      <c r="AC194" s="59" t="str">
        <f t="shared" si="1302"/>
        <v/>
      </c>
      <c r="AD194" s="60"/>
      <c r="AE194" s="59" t="str">
        <f t="shared" si="1303"/>
        <v/>
      </c>
      <c r="AF194" s="95"/>
      <c r="AG194" s="59" t="str">
        <f t="shared" ref="AG194" si="1415">+IF(OR($F194="",AF194=""),"",$F194*AF194)</f>
        <v/>
      </c>
      <c r="AH194" s="95"/>
      <c r="AI194" s="59" t="str">
        <f t="shared" si="1305"/>
        <v/>
      </c>
      <c r="AJ194" s="60"/>
      <c r="AK194" s="59" t="str">
        <f t="shared" si="1305"/>
        <v/>
      </c>
      <c r="AL194" s="60"/>
      <c r="AM194" s="59" t="str">
        <f t="shared" ref="AM194" si="1416">+IF(OR($F194="",AL194=""),"",$F194*AL194)</f>
        <v/>
      </c>
      <c r="AN194" s="60"/>
      <c r="AO194" s="59" t="str">
        <f t="shared" ref="AO194" si="1417">+IF(OR($F194="",AN194=""),"",$F194*AN194)</f>
        <v/>
      </c>
      <c r="AP194" s="60"/>
      <c r="AQ194" s="59" t="str">
        <f t="shared" ref="AQ194" si="1418">+IF(OR($F194="",AP194=""),"",$F194*AP194)</f>
        <v/>
      </c>
      <c r="AR194" s="60"/>
      <c r="AS194" s="59" t="str">
        <f t="shared" ref="AS194" si="1419">+IF(OR($F194="",AR194=""),"",$F194*AR194)</f>
        <v/>
      </c>
      <c r="AT194" s="60"/>
      <c r="AU194" s="59" t="str">
        <f t="shared" ref="AU194" si="1420">+IF(OR($F194="",AT194=""),"",$F194*AT194)</f>
        <v/>
      </c>
      <c r="AV194" s="60"/>
      <c r="AW194" s="59" t="str">
        <f t="shared" ref="AW194" si="1421">+IF(OR($F194="",AV194=""),"",$F194*AV194)</f>
        <v/>
      </c>
      <c r="AX194" s="60"/>
      <c r="AY194" s="59" t="str">
        <f t="shared" ref="AY194" si="1422">+IF(OR($F194="",AX194=""),"",$F194*AX194)</f>
        <v/>
      </c>
      <c r="AZ194" s="60"/>
      <c r="BA194" s="59" t="str">
        <f t="shared" ref="BA194" si="1423">+IF(OR($F194="",AZ194=""),"",$F194*AZ194)</f>
        <v/>
      </c>
      <c r="BB194" s="60"/>
      <c r="BC194" s="59" t="str">
        <f t="shared" ref="BC194" si="1424">+IF(OR($F194="",BB194=""),"",$F194*BB194)</f>
        <v/>
      </c>
      <c r="BD194" s="61">
        <f t="shared" si="1315"/>
        <v>0</v>
      </c>
      <c r="BE194" s="59">
        <f t="shared" si="1316"/>
        <v>0</v>
      </c>
      <c r="BF194" s="61">
        <f t="shared" si="1317"/>
        <v>1</v>
      </c>
      <c r="BG194" s="59">
        <f t="shared" si="1318"/>
        <v>3206</v>
      </c>
      <c r="BH194" s="196"/>
      <c r="BI194" s="1">
        <f t="shared" si="1319"/>
        <v>0</v>
      </c>
      <c r="BJ194" s="1">
        <f t="shared" si="1320"/>
        <v>0</v>
      </c>
      <c r="BK194" s="1">
        <f t="shared" si="1321"/>
        <v>0</v>
      </c>
      <c r="BL194" s="1">
        <f t="shared" si="1322"/>
        <v>0</v>
      </c>
      <c r="BM194" s="1">
        <f t="shared" si="1323"/>
        <v>0</v>
      </c>
      <c r="BN194" s="1">
        <f t="shared" si="1324"/>
        <v>0</v>
      </c>
      <c r="BO194" s="1">
        <f t="shared" si="1325"/>
        <v>0</v>
      </c>
      <c r="BP194" s="1">
        <f t="shared" si="1326"/>
        <v>0</v>
      </c>
      <c r="BQ194" s="1">
        <f t="shared" si="1327"/>
        <v>0</v>
      </c>
      <c r="BR194" s="1">
        <f t="shared" si="1328"/>
        <v>0</v>
      </c>
      <c r="BS194" s="1">
        <f t="shared" si="1329"/>
        <v>0</v>
      </c>
      <c r="BT194" s="1">
        <f t="shared" si="1330"/>
        <v>0</v>
      </c>
      <c r="BU194" s="1">
        <f t="shared" si="1331"/>
        <v>0</v>
      </c>
      <c r="BV194" s="1">
        <f t="shared" si="1332"/>
        <v>0</v>
      </c>
      <c r="BW194" s="1">
        <f t="shared" si="1333"/>
        <v>0</v>
      </c>
      <c r="BX194" s="1">
        <f t="shared" si="1334"/>
        <v>0</v>
      </c>
      <c r="BY194" s="1">
        <f t="shared" si="1335"/>
        <v>0</v>
      </c>
      <c r="BZ194" s="1">
        <f t="shared" si="1336"/>
        <v>0</v>
      </c>
      <c r="CA194" s="1">
        <f t="shared" si="1337"/>
        <v>0</v>
      </c>
      <c r="CB194" s="1">
        <f t="shared" si="1338"/>
        <v>0</v>
      </c>
      <c r="CC194" s="1">
        <f t="shared" si="1339"/>
        <v>0</v>
      </c>
      <c r="CD194" s="1">
        <f t="shared" si="1340"/>
        <v>0</v>
      </c>
      <c r="CE194" s="1">
        <f t="shared" si="1341"/>
        <v>0</v>
      </c>
      <c r="CF194" s="1">
        <f t="shared" si="1342"/>
        <v>0</v>
      </c>
    </row>
    <row r="195" spans="2:84" ht="31.5" customHeight="1" outlineLevel="1">
      <c r="C195" s="27" t="s">
        <v>917</v>
      </c>
      <c r="D195" s="55">
        <v>10</v>
      </c>
      <c r="E195" s="88" t="s">
        <v>828</v>
      </c>
      <c r="F195" s="56">
        <v>50</v>
      </c>
      <c r="G195" s="57">
        <f t="shared" si="1291"/>
        <v>500</v>
      </c>
      <c r="H195" s="28"/>
      <c r="I195" s="59" t="str">
        <f t="shared" si="1292"/>
        <v/>
      </c>
      <c r="J195" s="60"/>
      <c r="K195" s="59" t="str">
        <f t="shared" si="1293"/>
        <v/>
      </c>
      <c r="L195" s="60"/>
      <c r="M195" s="59" t="str">
        <f t="shared" si="1294"/>
        <v/>
      </c>
      <c r="N195" s="60"/>
      <c r="O195" s="59" t="str">
        <f t="shared" si="1295"/>
        <v/>
      </c>
      <c r="P195" s="60"/>
      <c r="Q195" s="59" t="str">
        <f t="shared" si="1296"/>
        <v/>
      </c>
      <c r="R195" s="60"/>
      <c r="S195" s="59" t="str">
        <f t="shared" si="1297"/>
        <v/>
      </c>
      <c r="T195" s="60"/>
      <c r="U195" s="59" t="str">
        <f t="shared" si="1298"/>
        <v/>
      </c>
      <c r="V195" s="60"/>
      <c r="W195" s="59" t="str">
        <f t="shared" si="1299"/>
        <v/>
      </c>
      <c r="X195" s="95"/>
      <c r="Y195" s="59" t="str">
        <f t="shared" si="1300"/>
        <v/>
      </c>
      <c r="Z195" s="95"/>
      <c r="AA195" s="59" t="str">
        <f t="shared" si="1301"/>
        <v/>
      </c>
      <c r="AB195" s="60"/>
      <c r="AC195" s="59" t="str">
        <f t="shared" si="1302"/>
        <v/>
      </c>
      <c r="AD195" s="60"/>
      <c r="AE195" s="59" t="str">
        <f t="shared" si="1303"/>
        <v/>
      </c>
      <c r="AF195" s="95"/>
      <c r="AG195" s="59" t="str">
        <f t="shared" ref="AG195" si="1425">+IF(OR($F195="",AF195=""),"",$F195*AF195)</f>
        <v/>
      </c>
      <c r="AH195" s="95">
        <f>+D195</f>
        <v>10</v>
      </c>
      <c r="AI195" s="59">
        <f t="shared" si="1305"/>
        <v>500</v>
      </c>
      <c r="AJ195" s="60"/>
      <c r="AK195" s="59" t="str">
        <f t="shared" si="1305"/>
        <v/>
      </c>
      <c r="AL195" s="60"/>
      <c r="AM195" s="59" t="str">
        <f t="shared" ref="AM195" si="1426">+IF(OR($F195="",AL195=""),"",$F195*AL195)</f>
        <v/>
      </c>
      <c r="AN195" s="60"/>
      <c r="AO195" s="59" t="str">
        <f t="shared" ref="AO195" si="1427">+IF(OR($F195="",AN195=""),"",$F195*AN195)</f>
        <v/>
      </c>
      <c r="AP195" s="60"/>
      <c r="AQ195" s="59" t="str">
        <f t="shared" ref="AQ195" si="1428">+IF(OR($F195="",AP195=""),"",$F195*AP195)</f>
        <v/>
      </c>
      <c r="AR195" s="60"/>
      <c r="AS195" s="59" t="str">
        <f t="shared" ref="AS195" si="1429">+IF(OR($F195="",AR195=""),"",$F195*AR195)</f>
        <v/>
      </c>
      <c r="AT195" s="60"/>
      <c r="AU195" s="59" t="str">
        <f t="shared" ref="AU195" si="1430">+IF(OR($F195="",AT195=""),"",$F195*AT195)</f>
        <v/>
      </c>
      <c r="AV195" s="60"/>
      <c r="AW195" s="59" t="str">
        <f t="shared" ref="AW195" si="1431">+IF(OR($F195="",AV195=""),"",$F195*AV195)</f>
        <v/>
      </c>
      <c r="AX195" s="60"/>
      <c r="AY195" s="59" t="str">
        <f t="shared" ref="AY195" si="1432">+IF(OR($F195="",AX195=""),"",$F195*AX195)</f>
        <v/>
      </c>
      <c r="AZ195" s="60"/>
      <c r="BA195" s="59" t="str">
        <f t="shared" ref="BA195" si="1433">+IF(OR($F195="",AZ195=""),"",$F195*AZ195)</f>
        <v/>
      </c>
      <c r="BB195" s="60"/>
      <c r="BC195" s="59" t="str">
        <f t="shared" ref="BC195" si="1434">+IF(OR($F195="",BB195=""),"",$F195*BB195)</f>
        <v/>
      </c>
      <c r="BD195" s="61">
        <f t="shared" si="1315"/>
        <v>10</v>
      </c>
      <c r="BE195" s="59">
        <f t="shared" si="1316"/>
        <v>500</v>
      </c>
      <c r="BF195" s="61">
        <f t="shared" si="1317"/>
        <v>0</v>
      </c>
      <c r="BG195" s="59">
        <f t="shared" si="1318"/>
        <v>0</v>
      </c>
      <c r="BH195" s="196"/>
      <c r="BI195" s="1">
        <f t="shared" si="1319"/>
        <v>0</v>
      </c>
      <c r="BJ195" s="1">
        <f t="shared" si="1320"/>
        <v>0</v>
      </c>
      <c r="BK195" s="1">
        <f t="shared" si="1321"/>
        <v>0</v>
      </c>
      <c r="BL195" s="1">
        <f t="shared" si="1322"/>
        <v>0</v>
      </c>
      <c r="BM195" s="1">
        <f t="shared" si="1323"/>
        <v>0</v>
      </c>
      <c r="BN195" s="1">
        <f t="shared" si="1324"/>
        <v>0</v>
      </c>
      <c r="BO195" s="1">
        <f t="shared" si="1325"/>
        <v>0</v>
      </c>
      <c r="BP195" s="1">
        <f t="shared" si="1326"/>
        <v>0</v>
      </c>
      <c r="BQ195" s="1">
        <f t="shared" si="1327"/>
        <v>0</v>
      </c>
      <c r="BR195" s="1">
        <f t="shared" si="1328"/>
        <v>0</v>
      </c>
      <c r="BS195" s="1">
        <f t="shared" si="1329"/>
        <v>0</v>
      </c>
      <c r="BT195" s="1">
        <f t="shared" si="1330"/>
        <v>0</v>
      </c>
      <c r="BU195" s="1">
        <f t="shared" si="1331"/>
        <v>0</v>
      </c>
      <c r="BV195" s="1">
        <f t="shared" si="1332"/>
        <v>10</v>
      </c>
      <c r="BW195" s="1">
        <f t="shared" si="1333"/>
        <v>0</v>
      </c>
      <c r="BX195" s="1">
        <f t="shared" si="1334"/>
        <v>0</v>
      </c>
      <c r="BY195" s="1">
        <f t="shared" si="1335"/>
        <v>0</v>
      </c>
      <c r="BZ195" s="1">
        <f t="shared" si="1336"/>
        <v>0</v>
      </c>
      <c r="CA195" s="1">
        <f t="shared" si="1337"/>
        <v>0</v>
      </c>
      <c r="CB195" s="1">
        <f t="shared" si="1338"/>
        <v>0</v>
      </c>
      <c r="CC195" s="1">
        <f t="shared" si="1339"/>
        <v>0</v>
      </c>
      <c r="CD195" s="1">
        <f t="shared" si="1340"/>
        <v>0</v>
      </c>
      <c r="CE195" s="1">
        <f t="shared" si="1341"/>
        <v>0</v>
      </c>
      <c r="CF195" s="1">
        <f t="shared" si="1342"/>
        <v>0</v>
      </c>
    </row>
    <row r="196" spans="2:84" ht="31.5" customHeight="1" outlineLevel="1">
      <c r="C196" s="27" t="s">
        <v>918</v>
      </c>
      <c r="D196" s="55">
        <v>10</v>
      </c>
      <c r="E196" s="88" t="s">
        <v>828</v>
      </c>
      <c r="F196" s="56">
        <v>25</v>
      </c>
      <c r="G196" s="57">
        <f t="shared" si="1291"/>
        <v>250</v>
      </c>
      <c r="H196" s="28"/>
      <c r="I196" s="59" t="str">
        <f t="shared" si="1292"/>
        <v/>
      </c>
      <c r="J196" s="60"/>
      <c r="K196" s="59" t="str">
        <f t="shared" si="1293"/>
        <v/>
      </c>
      <c r="L196" s="60"/>
      <c r="M196" s="59" t="str">
        <f t="shared" si="1294"/>
        <v/>
      </c>
      <c r="N196" s="60"/>
      <c r="O196" s="59" t="str">
        <f t="shared" si="1295"/>
        <v/>
      </c>
      <c r="P196" s="60"/>
      <c r="Q196" s="59" t="str">
        <f t="shared" si="1296"/>
        <v/>
      </c>
      <c r="R196" s="60"/>
      <c r="S196" s="59" t="str">
        <f t="shared" si="1297"/>
        <v/>
      </c>
      <c r="T196" s="60"/>
      <c r="U196" s="59" t="str">
        <f t="shared" si="1298"/>
        <v/>
      </c>
      <c r="V196" s="60"/>
      <c r="W196" s="59" t="str">
        <f t="shared" si="1299"/>
        <v/>
      </c>
      <c r="X196" s="95"/>
      <c r="Y196" s="59" t="str">
        <f t="shared" si="1300"/>
        <v/>
      </c>
      <c r="Z196" s="95"/>
      <c r="AA196" s="59" t="str">
        <f t="shared" si="1301"/>
        <v/>
      </c>
      <c r="AB196" s="60"/>
      <c r="AC196" s="59" t="str">
        <f t="shared" si="1302"/>
        <v/>
      </c>
      <c r="AD196" s="60"/>
      <c r="AE196" s="59" t="str">
        <f t="shared" si="1303"/>
        <v/>
      </c>
      <c r="AF196" s="95"/>
      <c r="AG196" s="59" t="str">
        <f t="shared" ref="AG196" si="1435">+IF(OR($F196="",AF196=""),"",$F196*AF196)</f>
        <v/>
      </c>
      <c r="AH196" s="95">
        <f>+D196</f>
        <v>10</v>
      </c>
      <c r="AI196" s="59">
        <f t="shared" si="1305"/>
        <v>250</v>
      </c>
      <c r="AJ196" s="60"/>
      <c r="AK196" s="59" t="str">
        <f t="shared" si="1305"/>
        <v/>
      </c>
      <c r="AL196" s="60"/>
      <c r="AM196" s="59" t="str">
        <f t="shared" ref="AM196" si="1436">+IF(OR($F196="",AL196=""),"",$F196*AL196)</f>
        <v/>
      </c>
      <c r="AN196" s="60"/>
      <c r="AO196" s="59" t="str">
        <f t="shared" ref="AO196" si="1437">+IF(OR($F196="",AN196=""),"",$F196*AN196)</f>
        <v/>
      </c>
      <c r="AP196" s="60"/>
      <c r="AQ196" s="59" t="str">
        <f t="shared" ref="AQ196" si="1438">+IF(OR($F196="",AP196=""),"",$F196*AP196)</f>
        <v/>
      </c>
      <c r="AR196" s="60"/>
      <c r="AS196" s="59" t="str">
        <f t="shared" ref="AS196" si="1439">+IF(OR($F196="",AR196=""),"",$F196*AR196)</f>
        <v/>
      </c>
      <c r="AT196" s="60"/>
      <c r="AU196" s="59" t="str">
        <f t="shared" ref="AU196" si="1440">+IF(OR($F196="",AT196=""),"",$F196*AT196)</f>
        <v/>
      </c>
      <c r="AV196" s="60"/>
      <c r="AW196" s="59" t="str">
        <f t="shared" ref="AW196" si="1441">+IF(OR($F196="",AV196=""),"",$F196*AV196)</f>
        <v/>
      </c>
      <c r="AX196" s="60"/>
      <c r="AY196" s="59" t="str">
        <f t="shared" ref="AY196" si="1442">+IF(OR($F196="",AX196=""),"",$F196*AX196)</f>
        <v/>
      </c>
      <c r="AZ196" s="60"/>
      <c r="BA196" s="59" t="str">
        <f t="shared" ref="BA196" si="1443">+IF(OR($F196="",AZ196=""),"",$F196*AZ196)</f>
        <v/>
      </c>
      <c r="BB196" s="60"/>
      <c r="BC196" s="59" t="str">
        <f t="shared" ref="BC196" si="1444">+IF(OR($F196="",BB196=""),"",$F196*BB196)</f>
        <v/>
      </c>
      <c r="BD196" s="61">
        <f t="shared" si="1315"/>
        <v>10</v>
      </c>
      <c r="BE196" s="59">
        <f t="shared" si="1316"/>
        <v>250</v>
      </c>
      <c r="BF196" s="61">
        <f t="shared" si="1317"/>
        <v>0</v>
      </c>
      <c r="BG196" s="59">
        <f t="shared" si="1318"/>
        <v>0</v>
      </c>
      <c r="BH196" s="196"/>
      <c r="BI196" s="1">
        <f t="shared" si="1319"/>
        <v>0</v>
      </c>
      <c r="BJ196" s="1">
        <f t="shared" si="1320"/>
        <v>0</v>
      </c>
      <c r="BK196" s="1">
        <f t="shared" si="1321"/>
        <v>0</v>
      </c>
      <c r="BL196" s="1">
        <f t="shared" si="1322"/>
        <v>0</v>
      </c>
      <c r="BM196" s="1">
        <f t="shared" si="1323"/>
        <v>0</v>
      </c>
      <c r="BN196" s="1">
        <f t="shared" si="1324"/>
        <v>0</v>
      </c>
      <c r="BO196" s="1">
        <f t="shared" si="1325"/>
        <v>0</v>
      </c>
      <c r="BP196" s="1">
        <f t="shared" si="1326"/>
        <v>0</v>
      </c>
      <c r="BQ196" s="1">
        <f t="shared" si="1327"/>
        <v>0</v>
      </c>
      <c r="BR196" s="1">
        <f t="shared" si="1328"/>
        <v>0</v>
      </c>
      <c r="BS196" s="1">
        <f t="shared" si="1329"/>
        <v>0</v>
      </c>
      <c r="BT196" s="1">
        <f t="shared" si="1330"/>
        <v>0</v>
      </c>
      <c r="BU196" s="1">
        <f t="shared" si="1331"/>
        <v>0</v>
      </c>
      <c r="BV196" s="1">
        <f t="shared" si="1332"/>
        <v>10</v>
      </c>
      <c r="BW196" s="1">
        <f t="shared" si="1333"/>
        <v>0</v>
      </c>
      <c r="BX196" s="1">
        <f t="shared" si="1334"/>
        <v>0</v>
      </c>
      <c r="BY196" s="1">
        <f t="shared" si="1335"/>
        <v>0</v>
      </c>
      <c r="BZ196" s="1">
        <f t="shared" si="1336"/>
        <v>0</v>
      </c>
      <c r="CA196" s="1">
        <f t="shared" si="1337"/>
        <v>0</v>
      </c>
      <c r="CB196" s="1">
        <f t="shared" si="1338"/>
        <v>0</v>
      </c>
      <c r="CC196" s="1">
        <f t="shared" si="1339"/>
        <v>0</v>
      </c>
      <c r="CD196" s="1">
        <f t="shared" si="1340"/>
        <v>0</v>
      </c>
      <c r="CE196" s="1">
        <f t="shared" si="1341"/>
        <v>0</v>
      </c>
      <c r="CF196" s="1">
        <f t="shared" si="1342"/>
        <v>0</v>
      </c>
    </row>
    <row r="197" spans="2:84" s="6" customFormat="1" ht="18" customHeight="1">
      <c r="B197" s="62" t="s">
        <v>980</v>
      </c>
      <c r="C197" s="25" t="s">
        <v>919</v>
      </c>
      <c r="D197" s="49"/>
      <c r="E197" s="85"/>
      <c r="F197" s="50"/>
      <c r="G197" s="63">
        <f>+SUM(G198:G201)</f>
        <v>-3720.33</v>
      </c>
      <c r="H197" s="51"/>
      <c r="I197" s="52" t="str">
        <f>IF(SUM(I198:I201)=0,"",SUM(I198:I201))</f>
        <v/>
      </c>
      <c r="J197" s="53"/>
      <c r="K197" s="52" t="str">
        <f>IF(SUM(K198:K201)=0,"",SUM(K198:K201))</f>
        <v/>
      </c>
      <c r="L197" s="53"/>
      <c r="M197" s="52" t="str">
        <f>IF(SUM(M198:M201)=0,"",SUM(M198:M201))</f>
        <v/>
      </c>
      <c r="N197" s="53"/>
      <c r="O197" s="52" t="str">
        <f>IF(SUM(O198:O201)=0,"",SUM(O198:O201))</f>
        <v/>
      </c>
      <c r="P197" s="51"/>
      <c r="Q197" s="52" t="str">
        <f>IF(SUM(Q198:Q201)=0,"",SUM(Q198:Q201))</f>
        <v/>
      </c>
      <c r="R197" s="53"/>
      <c r="S197" s="52" t="str">
        <f>IF(SUM(S198:S201)=0,"",SUM(S198:S201))</f>
        <v/>
      </c>
      <c r="T197" s="53"/>
      <c r="U197" s="52" t="str">
        <f>IF(SUM(U198:U201)=0,"",SUM(U198:U201))</f>
        <v/>
      </c>
      <c r="V197" s="53"/>
      <c r="W197" s="52" t="str">
        <f>IF(SUM(W198:W201)=0,"",SUM(W198:W201))</f>
        <v/>
      </c>
      <c r="X197" s="51"/>
      <c r="Y197" s="52" t="str">
        <f>IF(SUM(Y198:Y201)=0,"",SUM(Y198:Y201))</f>
        <v/>
      </c>
      <c r="Z197" s="53"/>
      <c r="AA197" s="52" t="str">
        <f>IF(SUM(AA198:AA201)=0,"",SUM(AA198:AA201))</f>
        <v/>
      </c>
      <c r="AB197" s="53"/>
      <c r="AC197" s="52" t="str">
        <f>IF(SUM(AC198:AC201)=0,"",SUM(AC198:AC201))</f>
        <v/>
      </c>
      <c r="AD197" s="53"/>
      <c r="AE197" s="52" t="str">
        <f>IF(SUM(AE198:AE201)=0,"",SUM(AE198:AE201))</f>
        <v/>
      </c>
      <c r="AF197" s="192"/>
      <c r="AG197" s="52" t="str">
        <f>IF(SUM(AG198:AG201)=0,"",SUM(AG198:AG201))</f>
        <v/>
      </c>
      <c r="AH197" s="91"/>
      <c r="AI197" s="52" t="str">
        <f>IF(SUM(AI198:AI201)=0,"",SUM(AI198:AI201))</f>
        <v/>
      </c>
      <c r="AJ197" s="53"/>
      <c r="AK197" s="52" t="str">
        <f>IF(SUM(AK198:AK201)=0,"",SUM(AK198:AK201))</f>
        <v/>
      </c>
      <c r="AL197" s="53"/>
      <c r="AM197" s="52" t="str">
        <f>IF(SUM(AM198:AM201)=0,"",SUM(AM198:AM201))</f>
        <v/>
      </c>
      <c r="AN197" s="51"/>
      <c r="AO197" s="52" t="str">
        <f>IF(SUM(AO198:AO201)=0,"",SUM(AO198:AO201))</f>
        <v/>
      </c>
      <c r="AP197" s="53"/>
      <c r="AQ197" s="52" t="str">
        <f>IF(SUM(AQ198:AQ201)=0,"",SUM(AQ198:AQ201))</f>
        <v/>
      </c>
      <c r="AR197" s="53"/>
      <c r="AS197" s="52" t="str">
        <f>IF(SUM(AS198:AS201)=0,"",SUM(AS198:AS201))</f>
        <v/>
      </c>
      <c r="AT197" s="53"/>
      <c r="AU197" s="52" t="str">
        <f>IF(SUM(AU198:AU201)=0,"",SUM(AU198:AU201))</f>
        <v/>
      </c>
      <c r="AV197" s="51"/>
      <c r="AW197" s="52" t="str">
        <f>IF(SUM(AW198:AW201)=0,"",SUM(AW198:AW201))</f>
        <v/>
      </c>
      <c r="AX197" s="53"/>
      <c r="AY197" s="52" t="str">
        <f>IF(SUM(AY198:AY201)=0,"",SUM(AY198:AY201))</f>
        <v/>
      </c>
      <c r="AZ197" s="53"/>
      <c r="BA197" s="52" t="str">
        <f>IF(SUM(BA198:BA201)=0,"",SUM(BA198:BA201))</f>
        <v/>
      </c>
      <c r="BB197" s="53"/>
      <c r="BC197" s="52" t="str">
        <f>IF(SUM(BC198:BC201)=0,"",SUM(BC198:BC201))</f>
        <v/>
      </c>
      <c r="BD197" s="54"/>
      <c r="BE197" s="63">
        <f>+SUM(BE198:BE201)</f>
        <v>0</v>
      </c>
      <c r="BF197" s="54"/>
      <c r="BG197" s="52">
        <f>+SUM(BG198:BG201)</f>
        <v>-3720.33</v>
      </c>
      <c r="BH197" s="210"/>
      <c r="BI197" s="18">
        <f t="shared" si="1319"/>
        <v>0</v>
      </c>
      <c r="BJ197" s="18">
        <f t="shared" si="1320"/>
        <v>0</v>
      </c>
      <c r="BK197" s="18">
        <f t="shared" si="1321"/>
        <v>0</v>
      </c>
      <c r="BL197" s="18">
        <f t="shared" si="1322"/>
        <v>0</v>
      </c>
      <c r="BM197" s="18">
        <f t="shared" si="1323"/>
        <v>0</v>
      </c>
      <c r="BN197" s="18">
        <f t="shared" si="1324"/>
        <v>0</v>
      </c>
      <c r="BO197" s="18">
        <f t="shared" si="1325"/>
        <v>0</v>
      </c>
      <c r="BP197" s="18">
        <f t="shared" si="1326"/>
        <v>0</v>
      </c>
      <c r="BQ197" s="18">
        <f t="shared" si="1327"/>
        <v>0</v>
      </c>
      <c r="BR197" s="18">
        <f t="shared" si="1328"/>
        <v>0</v>
      </c>
      <c r="BS197" s="18">
        <f t="shared" si="1329"/>
        <v>0</v>
      </c>
      <c r="BT197" s="18">
        <f t="shared" si="1330"/>
        <v>0</v>
      </c>
      <c r="BU197" s="18">
        <f t="shared" si="1331"/>
        <v>0</v>
      </c>
      <c r="BV197" s="18">
        <f t="shared" si="1332"/>
        <v>0</v>
      </c>
      <c r="BW197" s="18">
        <f t="shared" si="1333"/>
        <v>0</v>
      </c>
      <c r="BX197" s="18">
        <f t="shared" si="1334"/>
        <v>0</v>
      </c>
      <c r="BY197" s="18">
        <f t="shared" si="1335"/>
        <v>0</v>
      </c>
      <c r="BZ197" s="18">
        <f t="shared" si="1336"/>
        <v>0</v>
      </c>
      <c r="CA197" s="18">
        <f t="shared" si="1337"/>
        <v>0</v>
      </c>
      <c r="CB197" s="18">
        <f t="shared" si="1338"/>
        <v>0</v>
      </c>
      <c r="CC197" s="18">
        <f t="shared" si="1339"/>
        <v>0</v>
      </c>
      <c r="CD197" s="18">
        <f t="shared" si="1340"/>
        <v>0</v>
      </c>
      <c r="CE197" s="18">
        <f t="shared" si="1341"/>
        <v>0</v>
      </c>
      <c r="CF197" s="18">
        <f t="shared" si="1342"/>
        <v>0</v>
      </c>
    </row>
    <row r="198" spans="2:84" ht="33.75" outlineLevel="1">
      <c r="C198" s="27" t="s">
        <v>953</v>
      </c>
      <c r="D198" s="55">
        <v>-28</v>
      </c>
      <c r="E198" s="88" t="s">
        <v>828</v>
      </c>
      <c r="F198" s="56">
        <v>257.45999999999998</v>
      </c>
      <c r="G198" s="57">
        <f t="shared" si="1291"/>
        <v>-7208.8799999999992</v>
      </c>
      <c r="H198" s="28"/>
      <c r="I198" s="59" t="str">
        <f t="shared" si="1292"/>
        <v/>
      </c>
      <c r="J198" s="60"/>
      <c r="K198" s="59" t="str">
        <f t="shared" si="1293"/>
        <v/>
      </c>
      <c r="L198" s="60"/>
      <c r="M198" s="59" t="str">
        <f t="shared" si="1294"/>
        <v/>
      </c>
      <c r="N198" s="60"/>
      <c r="O198" s="59" t="str">
        <f t="shared" si="1295"/>
        <v/>
      </c>
      <c r="P198" s="60"/>
      <c r="Q198" s="59" t="str">
        <f t="shared" si="1296"/>
        <v/>
      </c>
      <c r="R198" s="60"/>
      <c r="S198" s="59" t="str">
        <f t="shared" si="1297"/>
        <v/>
      </c>
      <c r="T198" s="60"/>
      <c r="U198" s="59" t="str">
        <f t="shared" si="1298"/>
        <v/>
      </c>
      <c r="V198" s="60"/>
      <c r="W198" s="59" t="str">
        <f t="shared" si="1299"/>
        <v/>
      </c>
      <c r="X198" s="95"/>
      <c r="Y198" s="59" t="str">
        <f t="shared" si="1300"/>
        <v/>
      </c>
      <c r="Z198" s="95"/>
      <c r="AA198" s="59" t="str">
        <f t="shared" si="1301"/>
        <v/>
      </c>
      <c r="AB198" s="60"/>
      <c r="AC198" s="59" t="str">
        <f t="shared" si="1302"/>
        <v/>
      </c>
      <c r="AD198" s="60"/>
      <c r="AE198" s="59" t="str">
        <f t="shared" si="1303"/>
        <v/>
      </c>
      <c r="AF198" s="95"/>
      <c r="AG198" s="59" t="str">
        <f t="shared" ref="AG198" si="1445">+IF(OR($F198="",AF198=""),"",$F198*AF198)</f>
        <v/>
      </c>
      <c r="AH198" s="95"/>
      <c r="AI198" s="59" t="str">
        <f t="shared" si="1305"/>
        <v/>
      </c>
      <c r="AJ198" s="60"/>
      <c r="AK198" s="59" t="str">
        <f t="shared" si="1305"/>
        <v/>
      </c>
      <c r="AL198" s="60"/>
      <c r="AM198" s="59" t="str">
        <f t="shared" ref="AM198" si="1446">+IF(OR($F198="",AL198=""),"",$F198*AL198)</f>
        <v/>
      </c>
      <c r="AN198" s="60"/>
      <c r="AO198" s="59" t="str">
        <f t="shared" ref="AO198" si="1447">+IF(OR($F198="",AN198=""),"",$F198*AN198)</f>
        <v/>
      </c>
      <c r="AP198" s="60"/>
      <c r="AQ198" s="59" t="str">
        <f t="shared" ref="AQ198" si="1448">+IF(OR($F198="",AP198=""),"",$F198*AP198)</f>
        <v/>
      </c>
      <c r="AR198" s="60"/>
      <c r="AS198" s="59" t="str">
        <f t="shared" ref="AS198" si="1449">+IF(OR($F198="",AR198=""),"",$F198*AR198)</f>
        <v/>
      </c>
      <c r="AT198" s="60"/>
      <c r="AU198" s="59" t="str">
        <f t="shared" ref="AU198" si="1450">+IF(OR($F198="",AT198=""),"",$F198*AT198)</f>
        <v/>
      </c>
      <c r="AV198" s="60"/>
      <c r="AW198" s="59" t="str">
        <f t="shared" ref="AW198" si="1451">+IF(OR($F198="",AV198=""),"",$F198*AV198)</f>
        <v/>
      </c>
      <c r="AX198" s="60"/>
      <c r="AY198" s="59" t="str">
        <f t="shared" ref="AY198" si="1452">+IF(OR($F198="",AX198=""),"",$F198*AX198)</f>
        <v/>
      </c>
      <c r="AZ198" s="60"/>
      <c r="BA198" s="59" t="str">
        <f t="shared" ref="BA198" si="1453">+IF(OR($F198="",AZ198=""),"",$F198*AZ198)</f>
        <v/>
      </c>
      <c r="BB198" s="60"/>
      <c r="BC198" s="59" t="str">
        <f t="shared" ref="BC198" si="1454">+IF(OR($F198="",BB198=""),"",$F198*BB198)</f>
        <v/>
      </c>
      <c r="BD198" s="61">
        <f t="shared" si="1315"/>
        <v>0</v>
      </c>
      <c r="BE198" s="59">
        <f t="shared" si="1316"/>
        <v>0</v>
      </c>
      <c r="BF198" s="61">
        <f t="shared" si="1317"/>
        <v>-28</v>
      </c>
      <c r="BG198" s="59">
        <f t="shared" si="1318"/>
        <v>-7208.8799999999992</v>
      </c>
      <c r="BH198" s="196"/>
      <c r="BI198" s="1">
        <f t="shared" si="1319"/>
        <v>0</v>
      </c>
      <c r="BJ198" s="1">
        <f t="shared" si="1320"/>
        <v>0</v>
      </c>
      <c r="BK198" s="1">
        <f t="shared" si="1321"/>
        <v>0</v>
      </c>
      <c r="BL198" s="1">
        <f t="shared" si="1322"/>
        <v>0</v>
      </c>
      <c r="BM198" s="1">
        <f t="shared" si="1323"/>
        <v>0</v>
      </c>
      <c r="BN198" s="1">
        <f t="shared" si="1324"/>
        <v>0</v>
      </c>
      <c r="BO198" s="1">
        <f t="shared" si="1325"/>
        <v>0</v>
      </c>
      <c r="BP198" s="1">
        <f t="shared" si="1326"/>
        <v>0</v>
      </c>
      <c r="BQ198" s="1">
        <f t="shared" si="1327"/>
        <v>0</v>
      </c>
      <c r="BR198" s="1">
        <f t="shared" si="1328"/>
        <v>0</v>
      </c>
      <c r="BS198" s="1">
        <f t="shared" si="1329"/>
        <v>0</v>
      </c>
      <c r="BT198" s="1">
        <f t="shared" si="1330"/>
        <v>0</v>
      </c>
      <c r="BU198" s="1">
        <f t="shared" si="1331"/>
        <v>0</v>
      </c>
      <c r="BV198" s="1">
        <f t="shared" si="1332"/>
        <v>0</v>
      </c>
      <c r="BW198" s="1">
        <f t="shared" si="1333"/>
        <v>0</v>
      </c>
      <c r="BX198" s="1">
        <f t="shared" si="1334"/>
        <v>0</v>
      </c>
      <c r="BY198" s="1">
        <f t="shared" si="1335"/>
        <v>0</v>
      </c>
      <c r="BZ198" s="1">
        <f t="shared" si="1336"/>
        <v>0</v>
      </c>
      <c r="CA198" s="1">
        <f t="shared" si="1337"/>
        <v>0</v>
      </c>
      <c r="CB198" s="1">
        <f t="shared" si="1338"/>
        <v>0</v>
      </c>
      <c r="CC198" s="1">
        <f t="shared" si="1339"/>
        <v>0</v>
      </c>
      <c r="CD198" s="1">
        <f t="shared" si="1340"/>
        <v>0</v>
      </c>
      <c r="CE198" s="1">
        <f t="shared" si="1341"/>
        <v>0</v>
      </c>
      <c r="CF198" s="1">
        <f t="shared" si="1342"/>
        <v>0</v>
      </c>
    </row>
    <row r="199" spans="2:84" ht="22.5" outlineLevel="1">
      <c r="C199" s="27" t="s">
        <v>954</v>
      </c>
      <c r="D199" s="55">
        <v>-10</v>
      </c>
      <c r="E199" s="88" t="s">
        <v>828</v>
      </c>
      <c r="F199" s="56">
        <v>273.72000000000003</v>
      </c>
      <c r="G199" s="57">
        <f t="shared" si="1291"/>
        <v>-2737.2000000000003</v>
      </c>
      <c r="H199" s="28"/>
      <c r="I199" s="59" t="str">
        <f t="shared" si="1292"/>
        <v/>
      </c>
      <c r="J199" s="60"/>
      <c r="K199" s="59" t="str">
        <f t="shared" si="1293"/>
        <v/>
      </c>
      <c r="L199" s="60"/>
      <c r="M199" s="59" t="str">
        <f t="shared" si="1294"/>
        <v/>
      </c>
      <c r="N199" s="60"/>
      <c r="O199" s="59" t="str">
        <f t="shared" si="1295"/>
        <v/>
      </c>
      <c r="P199" s="60"/>
      <c r="Q199" s="59" t="str">
        <f t="shared" si="1296"/>
        <v/>
      </c>
      <c r="R199" s="60"/>
      <c r="S199" s="59" t="str">
        <f t="shared" si="1297"/>
        <v/>
      </c>
      <c r="T199" s="60"/>
      <c r="U199" s="59" t="str">
        <f t="shared" si="1298"/>
        <v/>
      </c>
      <c r="V199" s="60"/>
      <c r="W199" s="59" t="str">
        <f t="shared" si="1299"/>
        <v/>
      </c>
      <c r="X199" s="95"/>
      <c r="Y199" s="59" t="str">
        <f t="shared" si="1300"/>
        <v/>
      </c>
      <c r="Z199" s="95"/>
      <c r="AA199" s="59" t="str">
        <f t="shared" si="1301"/>
        <v/>
      </c>
      <c r="AB199" s="60"/>
      <c r="AC199" s="59" t="str">
        <f t="shared" si="1302"/>
        <v/>
      </c>
      <c r="AD199" s="60"/>
      <c r="AE199" s="59" t="str">
        <f t="shared" si="1303"/>
        <v/>
      </c>
      <c r="AF199" s="95"/>
      <c r="AG199" s="59" t="str">
        <f t="shared" ref="AG199" si="1455">+IF(OR($F199="",AF199=""),"",$F199*AF199)</f>
        <v/>
      </c>
      <c r="AH199" s="95"/>
      <c r="AI199" s="59" t="str">
        <f t="shared" si="1305"/>
        <v/>
      </c>
      <c r="AJ199" s="60"/>
      <c r="AK199" s="59" t="str">
        <f t="shared" si="1305"/>
        <v/>
      </c>
      <c r="AL199" s="60"/>
      <c r="AM199" s="59" t="str">
        <f t="shared" ref="AM199" si="1456">+IF(OR($F199="",AL199=""),"",$F199*AL199)</f>
        <v/>
      </c>
      <c r="AN199" s="60"/>
      <c r="AO199" s="59" t="str">
        <f t="shared" ref="AO199" si="1457">+IF(OR($F199="",AN199=""),"",$F199*AN199)</f>
        <v/>
      </c>
      <c r="AP199" s="60"/>
      <c r="AQ199" s="59" t="str">
        <f t="shared" ref="AQ199" si="1458">+IF(OR($F199="",AP199=""),"",$F199*AP199)</f>
        <v/>
      </c>
      <c r="AR199" s="60"/>
      <c r="AS199" s="59" t="str">
        <f t="shared" ref="AS199" si="1459">+IF(OR($F199="",AR199=""),"",$F199*AR199)</f>
        <v/>
      </c>
      <c r="AT199" s="60"/>
      <c r="AU199" s="59" t="str">
        <f t="shared" ref="AU199" si="1460">+IF(OR($F199="",AT199=""),"",$F199*AT199)</f>
        <v/>
      </c>
      <c r="AV199" s="60"/>
      <c r="AW199" s="59" t="str">
        <f t="shared" ref="AW199" si="1461">+IF(OR($F199="",AV199=""),"",$F199*AV199)</f>
        <v/>
      </c>
      <c r="AX199" s="60"/>
      <c r="AY199" s="59" t="str">
        <f t="shared" ref="AY199" si="1462">+IF(OR($F199="",AX199=""),"",$F199*AX199)</f>
        <v/>
      </c>
      <c r="AZ199" s="60"/>
      <c r="BA199" s="59" t="str">
        <f t="shared" ref="BA199" si="1463">+IF(OR($F199="",AZ199=""),"",$F199*AZ199)</f>
        <v/>
      </c>
      <c r="BB199" s="60"/>
      <c r="BC199" s="59" t="str">
        <f t="shared" ref="BC199" si="1464">+IF(OR($F199="",BB199=""),"",$F199*BB199)</f>
        <v/>
      </c>
      <c r="BD199" s="61">
        <f t="shared" si="1315"/>
        <v>0</v>
      </c>
      <c r="BE199" s="59">
        <f t="shared" si="1316"/>
        <v>0</v>
      </c>
      <c r="BF199" s="61">
        <f t="shared" si="1317"/>
        <v>-10</v>
      </c>
      <c r="BG199" s="59">
        <f t="shared" si="1318"/>
        <v>-2737.2000000000003</v>
      </c>
      <c r="BH199" s="196"/>
      <c r="BI199" s="1">
        <f t="shared" si="1319"/>
        <v>0</v>
      </c>
      <c r="BJ199" s="1">
        <f t="shared" si="1320"/>
        <v>0</v>
      </c>
      <c r="BK199" s="1">
        <f t="shared" si="1321"/>
        <v>0</v>
      </c>
      <c r="BL199" s="1">
        <f t="shared" si="1322"/>
        <v>0</v>
      </c>
      <c r="BM199" s="1">
        <f t="shared" si="1323"/>
        <v>0</v>
      </c>
      <c r="BN199" s="1">
        <f t="shared" si="1324"/>
        <v>0</v>
      </c>
      <c r="BO199" s="1">
        <f t="shared" si="1325"/>
        <v>0</v>
      </c>
      <c r="BP199" s="1">
        <f t="shared" si="1326"/>
        <v>0</v>
      </c>
      <c r="BQ199" s="1">
        <f t="shared" si="1327"/>
        <v>0</v>
      </c>
      <c r="BR199" s="1">
        <f t="shared" si="1328"/>
        <v>0</v>
      </c>
      <c r="BS199" s="1">
        <f t="shared" si="1329"/>
        <v>0</v>
      </c>
      <c r="BT199" s="1">
        <f t="shared" si="1330"/>
        <v>0</v>
      </c>
      <c r="BU199" s="1">
        <f t="shared" si="1331"/>
        <v>0</v>
      </c>
      <c r="BV199" s="1">
        <f t="shared" si="1332"/>
        <v>0</v>
      </c>
      <c r="BW199" s="1">
        <f t="shared" si="1333"/>
        <v>0</v>
      </c>
      <c r="BX199" s="1">
        <f t="shared" si="1334"/>
        <v>0</v>
      </c>
      <c r="BY199" s="1">
        <f t="shared" si="1335"/>
        <v>0</v>
      </c>
      <c r="BZ199" s="1">
        <f t="shared" si="1336"/>
        <v>0</v>
      </c>
      <c r="CA199" s="1">
        <f t="shared" si="1337"/>
        <v>0</v>
      </c>
      <c r="CB199" s="1">
        <f t="shared" si="1338"/>
        <v>0</v>
      </c>
      <c r="CC199" s="1">
        <f t="shared" si="1339"/>
        <v>0</v>
      </c>
      <c r="CD199" s="1">
        <f t="shared" si="1340"/>
        <v>0</v>
      </c>
      <c r="CE199" s="1">
        <f t="shared" si="1341"/>
        <v>0</v>
      </c>
      <c r="CF199" s="1">
        <f t="shared" si="1342"/>
        <v>0</v>
      </c>
    </row>
    <row r="200" spans="2:84" ht="22.5" outlineLevel="1">
      <c r="C200" s="27" t="s">
        <v>1036</v>
      </c>
      <c r="D200" s="55">
        <v>11</v>
      </c>
      <c r="E200" s="88" t="s">
        <v>828</v>
      </c>
      <c r="F200" s="56">
        <v>351.45</v>
      </c>
      <c r="G200" s="57">
        <f t="shared" si="1291"/>
        <v>3865.95</v>
      </c>
      <c r="H200" s="28"/>
      <c r="I200" s="59" t="str">
        <f t="shared" si="1292"/>
        <v/>
      </c>
      <c r="J200" s="60"/>
      <c r="K200" s="59" t="str">
        <f t="shared" si="1293"/>
        <v/>
      </c>
      <c r="L200" s="60"/>
      <c r="M200" s="59" t="str">
        <f t="shared" si="1294"/>
        <v/>
      </c>
      <c r="N200" s="60"/>
      <c r="O200" s="59" t="str">
        <f t="shared" si="1295"/>
        <v/>
      </c>
      <c r="P200" s="60"/>
      <c r="Q200" s="59" t="str">
        <f t="shared" si="1296"/>
        <v/>
      </c>
      <c r="R200" s="60"/>
      <c r="S200" s="59" t="str">
        <f t="shared" si="1297"/>
        <v/>
      </c>
      <c r="T200" s="60"/>
      <c r="U200" s="59" t="str">
        <f t="shared" si="1298"/>
        <v/>
      </c>
      <c r="V200" s="60"/>
      <c r="W200" s="59" t="str">
        <f t="shared" si="1299"/>
        <v/>
      </c>
      <c r="X200" s="95"/>
      <c r="Y200" s="59" t="str">
        <f t="shared" si="1300"/>
        <v/>
      </c>
      <c r="Z200" s="95"/>
      <c r="AA200" s="59" t="str">
        <f t="shared" si="1301"/>
        <v/>
      </c>
      <c r="AB200" s="60"/>
      <c r="AC200" s="59" t="str">
        <f t="shared" si="1302"/>
        <v/>
      </c>
      <c r="AD200" s="60"/>
      <c r="AE200" s="59" t="str">
        <f t="shared" si="1303"/>
        <v/>
      </c>
      <c r="AF200" s="95"/>
      <c r="AG200" s="59" t="str">
        <f t="shared" ref="AG200" si="1465">+IF(OR($F200="",AF200=""),"",$F200*AF200)</f>
        <v/>
      </c>
      <c r="AH200" s="95"/>
      <c r="AI200" s="59" t="str">
        <f t="shared" si="1305"/>
        <v/>
      </c>
      <c r="AJ200" s="60"/>
      <c r="AK200" s="59" t="str">
        <f t="shared" si="1305"/>
        <v/>
      </c>
      <c r="AL200" s="60"/>
      <c r="AM200" s="59" t="str">
        <f t="shared" ref="AM200" si="1466">+IF(OR($F200="",AL200=""),"",$F200*AL200)</f>
        <v/>
      </c>
      <c r="AN200" s="60"/>
      <c r="AO200" s="59" t="str">
        <f t="shared" ref="AO200" si="1467">+IF(OR($F200="",AN200=""),"",$F200*AN200)</f>
        <v/>
      </c>
      <c r="AP200" s="60"/>
      <c r="AQ200" s="59" t="str">
        <f t="shared" ref="AQ200" si="1468">+IF(OR($F200="",AP200=""),"",$F200*AP200)</f>
        <v/>
      </c>
      <c r="AR200" s="60"/>
      <c r="AS200" s="59" t="str">
        <f t="shared" ref="AS200" si="1469">+IF(OR($F200="",AR200=""),"",$F200*AR200)</f>
        <v/>
      </c>
      <c r="AT200" s="60"/>
      <c r="AU200" s="59" t="str">
        <f t="shared" ref="AU200" si="1470">+IF(OR($F200="",AT200=""),"",$F200*AT200)</f>
        <v/>
      </c>
      <c r="AV200" s="60"/>
      <c r="AW200" s="59" t="str">
        <f t="shared" ref="AW200" si="1471">+IF(OR($F200="",AV200=""),"",$F200*AV200)</f>
        <v/>
      </c>
      <c r="AX200" s="60"/>
      <c r="AY200" s="59" t="str">
        <f t="shared" ref="AY200" si="1472">+IF(OR($F200="",AX200=""),"",$F200*AX200)</f>
        <v/>
      </c>
      <c r="AZ200" s="60"/>
      <c r="BA200" s="59" t="str">
        <f t="shared" ref="BA200" si="1473">+IF(OR($F200="",AZ200=""),"",$F200*AZ200)</f>
        <v/>
      </c>
      <c r="BB200" s="60"/>
      <c r="BC200" s="59" t="str">
        <f t="shared" ref="BC200" si="1474">+IF(OR($F200="",BB200=""),"",$F200*BB200)</f>
        <v/>
      </c>
      <c r="BD200" s="61">
        <f t="shared" si="1315"/>
        <v>0</v>
      </c>
      <c r="BE200" s="59">
        <f t="shared" si="1316"/>
        <v>0</v>
      </c>
      <c r="BF200" s="61">
        <f t="shared" si="1317"/>
        <v>11</v>
      </c>
      <c r="BG200" s="59">
        <f t="shared" si="1318"/>
        <v>3865.95</v>
      </c>
      <c r="BH200" s="196"/>
      <c r="BI200" s="1">
        <f t="shared" si="1319"/>
        <v>0</v>
      </c>
      <c r="BJ200" s="1">
        <f t="shared" si="1320"/>
        <v>0</v>
      </c>
      <c r="BK200" s="1">
        <f t="shared" si="1321"/>
        <v>0</v>
      </c>
      <c r="BL200" s="1">
        <f t="shared" si="1322"/>
        <v>0</v>
      </c>
      <c r="BM200" s="1">
        <f t="shared" si="1323"/>
        <v>0</v>
      </c>
      <c r="BN200" s="1">
        <f t="shared" si="1324"/>
        <v>0</v>
      </c>
      <c r="BO200" s="1">
        <f t="shared" si="1325"/>
        <v>0</v>
      </c>
      <c r="BP200" s="1">
        <f t="shared" si="1326"/>
        <v>0</v>
      </c>
      <c r="BQ200" s="1">
        <f t="shared" si="1327"/>
        <v>0</v>
      </c>
      <c r="BR200" s="1">
        <f t="shared" si="1328"/>
        <v>0</v>
      </c>
      <c r="BS200" s="1">
        <f t="shared" si="1329"/>
        <v>0</v>
      </c>
      <c r="BT200" s="1">
        <f t="shared" si="1330"/>
        <v>0</v>
      </c>
      <c r="BU200" s="1">
        <f t="shared" si="1331"/>
        <v>0</v>
      </c>
      <c r="BV200" s="1">
        <f t="shared" si="1332"/>
        <v>0</v>
      </c>
      <c r="BW200" s="1">
        <f t="shared" si="1333"/>
        <v>0</v>
      </c>
      <c r="BX200" s="1">
        <f t="shared" si="1334"/>
        <v>0</v>
      </c>
      <c r="BY200" s="1">
        <f t="shared" si="1335"/>
        <v>0</v>
      </c>
      <c r="BZ200" s="1">
        <f t="shared" si="1336"/>
        <v>0</v>
      </c>
      <c r="CA200" s="1">
        <f t="shared" si="1337"/>
        <v>0</v>
      </c>
      <c r="CB200" s="1">
        <f t="shared" si="1338"/>
        <v>0</v>
      </c>
      <c r="CC200" s="1">
        <f t="shared" si="1339"/>
        <v>0</v>
      </c>
      <c r="CD200" s="1">
        <f t="shared" si="1340"/>
        <v>0</v>
      </c>
      <c r="CE200" s="1">
        <f t="shared" si="1341"/>
        <v>0</v>
      </c>
      <c r="CF200" s="1">
        <f t="shared" si="1342"/>
        <v>0</v>
      </c>
    </row>
    <row r="201" spans="2:84" ht="33.75" outlineLevel="1">
      <c r="C201" s="27" t="s">
        <v>1037</v>
      </c>
      <c r="D201" s="55">
        <v>19</v>
      </c>
      <c r="E201" s="88" t="s">
        <v>828</v>
      </c>
      <c r="F201" s="56">
        <v>124.2</v>
      </c>
      <c r="G201" s="57">
        <f t="shared" si="1291"/>
        <v>2359.8000000000002</v>
      </c>
      <c r="H201" s="28"/>
      <c r="I201" s="59" t="str">
        <f t="shared" si="1292"/>
        <v/>
      </c>
      <c r="J201" s="60"/>
      <c r="K201" s="59" t="str">
        <f t="shared" si="1293"/>
        <v/>
      </c>
      <c r="L201" s="60"/>
      <c r="M201" s="59" t="str">
        <f t="shared" si="1294"/>
        <v/>
      </c>
      <c r="N201" s="60"/>
      <c r="O201" s="59" t="str">
        <f t="shared" si="1295"/>
        <v/>
      </c>
      <c r="P201" s="60"/>
      <c r="Q201" s="59" t="str">
        <f t="shared" si="1296"/>
        <v/>
      </c>
      <c r="R201" s="60"/>
      <c r="S201" s="59" t="str">
        <f t="shared" si="1297"/>
        <v/>
      </c>
      <c r="T201" s="60"/>
      <c r="U201" s="59" t="str">
        <f t="shared" si="1298"/>
        <v/>
      </c>
      <c r="V201" s="60"/>
      <c r="W201" s="59" t="str">
        <f t="shared" si="1299"/>
        <v/>
      </c>
      <c r="X201" s="95"/>
      <c r="Y201" s="59" t="str">
        <f t="shared" si="1300"/>
        <v/>
      </c>
      <c r="Z201" s="95"/>
      <c r="AA201" s="59" t="str">
        <f t="shared" si="1301"/>
        <v/>
      </c>
      <c r="AB201" s="60"/>
      <c r="AC201" s="59" t="str">
        <f t="shared" si="1302"/>
        <v/>
      </c>
      <c r="AD201" s="60"/>
      <c r="AE201" s="59" t="str">
        <f t="shared" si="1303"/>
        <v/>
      </c>
      <c r="AF201" s="95"/>
      <c r="AG201" s="59" t="str">
        <f t="shared" ref="AG201" si="1475">+IF(OR($F201="",AF201=""),"",$F201*AF201)</f>
        <v/>
      </c>
      <c r="AH201" s="95"/>
      <c r="AI201" s="59" t="str">
        <f t="shared" si="1305"/>
        <v/>
      </c>
      <c r="AJ201" s="60"/>
      <c r="AK201" s="59" t="str">
        <f t="shared" si="1305"/>
        <v/>
      </c>
      <c r="AL201" s="60"/>
      <c r="AM201" s="59" t="str">
        <f t="shared" ref="AM201" si="1476">+IF(OR($F201="",AL201=""),"",$F201*AL201)</f>
        <v/>
      </c>
      <c r="AN201" s="60"/>
      <c r="AO201" s="59" t="str">
        <f t="shared" ref="AO201" si="1477">+IF(OR($F201="",AN201=""),"",$F201*AN201)</f>
        <v/>
      </c>
      <c r="AP201" s="60"/>
      <c r="AQ201" s="59" t="str">
        <f t="shared" ref="AQ201" si="1478">+IF(OR($F201="",AP201=""),"",$F201*AP201)</f>
        <v/>
      </c>
      <c r="AR201" s="60"/>
      <c r="AS201" s="59" t="str">
        <f t="shared" ref="AS201" si="1479">+IF(OR($F201="",AR201=""),"",$F201*AR201)</f>
        <v/>
      </c>
      <c r="AT201" s="60"/>
      <c r="AU201" s="59" t="str">
        <f t="shared" ref="AU201" si="1480">+IF(OR($F201="",AT201=""),"",$F201*AT201)</f>
        <v/>
      </c>
      <c r="AV201" s="60"/>
      <c r="AW201" s="59" t="str">
        <f t="shared" ref="AW201" si="1481">+IF(OR($F201="",AV201=""),"",$F201*AV201)</f>
        <v/>
      </c>
      <c r="AX201" s="60"/>
      <c r="AY201" s="59" t="str">
        <f t="shared" ref="AY201" si="1482">+IF(OR($F201="",AX201=""),"",$F201*AX201)</f>
        <v/>
      </c>
      <c r="AZ201" s="60"/>
      <c r="BA201" s="59" t="str">
        <f t="shared" ref="BA201" si="1483">+IF(OR($F201="",AZ201=""),"",$F201*AZ201)</f>
        <v/>
      </c>
      <c r="BB201" s="60"/>
      <c r="BC201" s="59" t="str">
        <f t="shared" ref="BC201" si="1484">+IF(OR($F201="",BB201=""),"",$F201*BB201)</f>
        <v/>
      </c>
      <c r="BD201" s="61">
        <f t="shared" si="1315"/>
        <v>0</v>
      </c>
      <c r="BE201" s="59">
        <f t="shared" si="1316"/>
        <v>0</v>
      </c>
      <c r="BF201" s="61">
        <f t="shared" si="1317"/>
        <v>19</v>
      </c>
      <c r="BG201" s="59">
        <f t="shared" si="1318"/>
        <v>2359.8000000000002</v>
      </c>
      <c r="BH201" s="196"/>
      <c r="BI201" s="1">
        <f t="shared" si="1319"/>
        <v>0</v>
      </c>
      <c r="BJ201" s="1">
        <f t="shared" si="1320"/>
        <v>0</v>
      </c>
      <c r="BK201" s="1">
        <f t="shared" si="1321"/>
        <v>0</v>
      </c>
      <c r="BL201" s="1">
        <f t="shared" si="1322"/>
        <v>0</v>
      </c>
      <c r="BM201" s="1">
        <f t="shared" si="1323"/>
        <v>0</v>
      </c>
      <c r="BN201" s="1">
        <f t="shared" si="1324"/>
        <v>0</v>
      </c>
      <c r="BO201" s="1">
        <f t="shared" si="1325"/>
        <v>0</v>
      </c>
      <c r="BP201" s="1">
        <f t="shared" si="1326"/>
        <v>0</v>
      </c>
      <c r="BQ201" s="1">
        <f t="shared" si="1327"/>
        <v>0</v>
      </c>
      <c r="BR201" s="1">
        <f t="shared" si="1328"/>
        <v>0</v>
      </c>
      <c r="BS201" s="1">
        <f t="shared" si="1329"/>
        <v>0</v>
      </c>
      <c r="BT201" s="1">
        <f t="shared" si="1330"/>
        <v>0</v>
      </c>
      <c r="BU201" s="1">
        <f t="shared" si="1331"/>
        <v>0</v>
      </c>
      <c r="BV201" s="1">
        <f t="shared" si="1332"/>
        <v>0</v>
      </c>
      <c r="BW201" s="1">
        <f t="shared" si="1333"/>
        <v>0</v>
      </c>
      <c r="BX201" s="1">
        <f t="shared" si="1334"/>
        <v>0</v>
      </c>
      <c r="BY201" s="1">
        <f t="shared" si="1335"/>
        <v>0</v>
      </c>
      <c r="BZ201" s="1">
        <f t="shared" si="1336"/>
        <v>0</v>
      </c>
      <c r="CA201" s="1">
        <f t="shared" si="1337"/>
        <v>0</v>
      </c>
      <c r="CB201" s="1">
        <f t="shared" si="1338"/>
        <v>0</v>
      </c>
      <c r="CC201" s="1">
        <f t="shared" si="1339"/>
        <v>0</v>
      </c>
      <c r="CD201" s="1">
        <f t="shared" si="1340"/>
        <v>0</v>
      </c>
      <c r="CE201" s="1">
        <f t="shared" si="1341"/>
        <v>0</v>
      </c>
      <c r="CF201" s="1">
        <f t="shared" si="1342"/>
        <v>0</v>
      </c>
    </row>
    <row r="202" spans="2:84" s="6" customFormat="1" ht="18" customHeight="1">
      <c r="B202" s="62" t="s">
        <v>981</v>
      </c>
      <c r="C202" s="25" t="s">
        <v>947</v>
      </c>
      <c r="D202" s="49"/>
      <c r="E202" s="85"/>
      <c r="F202" s="50"/>
      <c r="G202" s="63">
        <f>+SUM(G203:G206)</f>
        <v>11099.75</v>
      </c>
      <c r="H202" s="51"/>
      <c r="I202" s="52" t="str">
        <f>IF(SUM(I203:I206)=0,"",SUM(I203:I206))</f>
        <v/>
      </c>
      <c r="J202" s="53"/>
      <c r="K202" s="52" t="str">
        <f>IF(SUM(K203:K206)=0,"",SUM(K203:K206))</f>
        <v/>
      </c>
      <c r="L202" s="53"/>
      <c r="M202" s="52" t="str">
        <f>IF(SUM(M203:M206)=0,"",SUM(M203:M206))</f>
        <v/>
      </c>
      <c r="N202" s="53"/>
      <c r="O202" s="52" t="str">
        <f>IF(SUM(O203:O206)=0,"",SUM(O203:O206))</f>
        <v/>
      </c>
      <c r="P202" s="51"/>
      <c r="Q202" s="52" t="str">
        <f>IF(SUM(Q203:Q206)=0,"",SUM(Q203:Q206))</f>
        <v/>
      </c>
      <c r="R202" s="53"/>
      <c r="S202" s="52" t="str">
        <f>IF(SUM(S203:S206)=0,"",SUM(S203:S206))</f>
        <v/>
      </c>
      <c r="T202" s="53"/>
      <c r="U202" s="52" t="str">
        <f>IF(SUM(U203:U206)=0,"",SUM(U203:U206))</f>
        <v/>
      </c>
      <c r="V202" s="53"/>
      <c r="W202" s="52" t="str">
        <f>IF(SUM(W203:W206)=0,"",SUM(W203:W206))</f>
        <v/>
      </c>
      <c r="X202" s="51"/>
      <c r="Y202" s="52" t="str">
        <f>IF(SUM(Y203:Y206)=0,"",SUM(Y203:Y206))</f>
        <v/>
      </c>
      <c r="Z202" s="53"/>
      <c r="AA202" s="52" t="str">
        <f>IF(SUM(AA203:AA206)=0,"",SUM(AA203:AA206))</f>
        <v/>
      </c>
      <c r="AB202" s="53"/>
      <c r="AC202" s="52" t="str">
        <f>IF(SUM(AC203:AC206)=0,"",SUM(AC203:AC206))</f>
        <v/>
      </c>
      <c r="AD202" s="53"/>
      <c r="AE202" s="52" t="str">
        <f>IF(SUM(AE203:AE206)=0,"",SUM(AE203:AE206))</f>
        <v/>
      </c>
      <c r="AF202" s="192"/>
      <c r="AG202" s="52" t="str">
        <f>IF(SUM(AG203:AG206)=0,"",SUM(AG203:AG206))</f>
        <v/>
      </c>
      <c r="AH202" s="91"/>
      <c r="AI202" s="52">
        <f>IF(SUM(AI203:AI206)=0,"",SUM(AI203:AI206))</f>
        <v>8686.0300000000007</v>
      </c>
      <c r="AJ202" s="53"/>
      <c r="AK202" s="52" t="str">
        <f>IF(SUM(AK203:AK206)=0,"",SUM(AK203:AK206))</f>
        <v/>
      </c>
      <c r="AL202" s="53"/>
      <c r="AM202" s="52" t="str">
        <f>IF(SUM(AM203:AM206)=0,"",SUM(AM203:AM206))</f>
        <v/>
      </c>
      <c r="AN202" s="51"/>
      <c r="AO202" s="52" t="str">
        <f>IF(SUM(AO203:AO206)=0,"",SUM(AO203:AO206))</f>
        <v/>
      </c>
      <c r="AP202" s="53"/>
      <c r="AQ202" s="52" t="str">
        <f>IF(SUM(AQ203:AQ206)=0,"",SUM(AQ203:AQ206))</f>
        <v/>
      </c>
      <c r="AR202" s="53"/>
      <c r="AS202" s="52" t="str">
        <f>IF(SUM(AS203:AS206)=0,"",SUM(AS203:AS206))</f>
        <v/>
      </c>
      <c r="AT202" s="53"/>
      <c r="AU202" s="52" t="str">
        <f>IF(SUM(AU203:AU206)=0,"",SUM(AU203:AU206))</f>
        <v/>
      </c>
      <c r="AV202" s="51"/>
      <c r="AW202" s="52" t="str">
        <f>IF(SUM(AW203:AW206)=0,"",SUM(AW203:AW206))</f>
        <v/>
      </c>
      <c r="AX202" s="53"/>
      <c r="AY202" s="52" t="str">
        <f>IF(SUM(AY203:AY206)=0,"",SUM(AY203:AY206))</f>
        <v/>
      </c>
      <c r="AZ202" s="53"/>
      <c r="BA202" s="52" t="str">
        <f>IF(SUM(BA203:BA206)=0,"",SUM(BA203:BA206))</f>
        <v/>
      </c>
      <c r="BB202" s="53"/>
      <c r="BC202" s="52" t="str">
        <f>IF(SUM(BC203:BC206)=0,"",SUM(BC203:BC206))</f>
        <v/>
      </c>
      <c r="BD202" s="54"/>
      <c r="BE202" s="63">
        <f>+SUM(BE203:BE206)</f>
        <v>8686.0300000000007</v>
      </c>
      <c r="BF202" s="54"/>
      <c r="BG202" s="52">
        <f>+SUM(BG203:BG206)</f>
        <v>2413.7199999999998</v>
      </c>
      <c r="BH202" s="210"/>
      <c r="BI202" s="18">
        <f t="shared" si="1319"/>
        <v>0</v>
      </c>
      <c r="BJ202" s="18">
        <f t="shared" si="1320"/>
        <v>0</v>
      </c>
      <c r="BK202" s="18">
        <f t="shared" si="1321"/>
        <v>0</v>
      </c>
      <c r="BL202" s="18">
        <f t="shared" si="1322"/>
        <v>0</v>
      </c>
      <c r="BM202" s="18">
        <f t="shared" si="1323"/>
        <v>0</v>
      </c>
      <c r="BN202" s="18">
        <f t="shared" si="1324"/>
        <v>0</v>
      </c>
      <c r="BO202" s="18">
        <f t="shared" si="1325"/>
        <v>0</v>
      </c>
      <c r="BP202" s="18">
        <f t="shared" si="1326"/>
        <v>0</v>
      </c>
      <c r="BQ202" s="18">
        <f t="shared" si="1327"/>
        <v>0</v>
      </c>
      <c r="BR202" s="18">
        <f t="shared" si="1328"/>
        <v>0</v>
      </c>
      <c r="BS202" s="18">
        <f t="shared" si="1329"/>
        <v>0</v>
      </c>
      <c r="BT202" s="18">
        <f t="shared" si="1330"/>
        <v>0</v>
      </c>
      <c r="BU202" s="18">
        <f t="shared" si="1331"/>
        <v>0</v>
      </c>
      <c r="BV202" s="18">
        <f t="shared" si="1332"/>
        <v>0</v>
      </c>
      <c r="BW202" s="18">
        <f t="shared" si="1333"/>
        <v>0</v>
      </c>
      <c r="BX202" s="18">
        <f t="shared" si="1334"/>
        <v>0</v>
      </c>
      <c r="BY202" s="18">
        <f t="shared" si="1335"/>
        <v>0</v>
      </c>
      <c r="BZ202" s="18">
        <f t="shared" si="1336"/>
        <v>0</v>
      </c>
      <c r="CA202" s="18">
        <f t="shared" si="1337"/>
        <v>0</v>
      </c>
      <c r="CB202" s="18">
        <f t="shared" si="1338"/>
        <v>0</v>
      </c>
      <c r="CC202" s="18">
        <f t="shared" si="1339"/>
        <v>0</v>
      </c>
      <c r="CD202" s="18">
        <f t="shared" si="1340"/>
        <v>0</v>
      </c>
      <c r="CE202" s="18">
        <f t="shared" si="1341"/>
        <v>0</v>
      </c>
      <c r="CF202" s="18">
        <f t="shared" si="1342"/>
        <v>0</v>
      </c>
    </row>
    <row r="203" spans="2:84" ht="31.5" customHeight="1" outlineLevel="1">
      <c r="C203" s="27" t="s">
        <v>920</v>
      </c>
      <c r="D203" s="55">
        <v>1</v>
      </c>
      <c r="E203" s="88" t="s">
        <v>828</v>
      </c>
      <c r="F203" s="56">
        <v>8686.0300000000007</v>
      </c>
      <c r="G203" s="57">
        <f t="shared" si="1291"/>
        <v>8686.0300000000007</v>
      </c>
      <c r="H203" s="28"/>
      <c r="I203" s="59" t="str">
        <f t="shared" si="1292"/>
        <v/>
      </c>
      <c r="J203" s="60"/>
      <c r="K203" s="59" t="str">
        <f t="shared" si="1293"/>
        <v/>
      </c>
      <c r="L203" s="60"/>
      <c r="M203" s="59" t="str">
        <f t="shared" si="1294"/>
        <v/>
      </c>
      <c r="N203" s="60"/>
      <c r="O203" s="59" t="str">
        <f t="shared" si="1295"/>
        <v/>
      </c>
      <c r="P203" s="60"/>
      <c r="Q203" s="59" t="str">
        <f t="shared" si="1296"/>
        <v/>
      </c>
      <c r="R203" s="60"/>
      <c r="S203" s="59" t="str">
        <f t="shared" si="1297"/>
        <v/>
      </c>
      <c r="T203" s="60"/>
      <c r="U203" s="59" t="str">
        <f t="shared" si="1298"/>
        <v/>
      </c>
      <c r="V203" s="60"/>
      <c r="W203" s="59" t="str">
        <f t="shared" si="1299"/>
        <v/>
      </c>
      <c r="X203" s="95"/>
      <c r="Y203" s="59" t="str">
        <f t="shared" si="1300"/>
        <v/>
      </c>
      <c r="Z203" s="95"/>
      <c r="AA203" s="59" t="str">
        <f t="shared" si="1301"/>
        <v/>
      </c>
      <c r="AB203" s="60"/>
      <c r="AC203" s="59" t="str">
        <f t="shared" si="1302"/>
        <v/>
      </c>
      <c r="AD203" s="60"/>
      <c r="AE203" s="59" t="str">
        <f t="shared" si="1303"/>
        <v/>
      </c>
      <c r="AF203" s="95"/>
      <c r="AG203" s="59" t="str">
        <f t="shared" ref="AG203" si="1485">+IF(OR($F203="",AF203=""),"",$F203*AF203)</f>
        <v/>
      </c>
      <c r="AH203" s="95">
        <v>1</v>
      </c>
      <c r="AI203" s="59">
        <f t="shared" si="1305"/>
        <v>8686.0300000000007</v>
      </c>
      <c r="AJ203" s="60"/>
      <c r="AK203" s="59" t="str">
        <f t="shared" si="1305"/>
        <v/>
      </c>
      <c r="AL203" s="60"/>
      <c r="AM203" s="59" t="str">
        <f t="shared" ref="AM203" si="1486">+IF(OR($F203="",AL203=""),"",$F203*AL203)</f>
        <v/>
      </c>
      <c r="AN203" s="60"/>
      <c r="AO203" s="59" t="str">
        <f t="shared" ref="AO203" si="1487">+IF(OR($F203="",AN203=""),"",$F203*AN203)</f>
        <v/>
      </c>
      <c r="AP203" s="60"/>
      <c r="AQ203" s="59" t="str">
        <f t="shared" ref="AQ203" si="1488">+IF(OR($F203="",AP203=""),"",$F203*AP203)</f>
        <v/>
      </c>
      <c r="AR203" s="60"/>
      <c r="AS203" s="59" t="str">
        <f t="shared" ref="AS203" si="1489">+IF(OR($F203="",AR203=""),"",$F203*AR203)</f>
        <v/>
      </c>
      <c r="AT203" s="60"/>
      <c r="AU203" s="59" t="str">
        <f t="shared" ref="AU203" si="1490">+IF(OR($F203="",AT203=""),"",$F203*AT203)</f>
        <v/>
      </c>
      <c r="AV203" s="60"/>
      <c r="AW203" s="59" t="str">
        <f t="shared" ref="AW203" si="1491">+IF(OR($F203="",AV203=""),"",$F203*AV203)</f>
        <v/>
      </c>
      <c r="AX203" s="60"/>
      <c r="AY203" s="59" t="str">
        <f t="shared" ref="AY203" si="1492">+IF(OR($F203="",AX203=""),"",$F203*AX203)</f>
        <v/>
      </c>
      <c r="AZ203" s="60"/>
      <c r="BA203" s="59" t="str">
        <f t="shared" ref="BA203" si="1493">+IF(OR($F203="",AZ203=""),"",$F203*AZ203)</f>
        <v/>
      </c>
      <c r="BB203" s="60"/>
      <c r="BC203" s="59" t="str">
        <f t="shared" ref="BC203" si="1494">+IF(OR($F203="",BB203=""),"",$F203*BB203)</f>
        <v/>
      </c>
      <c r="BD203" s="61">
        <f t="shared" si="1315"/>
        <v>1</v>
      </c>
      <c r="BE203" s="59">
        <f t="shared" si="1316"/>
        <v>8686.0300000000007</v>
      </c>
      <c r="BF203" s="61">
        <f t="shared" si="1317"/>
        <v>0</v>
      </c>
      <c r="BG203" s="59">
        <f t="shared" si="1318"/>
        <v>0</v>
      </c>
      <c r="BH203" s="196"/>
      <c r="BI203" s="1">
        <f t="shared" si="1319"/>
        <v>0</v>
      </c>
      <c r="BJ203" s="1">
        <f t="shared" si="1320"/>
        <v>0</v>
      </c>
      <c r="BK203" s="1">
        <f t="shared" si="1321"/>
        <v>0</v>
      </c>
      <c r="BL203" s="1">
        <f t="shared" si="1322"/>
        <v>0</v>
      </c>
      <c r="BM203" s="1">
        <f t="shared" si="1323"/>
        <v>0</v>
      </c>
      <c r="BN203" s="1">
        <f t="shared" si="1324"/>
        <v>0</v>
      </c>
      <c r="BO203" s="1">
        <f t="shared" si="1325"/>
        <v>0</v>
      </c>
      <c r="BP203" s="1">
        <f t="shared" si="1326"/>
        <v>0</v>
      </c>
      <c r="BQ203" s="1">
        <f t="shared" si="1327"/>
        <v>0</v>
      </c>
      <c r="BR203" s="1">
        <f t="shared" si="1328"/>
        <v>0</v>
      </c>
      <c r="BS203" s="1">
        <f t="shared" si="1329"/>
        <v>0</v>
      </c>
      <c r="BT203" s="1">
        <f t="shared" si="1330"/>
        <v>0</v>
      </c>
      <c r="BU203" s="1">
        <f t="shared" si="1331"/>
        <v>0</v>
      </c>
      <c r="BV203" s="1">
        <f t="shared" si="1332"/>
        <v>1</v>
      </c>
      <c r="BW203" s="1">
        <f t="shared" si="1333"/>
        <v>0</v>
      </c>
      <c r="BX203" s="1">
        <f t="shared" si="1334"/>
        <v>0</v>
      </c>
      <c r="BY203" s="1">
        <f t="shared" si="1335"/>
        <v>0</v>
      </c>
      <c r="BZ203" s="1">
        <f t="shared" si="1336"/>
        <v>0</v>
      </c>
      <c r="CA203" s="1">
        <f t="shared" si="1337"/>
        <v>0</v>
      </c>
      <c r="CB203" s="1">
        <f t="shared" si="1338"/>
        <v>0</v>
      </c>
      <c r="CC203" s="1">
        <f t="shared" si="1339"/>
        <v>0</v>
      </c>
      <c r="CD203" s="1">
        <f t="shared" si="1340"/>
        <v>0</v>
      </c>
      <c r="CE203" s="1">
        <f t="shared" si="1341"/>
        <v>0</v>
      </c>
      <c r="CF203" s="1">
        <f t="shared" si="1342"/>
        <v>0</v>
      </c>
    </row>
    <row r="204" spans="2:84" ht="31.5" customHeight="1" outlineLevel="1">
      <c r="C204" s="27" t="s">
        <v>921</v>
      </c>
      <c r="D204" s="55">
        <v>20</v>
      </c>
      <c r="E204" s="88" t="s">
        <v>875</v>
      </c>
      <c r="F204" s="56">
        <v>43.4</v>
      </c>
      <c r="G204" s="57">
        <f t="shared" si="1291"/>
        <v>868</v>
      </c>
      <c r="H204" s="28"/>
      <c r="I204" s="59" t="str">
        <f t="shared" si="1292"/>
        <v/>
      </c>
      <c r="J204" s="60"/>
      <c r="K204" s="59" t="str">
        <f t="shared" si="1293"/>
        <v/>
      </c>
      <c r="L204" s="60"/>
      <c r="M204" s="59" t="str">
        <f t="shared" si="1294"/>
        <v/>
      </c>
      <c r="N204" s="60"/>
      <c r="O204" s="59" t="str">
        <f t="shared" si="1295"/>
        <v/>
      </c>
      <c r="P204" s="60"/>
      <c r="Q204" s="59" t="str">
        <f t="shared" si="1296"/>
        <v/>
      </c>
      <c r="R204" s="60"/>
      <c r="S204" s="59" t="str">
        <f t="shared" si="1297"/>
        <v/>
      </c>
      <c r="T204" s="60"/>
      <c r="U204" s="59" t="str">
        <f t="shared" si="1298"/>
        <v/>
      </c>
      <c r="V204" s="60"/>
      <c r="W204" s="59" t="str">
        <f t="shared" si="1299"/>
        <v/>
      </c>
      <c r="X204" s="95"/>
      <c r="Y204" s="59" t="str">
        <f t="shared" si="1300"/>
        <v/>
      </c>
      <c r="Z204" s="95"/>
      <c r="AA204" s="59" t="str">
        <f t="shared" si="1301"/>
        <v/>
      </c>
      <c r="AB204" s="60"/>
      <c r="AC204" s="59" t="str">
        <f t="shared" si="1302"/>
        <v/>
      </c>
      <c r="AD204" s="60"/>
      <c r="AE204" s="59" t="str">
        <f t="shared" si="1303"/>
        <v/>
      </c>
      <c r="AF204" s="95"/>
      <c r="AG204" s="59" t="str">
        <f t="shared" ref="AG204" si="1495">+IF(OR($F204="",AF204=""),"",$F204*AF204)</f>
        <v/>
      </c>
      <c r="AH204" s="95"/>
      <c r="AI204" s="59" t="str">
        <f t="shared" si="1305"/>
        <v/>
      </c>
      <c r="AJ204" s="60"/>
      <c r="AK204" s="59" t="str">
        <f t="shared" si="1305"/>
        <v/>
      </c>
      <c r="AL204" s="60"/>
      <c r="AM204" s="59" t="str">
        <f t="shared" ref="AM204" si="1496">+IF(OR($F204="",AL204=""),"",$F204*AL204)</f>
        <v/>
      </c>
      <c r="AN204" s="60"/>
      <c r="AO204" s="59" t="str">
        <f t="shared" ref="AO204" si="1497">+IF(OR($F204="",AN204=""),"",$F204*AN204)</f>
        <v/>
      </c>
      <c r="AP204" s="60"/>
      <c r="AQ204" s="59" t="str">
        <f t="shared" ref="AQ204" si="1498">+IF(OR($F204="",AP204=""),"",$F204*AP204)</f>
        <v/>
      </c>
      <c r="AR204" s="60"/>
      <c r="AS204" s="59" t="str">
        <f t="shared" ref="AS204" si="1499">+IF(OR($F204="",AR204=""),"",$F204*AR204)</f>
        <v/>
      </c>
      <c r="AT204" s="60"/>
      <c r="AU204" s="59" t="str">
        <f t="shared" ref="AU204" si="1500">+IF(OR($F204="",AT204=""),"",$F204*AT204)</f>
        <v/>
      </c>
      <c r="AV204" s="60"/>
      <c r="AW204" s="59" t="str">
        <f t="shared" ref="AW204" si="1501">+IF(OR($F204="",AV204=""),"",$F204*AV204)</f>
        <v/>
      </c>
      <c r="AX204" s="60"/>
      <c r="AY204" s="59" t="str">
        <f t="shared" ref="AY204" si="1502">+IF(OR($F204="",AX204=""),"",$F204*AX204)</f>
        <v/>
      </c>
      <c r="AZ204" s="60"/>
      <c r="BA204" s="59" t="str">
        <f t="shared" ref="BA204" si="1503">+IF(OR($F204="",AZ204=""),"",$F204*AZ204)</f>
        <v/>
      </c>
      <c r="BB204" s="60"/>
      <c r="BC204" s="59" t="str">
        <f t="shared" ref="BC204" si="1504">+IF(OR($F204="",BB204=""),"",$F204*BB204)</f>
        <v/>
      </c>
      <c r="BD204" s="61">
        <f t="shared" si="1315"/>
        <v>0</v>
      </c>
      <c r="BE204" s="59">
        <f t="shared" si="1316"/>
        <v>0</v>
      </c>
      <c r="BF204" s="61">
        <f t="shared" si="1317"/>
        <v>20</v>
      </c>
      <c r="BG204" s="59">
        <f t="shared" si="1318"/>
        <v>868</v>
      </c>
      <c r="BH204" s="196"/>
      <c r="BI204" s="1">
        <f t="shared" si="1319"/>
        <v>0</v>
      </c>
      <c r="BJ204" s="1">
        <f t="shared" si="1320"/>
        <v>0</v>
      </c>
      <c r="BK204" s="1">
        <f t="shared" si="1321"/>
        <v>0</v>
      </c>
      <c r="BL204" s="1">
        <f t="shared" si="1322"/>
        <v>0</v>
      </c>
      <c r="BM204" s="1">
        <f t="shared" si="1323"/>
        <v>0</v>
      </c>
      <c r="BN204" s="1">
        <f t="shared" si="1324"/>
        <v>0</v>
      </c>
      <c r="BO204" s="1">
        <f t="shared" si="1325"/>
        <v>0</v>
      </c>
      <c r="BP204" s="1">
        <f t="shared" si="1326"/>
        <v>0</v>
      </c>
      <c r="BQ204" s="1">
        <f t="shared" si="1327"/>
        <v>0</v>
      </c>
      <c r="BR204" s="1">
        <f t="shared" si="1328"/>
        <v>0</v>
      </c>
      <c r="BS204" s="1">
        <f t="shared" si="1329"/>
        <v>0</v>
      </c>
      <c r="BT204" s="1">
        <f t="shared" si="1330"/>
        <v>0</v>
      </c>
      <c r="BU204" s="1">
        <f t="shared" si="1331"/>
        <v>0</v>
      </c>
      <c r="BV204" s="1">
        <f t="shared" si="1332"/>
        <v>0</v>
      </c>
      <c r="BW204" s="1">
        <f t="shared" si="1333"/>
        <v>0</v>
      </c>
      <c r="BX204" s="1">
        <f t="shared" si="1334"/>
        <v>0</v>
      </c>
      <c r="BY204" s="1">
        <f t="shared" si="1335"/>
        <v>0</v>
      </c>
      <c r="BZ204" s="1">
        <f t="shared" si="1336"/>
        <v>0</v>
      </c>
      <c r="CA204" s="1">
        <f t="shared" si="1337"/>
        <v>0</v>
      </c>
      <c r="CB204" s="1">
        <f t="shared" si="1338"/>
        <v>0</v>
      </c>
      <c r="CC204" s="1">
        <f t="shared" si="1339"/>
        <v>0</v>
      </c>
      <c r="CD204" s="1">
        <f t="shared" si="1340"/>
        <v>0</v>
      </c>
      <c r="CE204" s="1">
        <f t="shared" si="1341"/>
        <v>0</v>
      </c>
      <c r="CF204" s="1">
        <f t="shared" si="1342"/>
        <v>0</v>
      </c>
    </row>
    <row r="205" spans="2:84" ht="78.75" outlineLevel="1">
      <c r="C205" s="27" t="s">
        <v>955</v>
      </c>
      <c r="D205" s="55">
        <v>1</v>
      </c>
      <c r="E205" s="88" t="s">
        <v>922</v>
      </c>
      <c r="F205" s="56">
        <v>809.16</v>
      </c>
      <c r="G205" s="57">
        <f t="shared" si="1291"/>
        <v>809.16</v>
      </c>
      <c r="H205" s="28"/>
      <c r="I205" s="59" t="str">
        <f t="shared" si="1292"/>
        <v/>
      </c>
      <c r="J205" s="60"/>
      <c r="K205" s="59" t="str">
        <f t="shared" si="1293"/>
        <v/>
      </c>
      <c r="L205" s="60"/>
      <c r="M205" s="59" t="str">
        <f t="shared" si="1294"/>
        <v/>
      </c>
      <c r="N205" s="60"/>
      <c r="O205" s="59" t="str">
        <f t="shared" si="1295"/>
        <v/>
      </c>
      <c r="P205" s="60"/>
      <c r="Q205" s="59" t="str">
        <f t="shared" si="1296"/>
        <v/>
      </c>
      <c r="R205" s="60"/>
      <c r="S205" s="59" t="str">
        <f t="shared" si="1297"/>
        <v/>
      </c>
      <c r="T205" s="60"/>
      <c r="U205" s="59" t="str">
        <f t="shared" si="1298"/>
        <v/>
      </c>
      <c r="V205" s="60"/>
      <c r="W205" s="59" t="str">
        <f t="shared" si="1299"/>
        <v/>
      </c>
      <c r="X205" s="95"/>
      <c r="Y205" s="59" t="str">
        <f t="shared" si="1300"/>
        <v/>
      </c>
      <c r="Z205" s="95"/>
      <c r="AA205" s="59" t="str">
        <f t="shared" si="1301"/>
        <v/>
      </c>
      <c r="AB205" s="60"/>
      <c r="AC205" s="59" t="str">
        <f t="shared" si="1302"/>
        <v/>
      </c>
      <c r="AD205" s="60"/>
      <c r="AE205" s="59" t="str">
        <f t="shared" si="1303"/>
        <v/>
      </c>
      <c r="AF205" s="95"/>
      <c r="AG205" s="59" t="str">
        <f t="shared" ref="AG205" si="1505">+IF(OR($F205="",AF205=""),"",$F205*AF205)</f>
        <v/>
      </c>
      <c r="AH205" s="95"/>
      <c r="AI205" s="59" t="str">
        <f t="shared" si="1305"/>
        <v/>
      </c>
      <c r="AJ205" s="60"/>
      <c r="AK205" s="59" t="str">
        <f t="shared" si="1305"/>
        <v/>
      </c>
      <c r="AL205" s="60"/>
      <c r="AM205" s="59" t="str">
        <f t="shared" ref="AM205" si="1506">+IF(OR($F205="",AL205=""),"",$F205*AL205)</f>
        <v/>
      </c>
      <c r="AN205" s="60"/>
      <c r="AO205" s="59" t="str">
        <f t="shared" ref="AO205" si="1507">+IF(OR($F205="",AN205=""),"",$F205*AN205)</f>
        <v/>
      </c>
      <c r="AP205" s="60"/>
      <c r="AQ205" s="59" t="str">
        <f t="shared" ref="AQ205" si="1508">+IF(OR($F205="",AP205=""),"",$F205*AP205)</f>
        <v/>
      </c>
      <c r="AR205" s="60"/>
      <c r="AS205" s="59" t="str">
        <f t="shared" ref="AS205" si="1509">+IF(OR($F205="",AR205=""),"",$F205*AR205)</f>
        <v/>
      </c>
      <c r="AT205" s="60"/>
      <c r="AU205" s="59" t="str">
        <f t="shared" ref="AU205" si="1510">+IF(OR($F205="",AT205=""),"",$F205*AT205)</f>
        <v/>
      </c>
      <c r="AV205" s="60"/>
      <c r="AW205" s="59" t="str">
        <f t="shared" ref="AW205" si="1511">+IF(OR($F205="",AV205=""),"",$F205*AV205)</f>
        <v/>
      </c>
      <c r="AX205" s="60"/>
      <c r="AY205" s="59" t="str">
        <f t="shared" ref="AY205" si="1512">+IF(OR($F205="",AX205=""),"",$F205*AX205)</f>
        <v/>
      </c>
      <c r="AZ205" s="60"/>
      <c r="BA205" s="59" t="str">
        <f t="shared" ref="BA205" si="1513">+IF(OR($F205="",AZ205=""),"",$F205*AZ205)</f>
        <v/>
      </c>
      <c r="BB205" s="60"/>
      <c r="BC205" s="59" t="str">
        <f t="shared" ref="BC205" si="1514">+IF(OR($F205="",BB205=""),"",$F205*BB205)</f>
        <v/>
      </c>
      <c r="BD205" s="61">
        <f t="shared" si="1315"/>
        <v>0</v>
      </c>
      <c r="BE205" s="59">
        <f t="shared" si="1316"/>
        <v>0</v>
      </c>
      <c r="BF205" s="61">
        <f t="shared" si="1317"/>
        <v>1</v>
      </c>
      <c r="BG205" s="59">
        <f t="shared" si="1318"/>
        <v>809.16</v>
      </c>
      <c r="BH205" s="196"/>
      <c r="BI205" s="1">
        <f t="shared" si="1319"/>
        <v>0</v>
      </c>
      <c r="BJ205" s="1">
        <f t="shared" si="1320"/>
        <v>0</v>
      </c>
      <c r="BK205" s="1">
        <f t="shared" si="1321"/>
        <v>0</v>
      </c>
      <c r="BL205" s="1">
        <f t="shared" si="1322"/>
        <v>0</v>
      </c>
      <c r="BM205" s="1">
        <f t="shared" si="1323"/>
        <v>0</v>
      </c>
      <c r="BN205" s="1">
        <f t="shared" si="1324"/>
        <v>0</v>
      </c>
      <c r="BO205" s="1">
        <f t="shared" si="1325"/>
        <v>0</v>
      </c>
      <c r="BP205" s="1">
        <f t="shared" si="1326"/>
        <v>0</v>
      </c>
      <c r="BQ205" s="1">
        <f t="shared" si="1327"/>
        <v>0</v>
      </c>
      <c r="BR205" s="1">
        <f t="shared" si="1328"/>
        <v>0</v>
      </c>
      <c r="BS205" s="1">
        <f t="shared" si="1329"/>
        <v>0</v>
      </c>
      <c r="BT205" s="1">
        <f t="shared" si="1330"/>
        <v>0</v>
      </c>
      <c r="BU205" s="1">
        <f t="shared" si="1331"/>
        <v>0</v>
      </c>
      <c r="BV205" s="1">
        <f t="shared" si="1332"/>
        <v>0</v>
      </c>
      <c r="BW205" s="1">
        <f t="shared" si="1333"/>
        <v>0</v>
      </c>
      <c r="BX205" s="1">
        <f t="shared" si="1334"/>
        <v>0</v>
      </c>
      <c r="BY205" s="1">
        <f t="shared" si="1335"/>
        <v>0</v>
      </c>
      <c r="BZ205" s="1">
        <f t="shared" si="1336"/>
        <v>0</v>
      </c>
      <c r="CA205" s="1">
        <f t="shared" si="1337"/>
        <v>0</v>
      </c>
      <c r="CB205" s="1">
        <f t="shared" si="1338"/>
        <v>0</v>
      </c>
      <c r="CC205" s="1">
        <f t="shared" si="1339"/>
        <v>0</v>
      </c>
      <c r="CD205" s="1">
        <f t="shared" si="1340"/>
        <v>0</v>
      </c>
      <c r="CE205" s="1">
        <f t="shared" si="1341"/>
        <v>0</v>
      </c>
      <c r="CF205" s="1">
        <f t="shared" si="1342"/>
        <v>0</v>
      </c>
    </row>
    <row r="206" spans="2:84" ht="31.5" customHeight="1" outlineLevel="1">
      <c r="C206" s="27" t="s">
        <v>923</v>
      </c>
      <c r="D206" s="55">
        <v>1</v>
      </c>
      <c r="E206" s="88" t="s">
        <v>922</v>
      </c>
      <c r="F206" s="56">
        <v>736.56</v>
      </c>
      <c r="G206" s="57">
        <f t="shared" si="1291"/>
        <v>736.56</v>
      </c>
      <c r="H206" s="28"/>
      <c r="I206" s="59" t="str">
        <f t="shared" si="1292"/>
        <v/>
      </c>
      <c r="J206" s="60"/>
      <c r="K206" s="59" t="str">
        <f t="shared" si="1293"/>
        <v/>
      </c>
      <c r="L206" s="60"/>
      <c r="M206" s="59" t="str">
        <f t="shared" si="1294"/>
        <v/>
      </c>
      <c r="N206" s="60"/>
      <c r="O206" s="59" t="str">
        <f t="shared" si="1295"/>
        <v/>
      </c>
      <c r="P206" s="60"/>
      <c r="Q206" s="59" t="str">
        <f t="shared" si="1296"/>
        <v/>
      </c>
      <c r="R206" s="60"/>
      <c r="S206" s="59" t="str">
        <f t="shared" si="1297"/>
        <v/>
      </c>
      <c r="T206" s="60"/>
      <c r="U206" s="59" t="str">
        <f t="shared" si="1298"/>
        <v/>
      </c>
      <c r="V206" s="60"/>
      <c r="W206" s="59" t="str">
        <f t="shared" si="1299"/>
        <v/>
      </c>
      <c r="X206" s="95"/>
      <c r="Y206" s="59" t="str">
        <f t="shared" si="1300"/>
        <v/>
      </c>
      <c r="Z206" s="95"/>
      <c r="AA206" s="59" t="str">
        <f t="shared" si="1301"/>
        <v/>
      </c>
      <c r="AB206" s="60"/>
      <c r="AC206" s="59" t="str">
        <f t="shared" si="1302"/>
        <v/>
      </c>
      <c r="AD206" s="60"/>
      <c r="AE206" s="59" t="str">
        <f t="shared" si="1303"/>
        <v/>
      </c>
      <c r="AF206" s="95"/>
      <c r="AG206" s="59" t="str">
        <f t="shared" ref="AG206" si="1515">+IF(OR($F206="",AF206=""),"",$F206*AF206)</f>
        <v/>
      </c>
      <c r="AH206" s="95"/>
      <c r="AI206" s="59" t="str">
        <f t="shared" si="1305"/>
        <v/>
      </c>
      <c r="AJ206" s="60"/>
      <c r="AK206" s="59" t="str">
        <f t="shared" si="1305"/>
        <v/>
      </c>
      <c r="AL206" s="60"/>
      <c r="AM206" s="59" t="str">
        <f t="shared" ref="AM206" si="1516">+IF(OR($F206="",AL206=""),"",$F206*AL206)</f>
        <v/>
      </c>
      <c r="AN206" s="60"/>
      <c r="AO206" s="59" t="str">
        <f t="shared" ref="AO206" si="1517">+IF(OR($F206="",AN206=""),"",$F206*AN206)</f>
        <v/>
      </c>
      <c r="AP206" s="60"/>
      <c r="AQ206" s="59" t="str">
        <f t="shared" ref="AQ206" si="1518">+IF(OR($F206="",AP206=""),"",$F206*AP206)</f>
        <v/>
      </c>
      <c r="AR206" s="60"/>
      <c r="AS206" s="59" t="str">
        <f t="shared" ref="AS206" si="1519">+IF(OR($F206="",AR206=""),"",$F206*AR206)</f>
        <v/>
      </c>
      <c r="AT206" s="60"/>
      <c r="AU206" s="59" t="str">
        <f t="shared" ref="AU206" si="1520">+IF(OR($F206="",AT206=""),"",$F206*AT206)</f>
        <v/>
      </c>
      <c r="AV206" s="60"/>
      <c r="AW206" s="59" t="str">
        <f t="shared" ref="AW206" si="1521">+IF(OR($F206="",AV206=""),"",$F206*AV206)</f>
        <v/>
      </c>
      <c r="AX206" s="60"/>
      <c r="AY206" s="59" t="str">
        <f t="shared" ref="AY206" si="1522">+IF(OR($F206="",AX206=""),"",$F206*AX206)</f>
        <v/>
      </c>
      <c r="AZ206" s="60"/>
      <c r="BA206" s="59" t="str">
        <f t="shared" ref="BA206" si="1523">+IF(OR($F206="",AZ206=""),"",$F206*AZ206)</f>
        <v/>
      </c>
      <c r="BB206" s="60"/>
      <c r="BC206" s="59" t="str">
        <f t="shared" ref="BC206" si="1524">+IF(OR($F206="",BB206=""),"",$F206*BB206)</f>
        <v/>
      </c>
      <c r="BD206" s="61">
        <f t="shared" si="1315"/>
        <v>0</v>
      </c>
      <c r="BE206" s="59">
        <f t="shared" si="1316"/>
        <v>0</v>
      </c>
      <c r="BF206" s="61">
        <f t="shared" si="1317"/>
        <v>1</v>
      </c>
      <c r="BG206" s="59">
        <f t="shared" si="1318"/>
        <v>736.56</v>
      </c>
      <c r="BH206" s="196"/>
      <c r="BI206" s="1">
        <f t="shared" si="1319"/>
        <v>0</v>
      </c>
      <c r="BJ206" s="1">
        <f t="shared" si="1320"/>
        <v>0</v>
      </c>
      <c r="BK206" s="1">
        <f t="shared" si="1321"/>
        <v>0</v>
      </c>
      <c r="BL206" s="1">
        <f t="shared" si="1322"/>
        <v>0</v>
      </c>
      <c r="BM206" s="1">
        <f t="shared" si="1323"/>
        <v>0</v>
      </c>
      <c r="BN206" s="1">
        <f t="shared" si="1324"/>
        <v>0</v>
      </c>
      <c r="BO206" s="1">
        <f t="shared" si="1325"/>
        <v>0</v>
      </c>
      <c r="BP206" s="1">
        <f t="shared" si="1326"/>
        <v>0</v>
      </c>
      <c r="BQ206" s="1">
        <f t="shared" si="1327"/>
        <v>0</v>
      </c>
      <c r="BR206" s="1">
        <f t="shared" si="1328"/>
        <v>0</v>
      </c>
      <c r="BS206" s="1">
        <f t="shared" si="1329"/>
        <v>0</v>
      </c>
      <c r="BT206" s="1">
        <f t="shared" si="1330"/>
        <v>0</v>
      </c>
      <c r="BU206" s="1">
        <f t="shared" si="1331"/>
        <v>0</v>
      </c>
      <c r="BV206" s="1">
        <f t="shared" si="1332"/>
        <v>0</v>
      </c>
      <c r="BW206" s="1">
        <f t="shared" si="1333"/>
        <v>0</v>
      </c>
      <c r="BX206" s="1">
        <f t="shared" si="1334"/>
        <v>0</v>
      </c>
      <c r="BY206" s="1">
        <f t="shared" si="1335"/>
        <v>0</v>
      </c>
      <c r="BZ206" s="1">
        <f t="shared" si="1336"/>
        <v>0</v>
      </c>
      <c r="CA206" s="1">
        <f t="shared" si="1337"/>
        <v>0</v>
      </c>
      <c r="CB206" s="1">
        <f t="shared" si="1338"/>
        <v>0</v>
      </c>
      <c r="CC206" s="1">
        <f t="shared" si="1339"/>
        <v>0</v>
      </c>
      <c r="CD206" s="1">
        <f t="shared" si="1340"/>
        <v>0</v>
      </c>
      <c r="CE206" s="1">
        <f t="shared" si="1341"/>
        <v>0</v>
      </c>
      <c r="CF206" s="1">
        <f t="shared" si="1342"/>
        <v>0</v>
      </c>
    </row>
    <row r="207" spans="2:84" s="6" customFormat="1" ht="18" customHeight="1">
      <c r="B207" s="62" t="s">
        <v>982</v>
      </c>
      <c r="C207" s="25" t="s">
        <v>269</v>
      </c>
      <c r="D207" s="49"/>
      <c r="E207" s="85"/>
      <c r="F207" s="50"/>
      <c r="G207" s="63">
        <f>+SUM(G208:G265)</f>
        <v>32031.668599999994</v>
      </c>
      <c r="H207" s="51"/>
      <c r="I207" s="52" t="str">
        <f>+IF(SUM(I208:I265)=0,"",SUM(I208:I265))</f>
        <v/>
      </c>
      <c r="J207" s="53"/>
      <c r="K207" s="52" t="str">
        <f>+IF(SUM(K208:K265)=0,"",SUM(K208:K265))</f>
        <v/>
      </c>
      <c r="L207" s="53"/>
      <c r="M207" s="52" t="str">
        <f>+IF(SUM(M208:M265)=0,"",SUM(M208:M265))</f>
        <v/>
      </c>
      <c r="N207" s="53"/>
      <c r="O207" s="52" t="str">
        <f>+IF(SUM(O208:O265)=0,"",SUM(O208:O265))</f>
        <v/>
      </c>
      <c r="P207" s="51"/>
      <c r="Q207" s="52" t="str">
        <f>+IF(SUM(Q208:Q265)=0,"",SUM(Q208:Q265))</f>
        <v/>
      </c>
      <c r="R207" s="53"/>
      <c r="S207" s="52" t="str">
        <f>+IF(SUM(S208:S265)=0,"",SUM(S208:S265))</f>
        <v/>
      </c>
      <c r="T207" s="53"/>
      <c r="U207" s="52" t="str">
        <f>+IF(SUM(U208:U265)=0,"",SUM(U208:U265))</f>
        <v/>
      </c>
      <c r="V207" s="53"/>
      <c r="W207" s="52" t="str">
        <f>+IF(SUM(W208:W265)=0,"",SUM(W208:W265))</f>
        <v/>
      </c>
      <c r="X207" s="51"/>
      <c r="Y207" s="52" t="str">
        <f>+IF(SUM(Y208:Y265)=0,"",SUM(Y208:Y265))</f>
        <v/>
      </c>
      <c r="Z207" s="53"/>
      <c r="AA207" s="52" t="str">
        <f>+IF(SUM(AA208:AA265)=0,"",SUM(AA208:AA265))</f>
        <v/>
      </c>
      <c r="AB207" s="53"/>
      <c r="AC207" s="52">
        <f>+IF(SUM(AC208:AC265)=0,"",SUM(AC208:AC265))</f>
        <v>32434.072500000009</v>
      </c>
      <c r="AD207" s="53"/>
      <c r="AE207" s="52" t="str">
        <f>+IF(SUM(AE208:AE265)=0,"",SUM(AE208:AE265))</f>
        <v/>
      </c>
      <c r="AF207" s="192"/>
      <c r="AG207" s="52" t="str">
        <f>+IF(SUM(AG208:AG265)=0,"",SUM(AG208:AG265))</f>
        <v/>
      </c>
      <c r="AH207" s="91"/>
      <c r="AI207" s="63">
        <f>+IF(SUM(AI208:AI265)=0,"",SUM(AI208:AI265))</f>
        <v>1089.0264</v>
      </c>
      <c r="AJ207" s="53"/>
      <c r="AK207" s="52" t="str">
        <f>IF(SUM(AK208:AK265)=0,"",SUM(AK208:AK265))</f>
        <v/>
      </c>
      <c r="AL207" s="53"/>
      <c r="AM207" s="52" t="str">
        <f>IF(SUM(AM208:AM265)=0,"",SUM(AM208:AM265))</f>
        <v/>
      </c>
      <c r="AN207" s="51"/>
      <c r="AO207" s="52" t="str">
        <f>IF(SUM(AO208:AO265)=0,"",SUM(AO208:AO265))</f>
        <v/>
      </c>
      <c r="AP207" s="53"/>
      <c r="AQ207" s="52" t="str">
        <f>IF(SUM(AQ208:AQ265)=0,"",SUM(AQ208:AQ265))</f>
        <v/>
      </c>
      <c r="AR207" s="53"/>
      <c r="AS207" s="52" t="str">
        <f>IF(SUM(AS208:AS265)=0,"",SUM(AS208:AS265))</f>
        <v/>
      </c>
      <c r="AT207" s="53"/>
      <c r="AU207" s="52" t="str">
        <f>IF(SUM(AU208:AU265)=0,"",SUM(AU208:AU265))</f>
        <v/>
      </c>
      <c r="AV207" s="51"/>
      <c r="AW207" s="52" t="str">
        <f>IF(SUM(AW208:AW265)=0,"",SUM(AW208:AW265))</f>
        <v/>
      </c>
      <c r="AX207" s="53"/>
      <c r="AY207" s="52" t="str">
        <f>IF(SUM(AY208:AY265)=0,"",SUM(AY208:AY265))</f>
        <v/>
      </c>
      <c r="AZ207" s="53"/>
      <c r="BA207" s="52" t="str">
        <f>IF(SUM(BA208:BA265)=0,"",SUM(BA208:BA265))</f>
        <v/>
      </c>
      <c r="BB207" s="53"/>
      <c r="BC207" s="52" t="str">
        <f>IF(SUM(BC208:BC265)=0,"",SUM(BC208:BC265))</f>
        <v/>
      </c>
      <c r="BD207" s="54"/>
      <c r="BE207" s="63">
        <f>+SUM(BE208:BE265)</f>
        <v>33523.098900000012</v>
      </c>
      <c r="BF207" s="54"/>
      <c r="BG207" s="52">
        <f>+SUM(BG208:BG265)</f>
        <v>-1491.4303000000027</v>
      </c>
      <c r="BH207" s="210"/>
      <c r="BI207" s="18">
        <f t="shared" si="1319"/>
        <v>0</v>
      </c>
      <c r="BJ207" s="18">
        <f t="shared" si="1320"/>
        <v>0</v>
      </c>
      <c r="BK207" s="18">
        <f t="shared" si="1321"/>
        <v>0</v>
      </c>
      <c r="BL207" s="18">
        <f t="shared" si="1322"/>
        <v>0</v>
      </c>
      <c r="BM207" s="18">
        <f t="shared" si="1323"/>
        <v>0</v>
      </c>
      <c r="BN207" s="18">
        <f t="shared" si="1324"/>
        <v>0</v>
      </c>
      <c r="BO207" s="18">
        <f t="shared" si="1325"/>
        <v>0</v>
      </c>
      <c r="BP207" s="18">
        <f t="shared" si="1326"/>
        <v>0</v>
      </c>
      <c r="BQ207" s="18">
        <f t="shared" si="1327"/>
        <v>0</v>
      </c>
      <c r="BR207" s="18">
        <f t="shared" si="1328"/>
        <v>0</v>
      </c>
      <c r="BS207" s="18">
        <f t="shared" si="1329"/>
        <v>0</v>
      </c>
      <c r="BT207" s="18">
        <f t="shared" si="1330"/>
        <v>0</v>
      </c>
      <c r="BU207" s="18">
        <f t="shared" si="1331"/>
        <v>0</v>
      </c>
      <c r="BV207" s="18">
        <f t="shared" si="1332"/>
        <v>0</v>
      </c>
      <c r="BW207" s="18">
        <f t="shared" si="1333"/>
        <v>0</v>
      </c>
      <c r="BX207" s="18">
        <f t="shared" si="1334"/>
        <v>0</v>
      </c>
      <c r="BY207" s="18">
        <f t="shared" si="1335"/>
        <v>0</v>
      </c>
      <c r="BZ207" s="18">
        <f t="shared" si="1336"/>
        <v>0</v>
      </c>
      <c r="CA207" s="18">
        <f t="shared" si="1337"/>
        <v>0</v>
      </c>
      <c r="CB207" s="18">
        <f t="shared" si="1338"/>
        <v>0</v>
      </c>
      <c r="CC207" s="18">
        <f t="shared" si="1339"/>
        <v>0</v>
      </c>
      <c r="CD207" s="18">
        <f t="shared" si="1340"/>
        <v>0</v>
      </c>
      <c r="CE207" s="18">
        <f t="shared" si="1341"/>
        <v>0</v>
      </c>
      <c r="CF207" s="18">
        <f t="shared" si="1342"/>
        <v>0</v>
      </c>
    </row>
    <row r="208" spans="2:84" ht="101.25" outlineLevel="1">
      <c r="C208" s="27" t="s">
        <v>924</v>
      </c>
      <c r="D208" s="55">
        <v>-85</v>
      </c>
      <c r="E208" s="88" t="s">
        <v>874</v>
      </c>
      <c r="F208" s="56">
        <v>189.13</v>
      </c>
      <c r="G208" s="57">
        <f t="shared" si="1291"/>
        <v>-16076.05</v>
      </c>
      <c r="H208" s="28"/>
      <c r="I208" s="59" t="str">
        <f t="shared" si="1292"/>
        <v/>
      </c>
      <c r="J208" s="60"/>
      <c r="K208" s="59" t="str">
        <f t="shared" si="1293"/>
        <v/>
      </c>
      <c r="L208" s="60"/>
      <c r="M208" s="59" t="str">
        <f t="shared" si="1294"/>
        <v/>
      </c>
      <c r="N208" s="60"/>
      <c r="O208" s="59" t="str">
        <f t="shared" si="1295"/>
        <v/>
      </c>
      <c r="P208" s="60"/>
      <c r="Q208" s="59" t="str">
        <f t="shared" si="1296"/>
        <v/>
      </c>
      <c r="R208" s="60"/>
      <c r="S208" s="59" t="str">
        <f t="shared" si="1297"/>
        <v/>
      </c>
      <c r="T208" s="60"/>
      <c r="U208" s="59" t="str">
        <f t="shared" si="1298"/>
        <v/>
      </c>
      <c r="V208" s="60"/>
      <c r="W208" s="59" t="str">
        <f t="shared" si="1299"/>
        <v/>
      </c>
      <c r="X208" s="95"/>
      <c r="Y208" s="59" t="str">
        <f t="shared" si="1300"/>
        <v/>
      </c>
      <c r="Z208" s="95"/>
      <c r="AA208" s="59" t="str">
        <f t="shared" si="1301"/>
        <v/>
      </c>
      <c r="AB208" s="95"/>
      <c r="AC208" s="59" t="str">
        <f t="shared" si="1302"/>
        <v/>
      </c>
      <c r="AD208" s="60"/>
      <c r="AE208" s="59" t="str">
        <f t="shared" si="1303"/>
        <v/>
      </c>
      <c r="AF208" s="95"/>
      <c r="AG208" s="59" t="str">
        <f t="shared" ref="AG208" si="1525">+IF(OR($F208="",AF208=""),"",$F208*AF208)</f>
        <v/>
      </c>
      <c r="AH208" s="213"/>
      <c r="AI208" s="59" t="str">
        <f t="shared" si="1305"/>
        <v/>
      </c>
      <c r="AJ208" s="60"/>
      <c r="AK208" s="59" t="str">
        <f t="shared" si="1305"/>
        <v/>
      </c>
      <c r="AL208" s="60"/>
      <c r="AM208" s="59" t="str">
        <f t="shared" ref="AM208" si="1526">+IF(OR($F208="",AL208=""),"",$F208*AL208)</f>
        <v/>
      </c>
      <c r="AN208" s="60"/>
      <c r="AO208" s="59" t="str">
        <f t="shared" ref="AO208" si="1527">+IF(OR($F208="",AN208=""),"",$F208*AN208)</f>
        <v/>
      </c>
      <c r="AP208" s="60"/>
      <c r="AQ208" s="59" t="str">
        <f t="shared" ref="AQ208" si="1528">+IF(OR($F208="",AP208=""),"",$F208*AP208)</f>
        <v/>
      </c>
      <c r="AR208" s="60"/>
      <c r="AS208" s="59" t="str">
        <f t="shared" ref="AS208" si="1529">+IF(OR($F208="",AR208=""),"",$F208*AR208)</f>
        <v/>
      </c>
      <c r="AT208" s="60"/>
      <c r="AU208" s="59" t="str">
        <f t="shared" ref="AU208" si="1530">+IF(OR($F208="",AT208=""),"",$F208*AT208)</f>
        <v/>
      </c>
      <c r="AV208" s="60"/>
      <c r="AW208" s="59" t="str">
        <f t="shared" ref="AW208" si="1531">+IF(OR($F208="",AV208=""),"",$F208*AV208)</f>
        <v/>
      </c>
      <c r="AX208" s="60"/>
      <c r="AY208" s="59" t="str">
        <f t="shared" ref="AY208" si="1532">+IF(OR($F208="",AX208=""),"",$F208*AX208)</f>
        <v/>
      </c>
      <c r="AZ208" s="60"/>
      <c r="BA208" s="59" t="str">
        <f t="shared" ref="BA208" si="1533">+IF(OR($F208="",AZ208=""),"",$F208*AZ208)</f>
        <v/>
      </c>
      <c r="BB208" s="60"/>
      <c r="BC208" s="59" t="str">
        <f t="shared" ref="BC208" si="1534">+IF(OR($F208="",BB208=""),"",$F208*BB208)</f>
        <v/>
      </c>
      <c r="BD208" s="61">
        <f t="shared" si="1315"/>
        <v>0</v>
      </c>
      <c r="BE208" s="59">
        <f t="shared" si="1316"/>
        <v>0</v>
      </c>
      <c r="BF208" s="61">
        <f t="shared" si="1317"/>
        <v>-85</v>
      </c>
      <c r="BG208" s="59">
        <f t="shared" si="1318"/>
        <v>-16076.05</v>
      </c>
      <c r="BH208" s="196"/>
      <c r="BI208" s="1">
        <f t="shared" si="1319"/>
        <v>0</v>
      </c>
      <c r="BJ208" s="1">
        <f t="shared" si="1320"/>
        <v>0</v>
      </c>
      <c r="BK208" s="1">
        <f t="shared" si="1321"/>
        <v>0</v>
      </c>
      <c r="BL208" s="1">
        <f t="shared" si="1322"/>
        <v>0</v>
      </c>
      <c r="BM208" s="1">
        <f t="shared" si="1323"/>
        <v>0</v>
      </c>
      <c r="BN208" s="1">
        <f t="shared" si="1324"/>
        <v>0</v>
      </c>
      <c r="BO208" s="1">
        <f t="shared" si="1325"/>
        <v>0</v>
      </c>
      <c r="BP208" s="1">
        <f t="shared" si="1326"/>
        <v>0</v>
      </c>
      <c r="BQ208" s="1">
        <f t="shared" si="1327"/>
        <v>0</v>
      </c>
      <c r="BR208" s="1">
        <f t="shared" si="1328"/>
        <v>0</v>
      </c>
      <c r="BS208" s="1">
        <f t="shared" si="1329"/>
        <v>0</v>
      </c>
      <c r="BT208" s="1">
        <f t="shared" si="1330"/>
        <v>0</v>
      </c>
      <c r="BU208" s="1">
        <f t="shared" si="1331"/>
        <v>0</v>
      </c>
      <c r="BV208" s="1">
        <f t="shared" si="1332"/>
        <v>0</v>
      </c>
      <c r="BW208" s="1">
        <f t="shared" si="1333"/>
        <v>0</v>
      </c>
      <c r="BX208" s="1">
        <f t="shared" si="1334"/>
        <v>0</v>
      </c>
      <c r="BY208" s="1">
        <f t="shared" si="1335"/>
        <v>0</v>
      </c>
      <c r="BZ208" s="1">
        <f t="shared" si="1336"/>
        <v>0</v>
      </c>
      <c r="CA208" s="1">
        <f t="shared" si="1337"/>
        <v>0</v>
      </c>
      <c r="CB208" s="1">
        <f t="shared" si="1338"/>
        <v>0</v>
      </c>
      <c r="CC208" s="1">
        <f t="shared" si="1339"/>
        <v>0</v>
      </c>
      <c r="CD208" s="1">
        <f t="shared" si="1340"/>
        <v>0</v>
      </c>
      <c r="CE208" s="1">
        <f t="shared" si="1341"/>
        <v>0</v>
      </c>
      <c r="CF208" s="1">
        <f t="shared" si="1342"/>
        <v>0</v>
      </c>
    </row>
    <row r="209" spans="2:85" ht="90" outlineLevel="1">
      <c r="B209" s="211"/>
      <c r="C209" s="27" t="s">
        <v>956</v>
      </c>
      <c r="D209" s="55">
        <v>-143</v>
      </c>
      <c r="E209" s="88" t="s">
        <v>874</v>
      </c>
      <c r="F209" s="56">
        <v>49.66</v>
      </c>
      <c r="G209" s="57">
        <f t="shared" si="1291"/>
        <v>-7101.3799999999992</v>
      </c>
      <c r="H209" s="28"/>
      <c r="I209" s="59" t="str">
        <f t="shared" si="1292"/>
        <v/>
      </c>
      <c r="J209" s="60"/>
      <c r="K209" s="59" t="str">
        <f t="shared" si="1293"/>
        <v/>
      </c>
      <c r="L209" s="60"/>
      <c r="M209" s="59" t="str">
        <f t="shared" si="1294"/>
        <v/>
      </c>
      <c r="N209" s="60"/>
      <c r="O209" s="59" t="str">
        <f t="shared" si="1295"/>
        <v/>
      </c>
      <c r="P209" s="60"/>
      <c r="Q209" s="59" t="str">
        <f t="shared" si="1296"/>
        <v/>
      </c>
      <c r="R209" s="60"/>
      <c r="S209" s="59" t="str">
        <f t="shared" si="1297"/>
        <v/>
      </c>
      <c r="T209" s="60"/>
      <c r="U209" s="59" t="str">
        <f t="shared" si="1298"/>
        <v/>
      </c>
      <c r="V209" s="60"/>
      <c r="W209" s="59" t="str">
        <f t="shared" si="1299"/>
        <v/>
      </c>
      <c r="X209" s="95"/>
      <c r="Y209" s="59" t="str">
        <f t="shared" si="1300"/>
        <v/>
      </c>
      <c r="Z209" s="95"/>
      <c r="AA209" s="59" t="str">
        <f t="shared" si="1301"/>
        <v/>
      </c>
      <c r="AB209" s="95"/>
      <c r="AC209" s="59" t="str">
        <f t="shared" si="1302"/>
        <v/>
      </c>
      <c r="AD209" s="60"/>
      <c r="AE209" s="59" t="str">
        <f t="shared" si="1303"/>
        <v/>
      </c>
      <c r="AF209" s="95"/>
      <c r="AG209" s="59" t="str">
        <f t="shared" ref="AG209" si="1535">+IF(OR($F209="",AF209=""),"",$F209*AF209)</f>
        <v/>
      </c>
      <c r="AH209" s="213"/>
      <c r="AI209" s="59" t="str">
        <f t="shared" si="1305"/>
        <v/>
      </c>
      <c r="AJ209" s="60"/>
      <c r="AK209" s="59" t="str">
        <f t="shared" si="1305"/>
        <v/>
      </c>
      <c r="AL209" s="60"/>
      <c r="AM209" s="59" t="str">
        <f t="shared" ref="AM209" si="1536">+IF(OR($F209="",AL209=""),"",$F209*AL209)</f>
        <v/>
      </c>
      <c r="AN209" s="60"/>
      <c r="AO209" s="59" t="str">
        <f t="shared" ref="AO209" si="1537">+IF(OR($F209="",AN209=""),"",$F209*AN209)</f>
        <v/>
      </c>
      <c r="AP209" s="60"/>
      <c r="AQ209" s="59" t="str">
        <f t="shared" ref="AQ209" si="1538">+IF(OR($F209="",AP209=""),"",$F209*AP209)</f>
        <v/>
      </c>
      <c r="AR209" s="60"/>
      <c r="AS209" s="59" t="str">
        <f t="shared" ref="AS209" si="1539">+IF(OR($F209="",AR209=""),"",$F209*AR209)</f>
        <v/>
      </c>
      <c r="AT209" s="60"/>
      <c r="AU209" s="59" t="str">
        <f t="shared" ref="AU209" si="1540">+IF(OR($F209="",AT209=""),"",$F209*AT209)</f>
        <v/>
      </c>
      <c r="AV209" s="60"/>
      <c r="AW209" s="59" t="str">
        <f t="shared" ref="AW209" si="1541">+IF(OR($F209="",AV209=""),"",$F209*AV209)</f>
        <v/>
      </c>
      <c r="AX209" s="60"/>
      <c r="AY209" s="59" t="str">
        <f t="shared" ref="AY209" si="1542">+IF(OR($F209="",AX209=""),"",$F209*AX209)</f>
        <v/>
      </c>
      <c r="AZ209" s="60"/>
      <c r="BA209" s="59" t="str">
        <f t="shared" ref="BA209" si="1543">+IF(OR($F209="",AZ209=""),"",$F209*AZ209)</f>
        <v/>
      </c>
      <c r="BB209" s="60"/>
      <c r="BC209" s="59" t="str">
        <f t="shared" ref="BC209" si="1544">+IF(OR($F209="",BB209=""),"",$F209*BB209)</f>
        <v/>
      </c>
      <c r="BD209" s="61">
        <f t="shared" si="1315"/>
        <v>0</v>
      </c>
      <c r="BE209" s="59">
        <f t="shared" si="1316"/>
        <v>0</v>
      </c>
      <c r="BF209" s="61">
        <f t="shared" si="1317"/>
        <v>-143</v>
      </c>
      <c r="BG209" s="59">
        <f t="shared" si="1318"/>
        <v>-7101.3799999999992</v>
      </c>
      <c r="BH209" s="196"/>
      <c r="BI209" s="1">
        <f t="shared" si="1319"/>
        <v>0</v>
      </c>
      <c r="BJ209" s="1">
        <f t="shared" si="1320"/>
        <v>0</v>
      </c>
      <c r="BK209" s="1">
        <f t="shared" si="1321"/>
        <v>0</v>
      </c>
      <c r="BL209" s="1">
        <f t="shared" si="1322"/>
        <v>0</v>
      </c>
      <c r="BM209" s="1">
        <f t="shared" si="1323"/>
        <v>0</v>
      </c>
      <c r="BN209" s="1">
        <f t="shared" si="1324"/>
        <v>0</v>
      </c>
      <c r="BO209" s="1">
        <f t="shared" si="1325"/>
        <v>0</v>
      </c>
      <c r="BP209" s="1">
        <f t="shared" si="1326"/>
        <v>0</v>
      </c>
      <c r="BQ209" s="1">
        <f t="shared" si="1327"/>
        <v>0</v>
      </c>
      <c r="BR209" s="1">
        <f t="shared" si="1328"/>
        <v>0</v>
      </c>
      <c r="BS209" s="1">
        <f t="shared" si="1329"/>
        <v>0</v>
      </c>
      <c r="BT209" s="1">
        <f t="shared" si="1330"/>
        <v>0</v>
      </c>
      <c r="BU209" s="1">
        <f t="shared" si="1331"/>
        <v>0</v>
      </c>
      <c r="BV209" s="1">
        <f t="shared" si="1332"/>
        <v>0</v>
      </c>
      <c r="BW209" s="1">
        <f t="shared" si="1333"/>
        <v>0</v>
      </c>
      <c r="BX209" s="1">
        <f t="shared" si="1334"/>
        <v>0</v>
      </c>
      <c r="BY209" s="1">
        <f t="shared" si="1335"/>
        <v>0</v>
      </c>
      <c r="BZ209" s="1">
        <f t="shared" si="1336"/>
        <v>0</v>
      </c>
      <c r="CA209" s="1">
        <f t="shared" si="1337"/>
        <v>0</v>
      </c>
      <c r="CB209" s="1">
        <f t="shared" si="1338"/>
        <v>0</v>
      </c>
      <c r="CC209" s="1">
        <f t="shared" si="1339"/>
        <v>0</v>
      </c>
      <c r="CD209" s="1">
        <f t="shared" si="1340"/>
        <v>0</v>
      </c>
      <c r="CE209" s="1">
        <f t="shared" si="1341"/>
        <v>0</v>
      </c>
      <c r="CF209" s="1">
        <f t="shared" si="1342"/>
        <v>0</v>
      </c>
    </row>
    <row r="210" spans="2:85" ht="67.5" outlineLevel="1">
      <c r="C210" s="27" t="s">
        <v>957</v>
      </c>
      <c r="D210" s="55">
        <v>-10</v>
      </c>
      <c r="E210" s="88" t="s">
        <v>828</v>
      </c>
      <c r="F210" s="56">
        <v>220.74</v>
      </c>
      <c r="G210" s="57">
        <f t="shared" si="1291"/>
        <v>-2207.4</v>
      </c>
      <c r="H210" s="28"/>
      <c r="I210" s="59" t="str">
        <f t="shared" si="1292"/>
        <v/>
      </c>
      <c r="J210" s="60"/>
      <c r="K210" s="59" t="str">
        <f t="shared" si="1293"/>
        <v/>
      </c>
      <c r="L210" s="60"/>
      <c r="M210" s="59" t="str">
        <f t="shared" si="1294"/>
        <v/>
      </c>
      <c r="N210" s="60"/>
      <c r="O210" s="59" t="str">
        <f t="shared" si="1295"/>
        <v/>
      </c>
      <c r="P210" s="60"/>
      <c r="Q210" s="59" t="str">
        <f t="shared" si="1296"/>
        <v/>
      </c>
      <c r="R210" s="60"/>
      <c r="S210" s="59" t="str">
        <f t="shared" si="1297"/>
        <v/>
      </c>
      <c r="T210" s="60"/>
      <c r="U210" s="59" t="str">
        <f t="shared" si="1298"/>
        <v/>
      </c>
      <c r="V210" s="60"/>
      <c r="W210" s="59" t="str">
        <f t="shared" si="1299"/>
        <v/>
      </c>
      <c r="X210" s="95"/>
      <c r="Y210" s="59" t="str">
        <f t="shared" si="1300"/>
        <v/>
      </c>
      <c r="Z210" s="95"/>
      <c r="AA210" s="59" t="str">
        <f t="shared" si="1301"/>
        <v/>
      </c>
      <c r="AB210" s="95"/>
      <c r="AC210" s="59" t="str">
        <f t="shared" si="1302"/>
        <v/>
      </c>
      <c r="AD210" s="60"/>
      <c r="AE210" s="59" t="str">
        <f t="shared" si="1303"/>
        <v/>
      </c>
      <c r="AF210" s="95"/>
      <c r="AG210" s="59" t="str">
        <f t="shared" ref="AG210" si="1545">+IF(OR($F210="",AF210=""),"",$F210*AF210)</f>
        <v/>
      </c>
      <c r="AH210" s="213"/>
      <c r="AI210" s="59" t="str">
        <f t="shared" si="1305"/>
        <v/>
      </c>
      <c r="AJ210" s="60"/>
      <c r="AK210" s="59" t="str">
        <f t="shared" si="1305"/>
        <v/>
      </c>
      <c r="AL210" s="60"/>
      <c r="AM210" s="59" t="str">
        <f t="shared" ref="AM210" si="1546">+IF(OR($F210="",AL210=""),"",$F210*AL210)</f>
        <v/>
      </c>
      <c r="AN210" s="60"/>
      <c r="AO210" s="59" t="str">
        <f t="shared" ref="AO210" si="1547">+IF(OR($F210="",AN210=""),"",$F210*AN210)</f>
        <v/>
      </c>
      <c r="AP210" s="60"/>
      <c r="AQ210" s="59" t="str">
        <f t="shared" ref="AQ210" si="1548">+IF(OR($F210="",AP210=""),"",$F210*AP210)</f>
        <v/>
      </c>
      <c r="AR210" s="60"/>
      <c r="AS210" s="59" t="str">
        <f t="shared" ref="AS210" si="1549">+IF(OR($F210="",AR210=""),"",$F210*AR210)</f>
        <v/>
      </c>
      <c r="AT210" s="60"/>
      <c r="AU210" s="59" t="str">
        <f t="shared" ref="AU210" si="1550">+IF(OR($F210="",AT210=""),"",$F210*AT210)</f>
        <v/>
      </c>
      <c r="AV210" s="60"/>
      <c r="AW210" s="59" t="str">
        <f t="shared" ref="AW210" si="1551">+IF(OR($F210="",AV210=""),"",$F210*AV210)</f>
        <v/>
      </c>
      <c r="AX210" s="60"/>
      <c r="AY210" s="59" t="str">
        <f t="shared" ref="AY210" si="1552">+IF(OR($F210="",AX210=""),"",$F210*AX210)</f>
        <v/>
      </c>
      <c r="AZ210" s="60"/>
      <c r="BA210" s="59" t="str">
        <f t="shared" ref="BA210" si="1553">+IF(OR($F210="",AZ210=""),"",$F210*AZ210)</f>
        <v/>
      </c>
      <c r="BB210" s="60"/>
      <c r="BC210" s="59" t="str">
        <f t="shared" ref="BC210" si="1554">+IF(OR($F210="",BB210=""),"",$F210*BB210)</f>
        <v/>
      </c>
      <c r="BD210" s="61">
        <f t="shared" si="1315"/>
        <v>0</v>
      </c>
      <c r="BE210" s="59">
        <f t="shared" si="1316"/>
        <v>0</v>
      </c>
      <c r="BF210" s="61">
        <f t="shared" si="1317"/>
        <v>-10</v>
      </c>
      <c r="BG210" s="59">
        <f t="shared" si="1318"/>
        <v>-2207.4</v>
      </c>
      <c r="BH210" s="196"/>
      <c r="BI210" s="1">
        <f t="shared" si="1319"/>
        <v>0</v>
      </c>
      <c r="BJ210" s="1">
        <f t="shared" si="1320"/>
        <v>0</v>
      </c>
      <c r="BK210" s="1">
        <f t="shared" si="1321"/>
        <v>0</v>
      </c>
      <c r="BL210" s="1">
        <f t="shared" si="1322"/>
        <v>0</v>
      </c>
      <c r="BM210" s="1">
        <f t="shared" si="1323"/>
        <v>0</v>
      </c>
      <c r="BN210" s="1">
        <f t="shared" si="1324"/>
        <v>0</v>
      </c>
      <c r="BO210" s="1">
        <f t="shared" si="1325"/>
        <v>0</v>
      </c>
      <c r="BP210" s="1">
        <f t="shared" si="1326"/>
        <v>0</v>
      </c>
      <c r="BQ210" s="1">
        <f t="shared" si="1327"/>
        <v>0</v>
      </c>
      <c r="BR210" s="1">
        <f t="shared" si="1328"/>
        <v>0</v>
      </c>
      <c r="BS210" s="1">
        <f t="shared" si="1329"/>
        <v>0</v>
      </c>
      <c r="BT210" s="1">
        <f t="shared" si="1330"/>
        <v>0</v>
      </c>
      <c r="BU210" s="1">
        <f t="shared" si="1331"/>
        <v>0</v>
      </c>
      <c r="BV210" s="1">
        <f t="shared" si="1332"/>
        <v>0</v>
      </c>
      <c r="BW210" s="1">
        <f t="shared" si="1333"/>
        <v>0</v>
      </c>
      <c r="BX210" s="1">
        <f t="shared" si="1334"/>
        <v>0</v>
      </c>
      <c r="BY210" s="1">
        <f t="shared" si="1335"/>
        <v>0</v>
      </c>
      <c r="BZ210" s="1">
        <f t="shared" si="1336"/>
        <v>0</v>
      </c>
      <c r="CA210" s="1">
        <f t="shared" si="1337"/>
        <v>0</v>
      </c>
      <c r="CB210" s="1">
        <f t="shared" si="1338"/>
        <v>0</v>
      </c>
      <c r="CC210" s="1">
        <f t="shared" si="1339"/>
        <v>0</v>
      </c>
      <c r="CD210" s="1">
        <f t="shared" si="1340"/>
        <v>0</v>
      </c>
      <c r="CE210" s="1">
        <f t="shared" si="1341"/>
        <v>0</v>
      </c>
      <c r="CF210" s="1">
        <f t="shared" si="1342"/>
        <v>0</v>
      </c>
    </row>
    <row r="211" spans="2:85" ht="22.5" outlineLevel="1">
      <c r="C211" s="27" t="s">
        <v>958</v>
      </c>
      <c r="D211" s="55">
        <v>-4</v>
      </c>
      <c r="E211" s="88" t="s">
        <v>828</v>
      </c>
      <c r="F211" s="56">
        <v>218.41</v>
      </c>
      <c r="G211" s="57">
        <f t="shared" si="1291"/>
        <v>-873.64</v>
      </c>
      <c r="H211" s="28"/>
      <c r="I211" s="59" t="str">
        <f t="shared" si="1292"/>
        <v/>
      </c>
      <c r="J211" s="60"/>
      <c r="K211" s="59" t="str">
        <f t="shared" si="1293"/>
        <v/>
      </c>
      <c r="L211" s="60"/>
      <c r="M211" s="59" t="str">
        <f t="shared" si="1294"/>
        <v/>
      </c>
      <c r="N211" s="60"/>
      <c r="O211" s="59" t="str">
        <f t="shared" si="1295"/>
        <v/>
      </c>
      <c r="P211" s="60"/>
      <c r="Q211" s="59" t="str">
        <f t="shared" si="1296"/>
        <v/>
      </c>
      <c r="R211" s="60"/>
      <c r="S211" s="59" t="str">
        <f t="shared" si="1297"/>
        <v/>
      </c>
      <c r="T211" s="60"/>
      <c r="U211" s="59" t="str">
        <f t="shared" si="1298"/>
        <v/>
      </c>
      <c r="V211" s="60"/>
      <c r="W211" s="59" t="str">
        <f t="shared" si="1299"/>
        <v/>
      </c>
      <c r="X211" s="95"/>
      <c r="Y211" s="59" t="str">
        <f t="shared" si="1300"/>
        <v/>
      </c>
      <c r="Z211" s="95"/>
      <c r="AA211" s="59" t="str">
        <f t="shared" si="1301"/>
        <v/>
      </c>
      <c r="AB211" s="95"/>
      <c r="AC211" s="59" t="str">
        <f t="shared" si="1302"/>
        <v/>
      </c>
      <c r="AD211" s="60"/>
      <c r="AE211" s="59" t="str">
        <f t="shared" si="1303"/>
        <v/>
      </c>
      <c r="AF211" s="95"/>
      <c r="AG211" s="59" t="str">
        <f t="shared" ref="AG211" si="1555">+IF(OR($F211="",AF211=""),"",$F211*AF211)</f>
        <v/>
      </c>
      <c r="AH211" s="213"/>
      <c r="AI211" s="59" t="str">
        <f t="shared" si="1305"/>
        <v/>
      </c>
      <c r="AJ211" s="60"/>
      <c r="AK211" s="59" t="str">
        <f t="shared" si="1305"/>
        <v/>
      </c>
      <c r="AL211" s="60"/>
      <c r="AM211" s="59" t="str">
        <f t="shared" ref="AM211" si="1556">+IF(OR($F211="",AL211=""),"",$F211*AL211)</f>
        <v/>
      </c>
      <c r="AN211" s="60"/>
      <c r="AO211" s="59" t="str">
        <f t="shared" ref="AO211" si="1557">+IF(OR($F211="",AN211=""),"",$F211*AN211)</f>
        <v/>
      </c>
      <c r="AP211" s="60"/>
      <c r="AQ211" s="59" t="str">
        <f t="shared" ref="AQ211" si="1558">+IF(OR($F211="",AP211=""),"",$F211*AP211)</f>
        <v/>
      </c>
      <c r="AR211" s="60"/>
      <c r="AS211" s="59" t="str">
        <f t="shared" ref="AS211" si="1559">+IF(OR($F211="",AR211=""),"",$F211*AR211)</f>
        <v/>
      </c>
      <c r="AT211" s="60"/>
      <c r="AU211" s="59" t="str">
        <f t="shared" ref="AU211" si="1560">+IF(OR($F211="",AT211=""),"",$F211*AT211)</f>
        <v/>
      </c>
      <c r="AV211" s="60"/>
      <c r="AW211" s="59" t="str">
        <f t="shared" ref="AW211" si="1561">+IF(OR($F211="",AV211=""),"",$F211*AV211)</f>
        <v/>
      </c>
      <c r="AX211" s="60"/>
      <c r="AY211" s="59" t="str">
        <f t="shared" ref="AY211" si="1562">+IF(OR($F211="",AX211=""),"",$F211*AX211)</f>
        <v/>
      </c>
      <c r="AZ211" s="60"/>
      <c r="BA211" s="59" t="str">
        <f t="shared" ref="BA211" si="1563">+IF(OR($F211="",AZ211=""),"",$F211*AZ211)</f>
        <v/>
      </c>
      <c r="BB211" s="60"/>
      <c r="BC211" s="59" t="str">
        <f t="shared" ref="BC211" si="1564">+IF(OR($F211="",BB211=""),"",$F211*BB211)</f>
        <v/>
      </c>
      <c r="BD211" s="61">
        <f t="shared" si="1315"/>
        <v>0</v>
      </c>
      <c r="BE211" s="59">
        <f t="shared" si="1316"/>
        <v>0</v>
      </c>
      <c r="BF211" s="61">
        <f t="shared" si="1317"/>
        <v>-4</v>
      </c>
      <c r="BG211" s="59">
        <f t="shared" si="1318"/>
        <v>-873.64</v>
      </c>
      <c r="BH211" s="196"/>
      <c r="BI211" s="1">
        <f t="shared" si="1319"/>
        <v>0</v>
      </c>
      <c r="BJ211" s="1">
        <f t="shared" si="1320"/>
        <v>0</v>
      </c>
      <c r="BK211" s="1">
        <f t="shared" si="1321"/>
        <v>0</v>
      </c>
      <c r="BL211" s="1">
        <f t="shared" si="1322"/>
        <v>0</v>
      </c>
      <c r="BM211" s="1">
        <f t="shared" si="1323"/>
        <v>0</v>
      </c>
      <c r="BN211" s="1">
        <f t="shared" si="1324"/>
        <v>0</v>
      </c>
      <c r="BO211" s="1">
        <f t="shared" si="1325"/>
        <v>0</v>
      </c>
      <c r="BP211" s="1">
        <f t="shared" si="1326"/>
        <v>0</v>
      </c>
      <c r="BQ211" s="1">
        <f t="shared" si="1327"/>
        <v>0</v>
      </c>
      <c r="BR211" s="1">
        <f t="shared" si="1328"/>
        <v>0</v>
      </c>
      <c r="BS211" s="1">
        <f t="shared" si="1329"/>
        <v>0</v>
      </c>
      <c r="BT211" s="1">
        <f t="shared" si="1330"/>
        <v>0</v>
      </c>
      <c r="BU211" s="1">
        <f t="shared" si="1331"/>
        <v>0</v>
      </c>
      <c r="BV211" s="1">
        <f t="shared" si="1332"/>
        <v>0</v>
      </c>
      <c r="BW211" s="1">
        <f t="shared" si="1333"/>
        <v>0</v>
      </c>
      <c r="BX211" s="1">
        <f t="shared" si="1334"/>
        <v>0</v>
      </c>
      <c r="BY211" s="1">
        <f t="shared" si="1335"/>
        <v>0</v>
      </c>
      <c r="BZ211" s="1">
        <f t="shared" si="1336"/>
        <v>0</v>
      </c>
      <c r="CA211" s="1">
        <f t="shared" si="1337"/>
        <v>0</v>
      </c>
      <c r="CB211" s="1">
        <f t="shared" si="1338"/>
        <v>0</v>
      </c>
      <c r="CC211" s="1">
        <f t="shared" si="1339"/>
        <v>0</v>
      </c>
      <c r="CD211" s="1">
        <f t="shared" si="1340"/>
        <v>0</v>
      </c>
      <c r="CE211" s="1">
        <f t="shared" si="1341"/>
        <v>0</v>
      </c>
      <c r="CF211" s="1">
        <f t="shared" si="1342"/>
        <v>0</v>
      </c>
    </row>
    <row r="212" spans="2:85" ht="22.5" outlineLevel="1">
      <c r="C212" s="27" t="s">
        <v>959</v>
      </c>
      <c r="D212" s="55">
        <v>-3</v>
      </c>
      <c r="E212" s="88" t="s">
        <v>828</v>
      </c>
      <c r="F212" s="56">
        <v>211.61</v>
      </c>
      <c r="G212" s="57">
        <f t="shared" si="1291"/>
        <v>-634.83000000000004</v>
      </c>
      <c r="H212" s="28"/>
      <c r="I212" s="59" t="str">
        <f t="shared" si="1292"/>
        <v/>
      </c>
      <c r="J212" s="60"/>
      <c r="K212" s="59" t="str">
        <f t="shared" si="1293"/>
        <v/>
      </c>
      <c r="L212" s="60"/>
      <c r="M212" s="59" t="str">
        <f t="shared" si="1294"/>
        <v/>
      </c>
      <c r="N212" s="60"/>
      <c r="O212" s="59" t="str">
        <f t="shared" si="1295"/>
        <v/>
      </c>
      <c r="P212" s="60"/>
      <c r="Q212" s="59" t="str">
        <f t="shared" si="1296"/>
        <v/>
      </c>
      <c r="R212" s="60"/>
      <c r="S212" s="59" t="str">
        <f t="shared" si="1297"/>
        <v/>
      </c>
      <c r="T212" s="60"/>
      <c r="U212" s="59" t="str">
        <f t="shared" si="1298"/>
        <v/>
      </c>
      <c r="V212" s="60"/>
      <c r="W212" s="59" t="str">
        <f t="shared" si="1299"/>
        <v/>
      </c>
      <c r="X212" s="95"/>
      <c r="Y212" s="59" t="str">
        <f t="shared" si="1300"/>
        <v/>
      </c>
      <c r="Z212" s="95"/>
      <c r="AA212" s="59" t="str">
        <f t="shared" si="1301"/>
        <v/>
      </c>
      <c r="AB212" s="95"/>
      <c r="AC212" s="59" t="str">
        <f t="shared" si="1302"/>
        <v/>
      </c>
      <c r="AD212" s="60"/>
      <c r="AE212" s="59" t="str">
        <f t="shared" si="1303"/>
        <v/>
      </c>
      <c r="AF212" s="95"/>
      <c r="AG212" s="59" t="str">
        <f t="shared" ref="AG212" si="1565">+IF(OR($F212="",AF212=""),"",$F212*AF212)</f>
        <v/>
      </c>
      <c r="AH212" s="213"/>
      <c r="AI212" s="59" t="str">
        <f t="shared" si="1305"/>
        <v/>
      </c>
      <c r="AJ212" s="60"/>
      <c r="AK212" s="59" t="str">
        <f t="shared" si="1305"/>
        <v/>
      </c>
      <c r="AL212" s="60"/>
      <c r="AM212" s="59" t="str">
        <f t="shared" ref="AM212" si="1566">+IF(OR($F212="",AL212=""),"",$F212*AL212)</f>
        <v/>
      </c>
      <c r="AN212" s="60"/>
      <c r="AO212" s="59" t="str">
        <f t="shared" ref="AO212" si="1567">+IF(OR($F212="",AN212=""),"",$F212*AN212)</f>
        <v/>
      </c>
      <c r="AP212" s="60"/>
      <c r="AQ212" s="59" t="str">
        <f t="shared" ref="AQ212" si="1568">+IF(OR($F212="",AP212=""),"",$F212*AP212)</f>
        <v/>
      </c>
      <c r="AR212" s="60"/>
      <c r="AS212" s="59" t="str">
        <f t="shared" ref="AS212" si="1569">+IF(OR($F212="",AR212=""),"",$F212*AR212)</f>
        <v/>
      </c>
      <c r="AT212" s="60"/>
      <c r="AU212" s="59" t="str">
        <f t="shared" ref="AU212" si="1570">+IF(OR($F212="",AT212=""),"",$F212*AT212)</f>
        <v/>
      </c>
      <c r="AV212" s="60"/>
      <c r="AW212" s="59" t="str">
        <f t="shared" ref="AW212" si="1571">+IF(OR($F212="",AV212=""),"",$F212*AV212)</f>
        <v/>
      </c>
      <c r="AX212" s="60"/>
      <c r="AY212" s="59" t="str">
        <f t="shared" ref="AY212" si="1572">+IF(OR($F212="",AX212=""),"",$F212*AX212)</f>
        <v/>
      </c>
      <c r="AZ212" s="60"/>
      <c r="BA212" s="59" t="str">
        <f t="shared" ref="BA212" si="1573">+IF(OR($F212="",AZ212=""),"",$F212*AZ212)</f>
        <v/>
      </c>
      <c r="BB212" s="60"/>
      <c r="BC212" s="59" t="str">
        <f t="shared" ref="BC212" si="1574">+IF(OR($F212="",BB212=""),"",$F212*BB212)</f>
        <v/>
      </c>
      <c r="BD212" s="61">
        <f t="shared" si="1315"/>
        <v>0</v>
      </c>
      <c r="BE212" s="59">
        <f t="shared" si="1316"/>
        <v>0</v>
      </c>
      <c r="BF212" s="61">
        <f t="shared" si="1317"/>
        <v>-3</v>
      </c>
      <c r="BG212" s="59">
        <f t="shared" si="1318"/>
        <v>-634.83000000000004</v>
      </c>
      <c r="BH212" s="196"/>
      <c r="BI212" s="1">
        <f t="shared" si="1319"/>
        <v>0</v>
      </c>
      <c r="BJ212" s="1">
        <f t="shared" si="1320"/>
        <v>0</v>
      </c>
      <c r="BK212" s="1">
        <f t="shared" si="1321"/>
        <v>0</v>
      </c>
      <c r="BL212" s="1">
        <f t="shared" si="1322"/>
        <v>0</v>
      </c>
      <c r="BM212" s="1">
        <f t="shared" si="1323"/>
        <v>0</v>
      </c>
      <c r="BN212" s="1">
        <f t="shared" si="1324"/>
        <v>0</v>
      </c>
      <c r="BO212" s="1">
        <f t="shared" si="1325"/>
        <v>0</v>
      </c>
      <c r="BP212" s="1">
        <f t="shared" si="1326"/>
        <v>0</v>
      </c>
      <c r="BQ212" s="1">
        <f t="shared" si="1327"/>
        <v>0</v>
      </c>
      <c r="BR212" s="1">
        <f t="shared" si="1328"/>
        <v>0</v>
      </c>
      <c r="BS212" s="1">
        <f t="shared" si="1329"/>
        <v>0</v>
      </c>
      <c r="BT212" s="1">
        <f t="shared" si="1330"/>
        <v>0</v>
      </c>
      <c r="BU212" s="1">
        <f t="shared" si="1331"/>
        <v>0</v>
      </c>
      <c r="BV212" s="1">
        <f t="shared" si="1332"/>
        <v>0</v>
      </c>
      <c r="BW212" s="1">
        <f t="shared" si="1333"/>
        <v>0</v>
      </c>
      <c r="BX212" s="1">
        <f t="shared" si="1334"/>
        <v>0</v>
      </c>
      <c r="BY212" s="1">
        <f t="shared" si="1335"/>
        <v>0</v>
      </c>
      <c r="BZ212" s="1">
        <f t="shared" si="1336"/>
        <v>0</v>
      </c>
      <c r="CA212" s="1">
        <f t="shared" si="1337"/>
        <v>0</v>
      </c>
      <c r="CB212" s="1">
        <f t="shared" si="1338"/>
        <v>0</v>
      </c>
      <c r="CC212" s="1">
        <f t="shared" si="1339"/>
        <v>0</v>
      </c>
      <c r="CD212" s="1">
        <f t="shared" si="1340"/>
        <v>0</v>
      </c>
      <c r="CE212" s="1">
        <f t="shared" si="1341"/>
        <v>0</v>
      </c>
      <c r="CF212" s="1">
        <f t="shared" si="1342"/>
        <v>0</v>
      </c>
    </row>
    <row r="213" spans="2:85" ht="22.5" outlineLevel="1">
      <c r="C213" s="27" t="s">
        <v>286</v>
      </c>
      <c r="D213" s="55">
        <v>-4</v>
      </c>
      <c r="E213" s="88" t="s">
        <v>828</v>
      </c>
      <c r="F213" s="56">
        <v>158.03</v>
      </c>
      <c r="G213" s="57">
        <f t="shared" si="1291"/>
        <v>-632.12</v>
      </c>
      <c r="H213" s="28"/>
      <c r="I213" s="59" t="str">
        <f t="shared" si="1292"/>
        <v/>
      </c>
      <c r="J213" s="60"/>
      <c r="K213" s="59" t="str">
        <f t="shared" si="1293"/>
        <v/>
      </c>
      <c r="L213" s="60"/>
      <c r="M213" s="59" t="str">
        <f t="shared" si="1294"/>
        <v/>
      </c>
      <c r="N213" s="60"/>
      <c r="O213" s="59" t="str">
        <f t="shared" si="1295"/>
        <v/>
      </c>
      <c r="P213" s="60"/>
      <c r="Q213" s="59" t="str">
        <f t="shared" si="1296"/>
        <v/>
      </c>
      <c r="R213" s="60"/>
      <c r="S213" s="59" t="str">
        <f t="shared" si="1297"/>
        <v/>
      </c>
      <c r="T213" s="60"/>
      <c r="U213" s="59" t="str">
        <f t="shared" si="1298"/>
        <v/>
      </c>
      <c r="V213" s="60"/>
      <c r="W213" s="59" t="str">
        <f t="shared" si="1299"/>
        <v/>
      </c>
      <c r="X213" s="95"/>
      <c r="Y213" s="59" t="str">
        <f t="shared" si="1300"/>
        <v/>
      </c>
      <c r="Z213" s="95"/>
      <c r="AA213" s="59" t="str">
        <f t="shared" si="1301"/>
        <v/>
      </c>
      <c r="AB213" s="95"/>
      <c r="AC213" s="59" t="str">
        <f t="shared" si="1302"/>
        <v/>
      </c>
      <c r="AD213" s="60"/>
      <c r="AE213" s="59" t="str">
        <f t="shared" si="1303"/>
        <v/>
      </c>
      <c r="AF213" s="95"/>
      <c r="AG213" s="59" t="str">
        <f t="shared" ref="AG213" si="1575">+IF(OR($F213="",AF213=""),"",$F213*AF213)</f>
        <v/>
      </c>
      <c r="AH213" s="213"/>
      <c r="AI213" s="59" t="str">
        <f t="shared" si="1305"/>
        <v/>
      </c>
      <c r="AJ213" s="60"/>
      <c r="AK213" s="59" t="str">
        <f t="shared" si="1305"/>
        <v/>
      </c>
      <c r="AL213" s="60"/>
      <c r="AM213" s="59" t="str">
        <f t="shared" ref="AM213" si="1576">+IF(OR($F213="",AL213=""),"",$F213*AL213)</f>
        <v/>
      </c>
      <c r="AN213" s="60"/>
      <c r="AO213" s="59" t="str">
        <f t="shared" ref="AO213" si="1577">+IF(OR($F213="",AN213=""),"",$F213*AN213)</f>
        <v/>
      </c>
      <c r="AP213" s="60"/>
      <c r="AQ213" s="59" t="str">
        <f t="shared" ref="AQ213" si="1578">+IF(OR($F213="",AP213=""),"",$F213*AP213)</f>
        <v/>
      </c>
      <c r="AR213" s="60"/>
      <c r="AS213" s="59" t="str">
        <f t="shared" ref="AS213" si="1579">+IF(OR($F213="",AR213=""),"",$F213*AR213)</f>
        <v/>
      </c>
      <c r="AT213" s="60"/>
      <c r="AU213" s="59" t="str">
        <f t="shared" ref="AU213" si="1580">+IF(OR($F213="",AT213=""),"",$F213*AT213)</f>
        <v/>
      </c>
      <c r="AV213" s="60"/>
      <c r="AW213" s="59" t="str">
        <f t="shared" ref="AW213" si="1581">+IF(OR($F213="",AV213=""),"",$F213*AV213)</f>
        <v/>
      </c>
      <c r="AX213" s="60"/>
      <c r="AY213" s="59" t="str">
        <f t="shared" ref="AY213" si="1582">+IF(OR($F213="",AX213=""),"",$F213*AX213)</f>
        <v/>
      </c>
      <c r="AZ213" s="60"/>
      <c r="BA213" s="59" t="str">
        <f t="shared" ref="BA213" si="1583">+IF(OR($F213="",AZ213=""),"",$F213*AZ213)</f>
        <v/>
      </c>
      <c r="BB213" s="60"/>
      <c r="BC213" s="59" t="str">
        <f t="shared" ref="BC213" si="1584">+IF(OR($F213="",BB213=""),"",$F213*BB213)</f>
        <v/>
      </c>
      <c r="BD213" s="61">
        <f t="shared" si="1315"/>
        <v>0</v>
      </c>
      <c r="BE213" s="59">
        <f t="shared" si="1316"/>
        <v>0</v>
      </c>
      <c r="BF213" s="61">
        <f t="shared" si="1317"/>
        <v>-4</v>
      </c>
      <c r="BG213" s="59">
        <f t="shared" si="1318"/>
        <v>-632.12</v>
      </c>
      <c r="BH213" s="196"/>
      <c r="BI213" s="1">
        <f t="shared" si="1319"/>
        <v>0</v>
      </c>
      <c r="BJ213" s="1">
        <f t="shared" si="1320"/>
        <v>0</v>
      </c>
      <c r="BK213" s="1">
        <f t="shared" si="1321"/>
        <v>0</v>
      </c>
      <c r="BL213" s="1">
        <f t="shared" si="1322"/>
        <v>0</v>
      </c>
      <c r="BM213" s="1">
        <f t="shared" si="1323"/>
        <v>0</v>
      </c>
      <c r="BN213" s="1">
        <f t="shared" si="1324"/>
        <v>0</v>
      </c>
      <c r="BO213" s="1">
        <f t="shared" si="1325"/>
        <v>0</v>
      </c>
      <c r="BP213" s="1">
        <f t="shared" si="1326"/>
        <v>0</v>
      </c>
      <c r="BQ213" s="1">
        <f t="shared" si="1327"/>
        <v>0</v>
      </c>
      <c r="BR213" s="1">
        <f t="shared" si="1328"/>
        <v>0</v>
      </c>
      <c r="BS213" s="1">
        <f t="shared" si="1329"/>
        <v>0</v>
      </c>
      <c r="BT213" s="1">
        <f t="shared" si="1330"/>
        <v>0</v>
      </c>
      <c r="BU213" s="1">
        <f t="shared" si="1331"/>
        <v>0</v>
      </c>
      <c r="BV213" s="1">
        <f t="shared" si="1332"/>
        <v>0</v>
      </c>
      <c r="BW213" s="1">
        <f t="shared" si="1333"/>
        <v>0</v>
      </c>
      <c r="BX213" s="1">
        <f t="shared" si="1334"/>
        <v>0</v>
      </c>
      <c r="BY213" s="1">
        <f t="shared" si="1335"/>
        <v>0</v>
      </c>
      <c r="BZ213" s="1">
        <f t="shared" si="1336"/>
        <v>0</v>
      </c>
      <c r="CA213" s="1">
        <f t="shared" si="1337"/>
        <v>0</v>
      </c>
      <c r="CB213" s="1">
        <f t="shared" si="1338"/>
        <v>0</v>
      </c>
      <c r="CC213" s="1">
        <f t="shared" si="1339"/>
        <v>0</v>
      </c>
      <c r="CD213" s="1">
        <f t="shared" si="1340"/>
        <v>0</v>
      </c>
      <c r="CE213" s="1">
        <f t="shared" si="1341"/>
        <v>0</v>
      </c>
      <c r="CF213" s="1">
        <f t="shared" si="1342"/>
        <v>0</v>
      </c>
    </row>
    <row r="214" spans="2:85" ht="22.5" outlineLevel="1">
      <c r="C214" s="27" t="s">
        <v>960</v>
      </c>
      <c r="D214" s="55">
        <v>-14</v>
      </c>
      <c r="E214" s="88" t="s">
        <v>828</v>
      </c>
      <c r="F214" s="56">
        <v>61.13</v>
      </c>
      <c r="G214" s="57">
        <f t="shared" si="1291"/>
        <v>-855.82</v>
      </c>
      <c r="H214" s="28"/>
      <c r="I214" s="59" t="str">
        <f t="shared" si="1292"/>
        <v/>
      </c>
      <c r="J214" s="60"/>
      <c r="K214" s="59" t="str">
        <f t="shared" si="1293"/>
        <v/>
      </c>
      <c r="L214" s="60"/>
      <c r="M214" s="59" t="str">
        <f t="shared" si="1294"/>
        <v/>
      </c>
      <c r="N214" s="60"/>
      <c r="O214" s="59" t="str">
        <f t="shared" si="1295"/>
        <v/>
      </c>
      <c r="P214" s="60"/>
      <c r="Q214" s="59" t="str">
        <f t="shared" si="1296"/>
        <v/>
      </c>
      <c r="R214" s="60"/>
      <c r="S214" s="59" t="str">
        <f t="shared" si="1297"/>
        <v/>
      </c>
      <c r="T214" s="60"/>
      <c r="U214" s="59" t="str">
        <f t="shared" si="1298"/>
        <v/>
      </c>
      <c r="V214" s="60"/>
      <c r="W214" s="59" t="str">
        <f t="shared" si="1299"/>
        <v/>
      </c>
      <c r="X214" s="95"/>
      <c r="Y214" s="59" t="str">
        <f t="shared" si="1300"/>
        <v/>
      </c>
      <c r="Z214" s="95"/>
      <c r="AA214" s="59" t="str">
        <f t="shared" si="1301"/>
        <v/>
      </c>
      <c r="AB214" s="95"/>
      <c r="AC214" s="59" t="str">
        <f t="shared" si="1302"/>
        <v/>
      </c>
      <c r="AD214" s="60"/>
      <c r="AE214" s="59" t="str">
        <f t="shared" si="1303"/>
        <v/>
      </c>
      <c r="AF214" s="95"/>
      <c r="AG214" s="59" t="str">
        <f t="shared" ref="AG214" si="1585">+IF(OR($F214="",AF214=""),"",$F214*AF214)</f>
        <v/>
      </c>
      <c r="AH214" s="213"/>
      <c r="AI214" s="59" t="str">
        <f t="shared" si="1305"/>
        <v/>
      </c>
      <c r="AJ214" s="60"/>
      <c r="AK214" s="59" t="str">
        <f t="shared" si="1305"/>
        <v/>
      </c>
      <c r="AL214" s="60"/>
      <c r="AM214" s="59" t="str">
        <f t="shared" ref="AM214" si="1586">+IF(OR($F214="",AL214=""),"",$F214*AL214)</f>
        <v/>
      </c>
      <c r="AN214" s="60"/>
      <c r="AO214" s="59" t="str">
        <f t="shared" ref="AO214" si="1587">+IF(OR($F214="",AN214=""),"",$F214*AN214)</f>
        <v/>
      </c>
      <c r="AP214" s="60"/>
      <c r="AQ214" s="59" t="str">
        <f t="shared" ref="AQ214" si="1588">+IF(OR($F214="",AP214=""),"",$F214*AP214)</f>
        <v/>
      </c>
      <c r="AR214" s="60"/>
      <c r="AS214" s="59" t="str">
        <f t="shared" ref="AS214" si="1589">+IF(OR($F214="",AR214=""),"",$F214*AR214)</f>
        <v/>
      </c>
      <c r="AT214" s="60"/>
      <c r="AU214" s="59" t="str">
        <f t="shared" ref="AU214" si="1590">+IF(OR($F214="",AT214=""),"",$F214*AT214)</f>
        <v/>
      </c>
      <c r="AV214" s="60"/>
      <c r="AW214" s="59" t="str">
        <f t="shared" ref="AW214" si="1591">+IF(OR($F214="",AV214=""),"",$F214*AV214)</f>
        <v/>
      </c>
      <c r="AX214" s="60"/>
      <c r="AY214" s="59" t="str">
        <f t="shared" ref="AY214" si="1592">+IF(OR($F214="",AX214=""),"",$F214*AX214)</f>
        <v/>
      </c>
      <c r="AZ214" s="60"/>
      <c r="BA214" s="59" t="str">
        <f t="shared" ref="BA214" si="1593">+IF(OR($F214="",AZ214=""),"",$F214*AZ214)</f>
        <v/>
      </c>
      <c r="BB214" s="60"/>
      <c r="BC214" s="59" t="str">
        <f t="shared" ref="BC214" si="1594">+IF(OR($F214="",BB214=""),"",$F214*BB214)</f>
        <v/>
      </c>
      <c r="BD214" s="61">
        <f t="shared" si="1315"/>
        <v>0</v>
      </c>
      <c r="BE214" s="59">
        <f t="shared" si="1316"/>
        <v>0</v>
      </c>
      <c r="BF214" s="61">
        <f t="shared" si="1317"/>
        <v>-14</v>
      </c>
      <c r="BG214" s="59">
        <f t="shared" si="1318"/>
        <v>-855.82</v>
      </c>
      <c r="BH214" s="196"/>
      <c r="BI214" s="1">
        <f t="shared" si="1319"/>
        <v>0</v>
      </c>
      <c r="BJ214" s="1">
        <f t="shared" si="1320"/>
        <v>0</v>
      </c>
      <c r="BK214" s="1">
        <f t="shared" si="1321"/>
        <v>0</v>
      </c>
      <c r="BL214" s="1">
        <f t="shared" si="1322"/>
        <v>0</v>
      </c>
      <c r="BM214" s="1">
        <f t="shared" si="1323"/>
        <v>0</v>
      </c>
      <c r="BN214" s="1">
        <f t="shared" si="1324"/>
        <v>0</v>
      </c>
      <c r="BO214" s="1">
        <f t="shared" si="1325"/>
        <v>0</v>
      </c>
      <c r="BP214" s="1">
        <f t="shared" si="1326"/>
        <v>0</v>
      </c>
      <c r="BQ214" s="1">
        <f t="shared" si="1327"/>
        <v>0</v>
      </c>
      <c r="BR214" s="1">
        <f t="shared" si="1328"/>
        <v>0</v>
      </c>
      <c r="BS214" s="1">
        <f t="shared" si="1329"/>
        <v>0</v>
      </c>
      <c r="BT214" s="1">
        <f t="shared" si="1330"/>
        <v>0</v>
      </c>
      <c r="BU214" s="1">
        <f t="shared" si="1331"/>
        <v>0</v>
      </c>
      <c r="BV214" s="1">
        <f t="shared" si="1332"/>
        <v>0</v>
      </c>
      <c r="BW214" s="1">
        <f t="shared" si="1333"/>
        <v>0</v>
      </c>
      <c r="BX214" s="1">
        <f t="shared" si="1334"/>
        <v>0</v>
      </c>
      <c r="BY214" s="1">
        <f t="shared" si="1335"/>
        <v>0</v>
      </c>
      <c r="BZ214" s="1">
        <f t="shared" si="1336"/>
        <v>0</v>
      </c>
      <c r="CA214" s="1">
        <f t="shared" si="1337"/>
        <v>0</v>
      </c>
      <c r="CB214" s="1">
        <f t="shared" si="1338"/>
        <v>0</v>
      </c>
      <c r="CC214" s="1">
        <f t="shared" si="1339"/>
        <v>0</v>
      </c>
      <c r="CD214" s="1">
        <f t="shared" si="1340"/>
        <v>0</v>
      </c>
      <c r="CE214" s="1">
        <f t="shared" si="1341"/>
        <v>0</v>
      </c>
      <c r="CF214" s="1">
        <f t="shared" si="1342"/>
        <v>0</v>
      </c>
    </row>
    <row r="215" spans="2:85" ht="22.5" outlineLevel="1">
      <c r="C215" s="27" t="s">
        <v>961</v>
      </c>
      <c r="D215" s="55">
        <v>-14</v>
      </c>
      <c r="E215" s="88" t="s">
        <v>828</v>
      </c>
      <c r="F215" s="56">
        <v>154.79</v>
      </c>
      <c r="G215" s="57">
        <f t="shared" si="1291"/>
        <v>-2167.06</v>
      </c>
      <c r="H215" s="28"/>
      <c r="I215" s="59" t="str">
        <f t="shared" si="1292"/>
        <v/>
      </c>
      <c r="J215" s="60"/>
      <c r="K215" s="59" t="str">
        <f t="shared" si="1293"/>
        <v/>
      </c>
      <c r="L215" s="60"/>
      <c r="M215" s="59" t="str">
        <f t="shared" si="1294"/>
        <v/>
      </c>
      <c r="N215" s="60"/>
      <c r="O215" s="59" t="str">
        <f t="shared" si="1295"/>
        <v/>
      </c>
      <c r="P215" s="60"/>
      <c r="Q215" s="59" t="str">
        <f t="shared" si="1296"/>
        <v/>
      </c>
      <c r="R215" s="60"/>
      <c r="S215" s="59" t="str">
        <f t="shared" si="1297"/>
        <v/>
      </c>
      <c r="T215" s="60"/>
      <c r="U215" s="59" t="str">
        <f t="shared" si="1298"/>
        <v/>
      </c>
      <c r="V215" s="60"/>
      <c r="W215" s="59" t="str">
        <f t="shared" si="1299"/>
        <v/>
      </c>
      <c r="X215" s="95"/>
      <c r="Y215" s="59" t="str">
        <f t="shared" si="1300"/>
        <v/>
      </c>
      <c r="Z215" s="95"/>
      <c r="AA215" s="59" t="str">
        <f t="shared" si="1301"/>
        <v/>
      </c>
      <c r="AB215" s="95"/>
      <c r="AC215" s="59" t="str">
        <f t="shared" si="1302"/>
        <v/>
      </c>
      <c r="AD215" s="60"/>
      <c r="AE215" s="59" t="str">
        <f t="shared" si="1303"/>
        <v/>
      </c>
      <c r="AF215" s="95"/>
      <c r="AG215" s="59" t="str">
        <f t="shared" ref="AG215" si="1595">+IF(OR($F215="",AF215=""),"",$F215*AF215)</f>
        <v/>
      </c>
      <c r="AH215" s="213"/>
      <c r="AI215" s="59" t="str">
        <f t="shared" si="1305"/>
        <v/>
      </c>
      <c r="AJ215" s="60"/>
      <c r="AK215" s="59" t="str">
        <f t="shared" si="1305"/>
        <v/>
      </c>
      <c r="AL215" s="60"/>
      <c r="AM215" s="59" t="str">
        <f t="shared" ref="AM215" si="1596">+IF(OR($F215="",AL215=""),"",$F215*AL215)</f>
        <v/>
      </c>
      <c r="AN215" s="60"/>
      <c r="AO215" s="59" t="str">
        <f t="shared" ref="AO215" si="1597">+IF(OR($F215="",AN215=""),"",$F215*AN215)</f>
        <v/>
      </c>
      <c r="AP215" s="60"/>
      <c r="AQ215" s="59" t="str">
        <f t="shared" ref="AQ215" si="1598">+IF(OR($F215="",AP215=""),"",$F215*AP215)</f>
        <v/>
      </c>
      <c r="AR215" s="60"/>
      <c r="AS215" s="59" t="str">
        <f t="shared" ref="AS215" si="1599">+IF(OR($F215="",AR215=""),"",$F215*AR215)</f>
        <v/>
      </c>
      <c r="AT215" s="60"/>
      <c r="AU215" s="59" t="str">
        <f t="shared" ref="AU215" si="1600">+IF(OR($F215="",AT215=""),"",$F215*AT215)</f>
        <v/>
      </c>
      <c r="AV215" s="60"/>
      <c r="AW215" s="59" t="str">
        <f t="shared" ref="AW215" si="1601">+IF(OR($F215="",AV215=""),"",$F215*AV215)</f>
        <v/>
      </c>
      <c r="AX215" s="60"/>
      <c r="AY215" s="59" t="str">
        <f t="shared" ref="AY215" si="1602">+IF(OR($F215="",AX215=""),"",$F215*AX215)</f>
        <v/>
      </c>
      <c r="AZ215" s="60"/>
      <c r="BA215" s="59" t="str">
        <f t="shared" ref="BA215" si="1603">+IF(OR($F215="",AZ215=""),"",$F215*AZ215)</f>
        <v/>
      </c>
      <c r="BB215" s="60"/>
      <c r="BC215" s="59" t="str">
        <f t="shared" ref="BC215" si="1604">+IF(OR($F215="",BB215=""),"",$F215*BB215)</f>
        <v/>
      </c>
      <c r="BD215" s="61">
        <f t="shared" si="1315"/>
        <v>0</v>
      </c>
      <c r="BE215" s="59">
        <f t="shared" si="1316"/>
        <v>0</v>
      </c>
      <c r="BF215" s="61">
        <f t="shared" si="1317"/>
        <v>-14</v>
      </c>
      <c r="BG215" s="59">
        <f t="shared" si="1318"/>
        <v>-2167.06</v>
      </c>
      <c r="BH215" s="196"/>
      <c r="BI215" s="1">
        <f t="shared" si="1319"/>
        <v>0</v>
      </c>
      <c r="BJ215" s="1">
        <f t="shared" si="1320"/>
        <v>0</v>
      </c>
      <c r="BK215" s="1">
        <f t="shared" si="1321"/>
        <v>0</v>
      </c>
      <c r="BL215" s="1">
        <f t="shared" si="1322"/>
        <v>0</v>
      </c>
      <c r="BM215" s="1">
        <f t="shared" si="1323"/>
        <v>0</v>
      </c>
      <c r="BN215" s="1">
        <f t="shared" si="1324"/>
        <v>0</v>
      </c>
      <c r="BO215" s="1">
        <f t="shared" si="1325"/>
        <v>0</v>
      </c>
      <c r="BP215" s="1">
        <f t="shared" si="1326"/>
        <v>0</v>
      </c>
      <c r="BQ215" s="1">
        <f t="shared" si="1327"/>
        <v>0</v>
      </c>
      <c r="BR215" s="1">
        <f t="shared" si="1328"/>
        <v>0</v>
      </c>
      <c r="BS215" s="1">
        <f t="shared" si="1329"/>
        <v>0</v>
      </c>
      <c r="BT215" s="1">
        <f t="shared" si="1330"/>
        <v>0</v>
      </c>
      <c r="BU215" s="1">
        <f t="shared" si="1331"/>
        <v>0</v>
      </c>
      <c r="BV215" s="1">
        <f t="shared" si="1332"/>
        <v>0</v>
      </c>
      <c r="BW215" s="1">
        <f t="shared" si="1333"/>
        <v>0</v>
      </c>
      <c r="BX215" s="1">
        <f t="shared" si="1334"/>
        <v>0</v>
      </c>
      <c r="BY215" s="1">
        <f t="shared" si="1335"/>
        <v>0</v>
      </c>
      <c r="BZ215" s="1">
        <f t="shared" si="1336"/>
        <v>0</v>
      </c>
      <c r="CA215" s="1">
        <f t="shared" si="1337"/>
        <v>0</v>
      </c>
      <c r="CB215" s="1">
        <f t="shared" si="1338"/>
        <v>0</v>
      </c>
      <c r="CC215" s="1">
        <f t="shared" si="1339"/>
        <v>0</v>
      </c>
      <c r="CD215" s="1">
        <f t="shared" si="1340"/>
        <v>0</v>
      </c>
      <c r="CE215" s="1">
        <f t="shared" si="1341"/>
        <v>0</v>
      </c>
      <c r="CF215" s="1">
        <f t="shared" si="1342"/>
        <v>0</v>
      </c>
    </row>
    <row r="216" spans="2:85" ht="22.5" outlineLevel="1">
      <c r="C216" s="27" t="s">
        <v>962</v>
      </c>
      <c r="D216" s="55">
        <v>-5</v>
      </c>
      <c r="E216" s="88" t="s">
        <v>828</v>
      </c>
      <c r="F216" s="56">
        <v>162.59</v>
      </c>
      <c r="G216" s="57">
        <f t="shared" si="1291"/>
        <v>-812.95</v>
      </c>
      <c r="H216" s="28"/>
      <c r="I216" s="59" t="str">
        <f t="shared" si="1292"/>
        <v/>
      </c>
      <c r="J216" s="60"/>
      <c r="K216" s="59" t="str">
        <f t="shared" si="1293"/>
        <v/>
      </c>
      <c r="L216" s="60"/>
      <c r="M216" s="59" t="str">
        <f t="shared" si="1294"/>
        <v/>
      </c>
      <c r="N216" s="60"/>
      <c r="O216" s="59" t="str">
        <f t="shared" si="1295"/>
        <v/>
      </c>
      <c r="P216" s="60"/>
      <c r="Q216" s="59" t="str">
        <f t="shared" si="1296"/>
        <v/>
      </c>
      <c r="R216" s="60"/>
      <c r="S216" s="59" t="str">
        <f t="shared" si="1297"/>
        <v/>
      </c>
      <c r="T216" s="60"/>
      <c r="U216" s="59" t="str">
        <f t="shared" si="1298"/>
        <v/>
      </c>
      <c r="V216" s="60"/>
      <c r="W216" s="59" t="str">
        <f t="shared" si="1299"/>
        <v/>
      </c>
      <c r="X216" s="95"/>
      <c r="Y216" s="59" t="str">
        <f t="shared" si="1300"/>
        <v/>
      </c>
      <c r="Z216" s="95"/>
      <c r="AA216" s="59" t="str">
        <f t="shared" si="1301"/>
        <v/>
      </c>
      <c r="AB216" s="95"/>
      <c r="AC216" s="59" t="str">
        <f t="shared" si="1302"/>
        <v/>
      </c>
      <c r="AD216" s="60"/>
      <c r="AE216" s="59" t="str">
        <f t="shared" si="1303"/>
        <v/>
      </c>
      <c r="AF216" s="95"/>
      <c r="AG216" s="59" t="str">
        <f t="shared" ref="AG216" si="1605">+IF(OR($F216="",AF216=""),"",$F216*AF216)</f>
        <v/>
      </c>
      <c r="AH216" s="213"/>
      <c r="AI216" s="59" t="str">
        <f t="shared" si="1305"/>
        <v/>
      </c>
      <c r="AJ216" s="60"/>
      <c r="AK216" s="59" t="str">
        <f t="shared" si="1305"/>
        <v/>
      </c>
      <c r="AL216" s="60"/>
      <c r="AM216" s="59" t="str">
        <f t="shared" ref="AM216" si="1606">+IF(OR($F216="",AL216=""),"",$F216*AL216)</f>
        <v/>
      </c>
      <c r="AN216" s="60"/>
      <c r="AO216" s="59" t="str">
        <f t="shared" ref="AO216" si="1607">+IF(OR($F216="",AN216=""),"",$F216*AN216)</f>
        <v/>
      </c>
      <c r="AP216" s="60"/>
      <c r="AQ216" s="59" t="str">
        <f t="shared" ref="AQ216" si="1608">+IF(OR($F216="",AP216=""),"",$F216*AP216)</f>
        <v/>
      </c>
      <c r="AR216" s="60"/>
      <c r="AS216" s="59" t="str">
        <f t="shared" ref="AS216" si="1609">+IF(OR($F216="",AR216=""),"",$F216*AR216)</f>
        <v/>
      </c>
      <c r="AT216" s="60"/>
      <c r="AU216" s="59" t="str">
        <f t="shared" ref="AU216" si="1610">+IF(OR($F216="",AT216=""),"",$F216*AT216)</f>
        <v/>
      </c>
      <c r="AV216" s="60"/>
      <c r="AW216" s="59" t="str">
        <f t="shared" ref="AW216" si="1611">+IF(OR($F216="",AV216=""),"",$F216*AV216)</f>
        <v/>
      </c>
      <c r="AX216" s="60"/>
      <c r="AY216" s="59" t="str">
        <f t="shared" ref="AY216" si="1612">+IF(OR($F216="",AX216=""),"",$F216*AX216)</f>
        <v/>
      </c>
      <c r="AZ216" s="60"/>
      <c r="BA216" s="59" t="str">
        <f t="shared" ref="BA216" si="1613">+IF(OR($F216="",AZ216=""),"",$F216*AZ216)</f>
        <v/>
      </c>
      <c r="BB216" s="60"/>
      <c r="BC216" s="59" t="str">
        <f t="shared" ref="BC216" si="1614">+IF(OR($F216="",BB216=""),"",$F216*BB216)</f>
        <v/>
      </c>
      <c r="BD216" s="61">
        <f t="shared" si="1315"/>
        <v>0</v>
      </c>
      <c r="BE216" s="59">
        <f t="shared" si="1316"/>
        <v>0</v>
      </c>
      <c r="BF216" s="61">
        <f t="shared" si="1317"/>
        <v>-5</v>
      </c>
      <c r="BG216" s="59">
        <f t="shared" si="1318"/>
        <v>-812.95</v>
      </c>
      <c r="BH216" s="196"/>
      <c r="BI216" s="1">
        <f t="shared" si="1319"/>
        <v>0</v>
      </c>
      <c r="BJ216" s="1">
        <f t="shared" si="1320"/>
        <v>0</v>
      </c>
      <c r="BK216" s="1">
        <f t="shared" si="1321"/>
        <v>0</v>
      </c>
      <c r="BL216" s="1">
        <f t="shared" si="1322"/>
        <v>0</v>
      </c>
      <c r="BM216" s="1">
        <f t="shared" si="1323"/>
        <v>0</v>
      </c>
      <c r="BN216" s="1">
        <f t="shared" si="1324"/>
        <v>0</v>
      </c>
      <c r="BO216" s="1">
        <f t="shared" si="1325"/>
        <v>0</v>
      </c>
      <c r="BP216" s="1">
        <f t="shared" si="1326"/>
        <v>0</v>
      </c>
      <c r="BQ216" s="1">
        <f t="shared" si="1327"/>
        <v>0</v>
      </c>
      <c r="BR216" s="1">
        <f t="shared" si="1328"/>
        <v>0</v>
      </c>
      <c r="BS216" s="1">
        <f t="shared" si="1329"/>
        <v>0</v>
      </c>
      <c r="BT216" s="1">
        <f t="shared" si="1330"/>
        <v>0</v>
      </c>
      <c r="BU216" s="1">
        <f t="shared" si="1331"/>
        <v>0</v>
      </c>
      <c r="BV216" s="1">
        <f t="shared" si="1332"/>
        <v>0</v>
      </c>
      <c r="BW216" s="1">
        <f t="shared" si="1333"/>
        <v>0</v>
      </c>
      <c r="BX216" s="1">
        <f t="shared" si="1334"/>
        <v>0</v>
      </c>
      <c r="BY216" s="1">
        <f t="shared" si="1335"/>
        <v>0</v>
      </c>
      <c r="BZ216" s="1">
        <f t="shared" si="1336"/>
        <v>0</v>
      </c>
      <c r="CA216" s="1">
        <f t="shared" si="1337"/>
        <v>0</v>
      </c>
      <c r="CB216" s="1">
        <f t="shared" si="1338"/>
        <v>0</v>
      </c>
      <c r="CC216" s="1">
        <f t="shared" si="1339"/>
        <v>0</v>
      </c>
      <c r="CD216" s="1">
        <f t="shared" si="1340"/>
        <v>0</v>
      </c>
      <c r="CE216" s="1">
        <f t="shared" si="1341"/>
        <v>0</v>
      </c>
      <c r="CF216" s="1">
        <f t="shared" si="1342"/>
        <v>0</v>
      </c>
    </row>
    <row r="217" spans="2:85" ht="22.5" outlineLevel="1">
      <c r="C217" s="27" t="s">
        <v>963</v>
      </c>
      <c r="D217" s="55">
        <v>-1</v>
      </c>
      <c r="E217" s="88" t="s">
        <v>828</v>
      </c>
      <c r="F217" s="56">
        <v>174.1</v>
      </c>
      <c r="G217" s="57">
        <f t="shared" si="1291"/>
        <v>-174.1</v>
      </c>
      <c r="H217" s="28"/>
      <c r="I217" s="59" t="str">
        <f t="shared" si="1292"/>
        <v/>
      </c>
      <c r="J217" s="60"/>
      <c r="K217" s="59" t="str">
        <f t="shared" si="1293"/>
        <v/>
      </c>
      <c r="L217" s="60"/>
      <c r="M217" s="59" t="str">
        <f t="shared" si="1294"/>
        <v/>
      </c>
      <c r="N217" s="60"/>
      <c r="O217" s="59" t="str">
        <f t="shared" si="1295"/>
        <v/>
      </c>
      <c r="P217" s="60"/>
      <c r="Q217" s="59" t="str">
        <f t="shared" si="1296"/>
        <v/>
      </c>
      <c r="R217" s="60"/>
      <c r="S217" s="59" t="str">
        <f t="shared" si="1297"/>
        <v/>
      </c>
      <c r="T217" s="60"/>
      <c r="U217" s="59" t="str">
        <f t="shared" si="1298"/>
        <v/>
      </c>
      <c r="V217" s="60"/>
      <c r="W217" s="59" t="str">
        <f t="shared" si="1299"/>
        <v/>
      </c>
      <c r="X217" s="95"/>
      <c r="Y217" s="59" t="str">
        <f t="shared" si="1300"/>
        <v/>
      </c>
      <c r="Z217" s="95"/>
      <c r="AA217" s="59" t="str">
        <f t="shared" si="1301"/>
        <v/>
      </c>
      <c r="AB217" s="95"/>
      <c r="AC217" s="59" t="str">
        <f t="shared" si="1302"/>
        <v/>
      </c>
      <c r="AD217" s="60"/>
      <c r="AE217" s="59" t="str">
        <f t="shared" si="1303"/>
        <v/>
      </c>
      <c r="AF217" s="95"/>
      <c r="AG217" s="59" t="str">
        <f t="shared" ref="AG217" si="1615">+IF(OR($F217="",AF217=""),"",$F217*AF217)</f>
        <v/>
      </c>
      <c r="AH217" s="213"/>
      <c r="AI217" s="59" t="str">
        <f t="shared" si="1305"/>
        <v/>
      </c>
      <c r="AJ217" s="60"/>
      <c r="AK217" s="59" t="str">
        <f t="shared" si="1305"/>
        <v/>
      </c>
      <c r="AL217" s="60"/>
      <c r="AM217" s="59" t="str">
        <f t="shared" ref="AM217" si="1616">+IF(OR($F217="",AL217=""),"",$F217*AL217)</f>
        <v/>
      </c>
      <c r="AN217" s="60"/>
      <c r="AO217" s="59" t="str">
        <f t="shared" ref="AO217" si="1617">+IF(OR($F217="",AN217=""),"",$F217*AN217)</f>
        <v/>
      </c>
      <c r="AP217" s="60"/>
      <c r="AQ217" s="59" t="str">
        <f t="shared" ref="AQ217" si="1618">+IF(OR($F217="",AP217=""),"",$F217*AP217)</f>
        <v/>
      </c>
      <c r="AR217" s="60"/>
      <c r="AS217" s="59" t="str">
        <f t="shared" ref="AS217" si="1619">+IF(OR($F217="",AR217=""),"",$F217*AR217)</f>
        <v/>
      </c>
      <c r="AT217" s="60"/>
      <c r="AU217" s="59" t="str">
        <f t="shared" ref="AU217" si="1620">+IF(OR($F217="",AT217=""),"",$F217*AT217)</f>
        <v/>
      </c>
      <c r="AV217" s="60"/>
      <c r="AW217" s="59" t="str">
        <f t="shared" ref="AW217" si="1621">+IF(OR($F217="",AV217=""),"",$F217*AV217)</f>
        <v/>
      </c>
      <c r="AX217" s="60"/>
      <c r="AY217" s="59" t="str">
        <f t="shared" ref="AY217" si="1622">+IF(OR($F217="",AX217=""),"",$F217*AX217)</f>
        <v/>
      </c>
      <c r="AZ217" s="60"/>
      <c r="BA217" s="59" t="str">
        <f t="shared" ref="BA217" si="1623">+IF(OR($F217="",AZ217=""),"",$F217*AZ217)</f>
        <v/>
      </c>
      <c r="BB217" s="60"/>
      <c r="BC217" s="59" t="str">
        <f t="shared" ref="BC217" si="1624">+IF(OR($F217="",BB217=""),"",$F217*BB217)</f>
        <v/>
      </c>
      <c r="BD217" s="61">
        <f t="shared" si="1315"/>
        <v>0</v>
      </c>
      <c r="BE217" s="59">
        <f t="shared" si="1316"/>
        <v>0</v>
      </c>
      <c r="BF217" s="61">
        <f t="shared" si="1317"/>
        <v>-1</v>
      </c>
      <c r="BG217" s="59">
        <f t="shared" si="1318"/>
        <v>-174.1</v>
      </c>
      <c r="BH217" s="196"/>
      <c r="BI217" s="1">
        <f t="shared" si="1319"/>
        <v>0</v>
      </c>
      <c r="BJ217" s="1">
        <f t="shared" si="1320"/>
        <v>0</v>
      </c>
      <c r="BK217" s="1">
        <f t="shared" si="1321"/>
        <v>0</v>
      </c>
      <c r="BL217" s="1">
        <f t="shared" si="1322"/>
        <v>0</v>
      </c>
      <c r="BM217" s="1">
        <f t="shared" si="1323"/>
        <v>0</v>
      </c>
      <c r="BN217" s="1">
        <f t="shared" si="1324"/>
        <v>0</v>
      </c>
      <c r="BO217" s="1">
        <f t="shared" si="1325"/>
        <v>0</v>
      </c>
      <c r="BP217" s="1">
        <f t="shared" si="1326"/>
        <v>0</v>
      </c>
      <c r="BQ217" s="1">
        <f t="shared" si="1327"/>
        <v>0</v>
      </c>
      <c r="BR217" s="1">
        <f t="shared" si="1328"/>
        <v>0</v>
      </c>
      <c r="BS217" s="1">
        <f t="shared" si="1329"/>
        <v>0</v>
      </c>
      <c r="BT217" s="1">
        <f t="shared" si="1330"/>
        <v>0</v>
      </c>
      <c r="BU217" s="1">
        <f t="shared" si="1331"/>
        <v>0</v>
      </c>
      <c r="BV217" s="1">
        <f t="shared" si="1332"/>
        <v>0</v>
      </c>
      <c r="BW217" s="1">
        <f t="shared" si="1333"/>
        <v>0</v>
      </c>
      <c r="BX217" s="1">
        <f t="shared" si="1334"/>
        <v>0</v>
      </c>
      <c r="BY217" s="1">
        <f t="shared" si="1335"/>
        <v>0</v>
      </c>
      <c r="BZ217" s="1">
        <f t="shared" si="1336"/>
        <v>0</v>
      </c>
      <c r="CA217" s="1">
        <f t="shared" si="1337"/>
        <v>0</v>
      </c>
      <c r="CB217" s="1">
        <f t="shared" si="1338"/>
        <v>0</v>
      </c>
      <c r="CC217" s="1">
        <f t="shared" si="1339"/>
        <v>0</v>
      </c>
      <c r="CD217" s="1">
        <f t="shared" si="1340"/>
        <v>0</v>
      </c>
      <c r="CE217" s="1">
        <f t="shared" si="1341"/>
        <v>0</v>
      </c>
      <c r="CF217" s="1">
        <f t="shared" si="1342"/>
        <v>0</v>
      </c>
    </row>
    <row r="218" spans="2:85" ht="22.5" outlineLevel="1">
      <c r="C218" s="27" t="s">
        <v>287</v>
      </c>
      <c r="D218" s="55">
        <v>-2</v>
      </c>
      <c r="E218" s="88" t="s">
        <v>828</v>
      </c>
      <c r="F218" s="56">
        <v>46.83</v>
      </c>
      <c r="G218" s="57">
        <f t="shared" si="1291"/>
        <v>-93.66</v>
      </c>
      <c r="H218" s="28"/>
      <c r="I218" s="59" t="str">
        <f t="shared" si="1292"/>
        <v/>
      </c>
      <c r="J218" s="60"/>
      <c r="K218" s="59" t="str">
        <f t="shared" si="1293"/>
        <v/>
      </c>
      <c r="L218" s="60"/>
      <c r="M218" s="59" t="str">
        <f t="shared" si="1294"/>
        <v/>
      </c>
      <c r="N218" s="60"/>
      <c r="O218" s="59" t="str">
        <f t="shared" si="1295"/>
        <v/>
      </c>
      <c r="P218" s="60"/>
      <c r="Q218" s="59" t="str">
        <f t="shared" si="1296"/>
        <v/>
      </c>
      <c r="R218" s="60"/>
      <c r="S218" s="59" t="str">
        <f t="shared" si="1297"/>
        <v/>
      </c>
      <c r="T218" s="60"/>
      <c r="U218" s="59" t="str">
        <f t="shared" si="1298"/>
        <v/>
      </c>
      <c r="V218" s="60"/>
      <c r="W218" s="59" t="str">
        <f t="shared" si="1299"/>
        <v/>
      </c>
      <c r="X218" s="95"/>
      <c r="Y218" s="59" t="str">
        <f t="shared" si="1300"/>
        <v/>
      </c>
      <c r="Z218" s="95"/>
      <c r="AA218" s="59" t="str">
        <f t="shared" si="1301"/>
        <v/>
      </c>
      <c r="AB218" s="95"/>
      <c r="AC218" s="59" t="str">
        <f t="shared" si="1302"/>
        <v/>
      </c>
      <c r="AD218" s="60"/>
      <c r="AE218" s="59" t="str">
        <f t="shared" si="1303"/>
        <v/>
      </c>
      <c r="AF218" s="95"/>
      <c r="AG218" s="59" t="str">
        <f t="shared" ref="AG218" si="1625">+IF(OR($F218="",AF218=""),"",$F218*AF218)</f>
        <v/>
      </c>
      <c r="AH218" s="213"/>
      <c r="AI218" s="59" t="str">
        <f t="shared" si="1305"/>
        <v/>
      </c>
      <c r="AJ218" s="60"/>
      <c r="AK218" s="59" t="str">
        <f t="shared" si="1305"/>
        <v/>
      </c>
      <c r="AL218" s="60"/>
      <c r="AM218" s="59" t="str">
        <f t="shared" ref="AM218" si="1626">+IF(OR($F218="",AL218=""),"",$F218*AL218)</f>
        <v/>
      </c>
      <c r="AN218" s="60"/>
      <c r="AO218" s="59" t="str">
        <f t="shared" ref="AO218" si="1627">+IF(OR($F218="",AN218=""),"",$F218*AN218)</f>
        <v/>
      </c>
      <c r="AP218" s="60"/>
      <c r="AQ218" s="59" t="str">
        <f t="shared" ref="AQ218" si="1628">+IF(OR($F218="",AP218=""),"",$F218*AP218)</f>
        <v/>
      </c>
      <c r="AR218" s="60"/>
      <c r="AS218" s="59" t="str">
        <f t="shared" ref="AS218" si="1629">+IF(OR($F218="",AR218=""),"",$F218*AR218)</f>
        <v/>
      </c>
      <c r="AT218" s="60"/>
      <c r="AU218" s="59" t="str">
        <f t="shared" ref="AU218" si="1630">+IF(OR($F218="",AT218=""),"",$F218*AT218)</f>
        <v/>
      </c>
      <c r="AV218" s="60"/>
      <c r="AW218" s="59" t="str">
        <f t="shared" ref="AW218" si="1631">+IF(OR($F218="",AV218=""),"",$F218*AV218)</f>
        <v/>
      </c>
      <c r="AX218" s="60"/>
      <c r="AY218" s="59" t="str">
        <f t="shared" ref="AY218" si="1632">+IF(OR($F218="",AX218=""),"",$F218*AX218)</f>
        <v/>
      </c>
      <c r="AZ218" s="60"/>
      <c r="BA218" s="59" t="str">
        <f t="shared" ref="BA218" si="1633">+IF(OR($F218="",AZ218=""),"",$F218*AZ218)</f>
        <v/>
      </c>
      <c r="BB218" s="60"/>
      <c r="BC218" s="59" t="str">
        <f t="shared" ref="BC218" si="1634">+IF(OR($F218="",BB218=""),"",$F218*BB218)</f>
        <v/>
      </c>
      <c r="BD218" s="61">
        <f t="shared" si="1315"/>
        <v>0</v>
      </c>
      <c r="BE218" s="59">
        <f t="shared" si="1316"/>
        <v>0</v>
      </c>
      <c r="BF218" s="61">
        <f t="shared" si="1317"/>
        <v>-2</v>
      </c>
      <c r="BG218" s="59">
        <f t="shared" si="1318"/>
        <v>-93.66</v>
      </c>
      <c r="BH218" s="196"/>
      <c r="BI218" s="1">
        <f t="shared" si="1319"/>
        <v>0</v>
      </c>
      <c r="BJ218" s="1">
        <f t="shared" si="1320"/>
        <v>0</v>
      </c>
      <c r="BK218" s="1">
        <f t="shared" si="1321"/>
        <v>0</v>
      </c>
      <c r="BL218" s="1">
        <f t="shared" si="1322"/>
        <v>0</v>
      </c>
      <c r="BM218" s="1">
        <f t="shared" si="1323"/>
        <v>0</v>
      </c>
      <c r="BN218" s="1">
        <f t="shared" si="1324"/>
        <v>0</v>
      </c>
      <c r="BO218" s="1">
        <f t="shared" si="1325"/>
        <v>0</v>
      </c>
      <c r="BP218" s="1">
        <f t="shared" si="1326"/>
        <v>0</v>
      </c>
      <c r="BQ218" s="1">
        <f t="shared" si="1327"/>
        <v>0</v>
      </c>
      <c r="BR218" s="1">
        <f t="shared" si="1328"/>
        <v>0</v>
      </c>
      <c r="BS218" s="1">
        <f t="shared" si="1329"/>
        <v>0</v>
      </c>
      <c r="BT218" s="1">
        <f t="shared" si="1330"/>
        <v>0</v>
      </c>
      <c r="BU218" s="1">
        <f t="shared" si="1331"/>
        <v>0</v>
      </c>
      <c r="BV218" s="1">
        <f t="shared" si="1332"/>
        <v>0</v>
      </c>
      <c r="BW218" s="1">
        <f t="shared" si="1333"/>
        <v>0</v>
      </c>
      <c r="BX218" s="1">
        <f t="shared" si="1334"/>
        <v>0</v>
      </c>
      <c r="BY218" s="1">
        <f t="shared" si="1335"/>
        <v>0</v>
      </c>
      <c r="BZ218" s="1">
        <f t="shared" si="1336"/>
        <v>0</v>
      </c>
      <c r="CA218" s="1">
        <f t="shared" si="1337"/>
        <v>0</v>
      </c>
      <c r="CB218" s="1">
        <f t="shared" si="1338"/>
        <v>0</v>
      </c>
      <c r="CC218" s="1">
        <f t="shared" si="1339"/>
        <v>0</v>
      </c>
      <c r="CD218" s="1">
        <f t="shared" si="1340"/>
        <v>0</v>
      </c>
      <c r="CE218" s="1">
        <f t="shared" si="1341"/>
        <v>0</v>
      </c>
      <c r="CF218" s="1">
        <f t="shared" si="1342"/>
        <v>0</v>
      </c>
    </row>
    <row r="219" spans="2:85" ht="22.5" outlineLevel="1">
      <c r="C219" s="27" t="s">
        <v>891</v>
      </c>
      <c r="D219" s="55">
        <v>-4</v>
      </c>
      <c r="E219" s="88" t="s">
        <v>828</v>
      </c>
      <c r="F219" s="56">
        <v>707.4</v>
      </c>
      <c r="G219" s="57">
        <f t="shared" si="1291"/>
        <v>-2829.6</v>
      </c>
      <c r="H219" s="28"/>
      <c r="I219" s="59" t="str">
        <f t="shared" si="1292"/>
        <v/>
      </c>
      <c r="J219" s="60"/>
      <c r="K219" s="59" t="str">
        <f t="shared" si="1293"/>
        <v/>
      </c>
      <c r="L219" s="60"/>
      <c r="M219" s="59" t="str">
        <f t="shared" si="1294"/>
        <v/>
      </c>
      <c r="N219" s="60"/>
      <c r="O219" s="59" t="str">
        <f t="shared" si="1295"/>
        <v/>
      </c>
      <c r="P219" s="60"/>
      <c r="Q219" s="59" t="str">
        <f t="shared" si="1296"/>
        <v/>
      </c>
      <c r="R219" s="60"/>
      <c r="S219" s="59" t="str">
        <f t="shared" si="1297"/>
        <v/>
      </c>
      <c r="T219" s="60"/>
      <c r="U219" s="59" t="str">
        <f t="shared" si="1298"/>
        <v/>
      </c>
      <c r="V219" s="60"/>
      <c r="W219" s="59" t="str">
        <f t="shared" si="1299"/>
        <v/>
      </c>
      <c r="X219" s="95"/>
      <c r="Y219" s="59" t="str">
        <f t="shared" si="1300"/>
        <v/>
      </c>
      <c r="Z219" s="95"/>
      <c r="AA219" s="59" t="str">
        <f t="shared" si="1301"/>
        <v/>
      </c>
      <c r="AB219" s="95"/>
      <c r="AC219" s="59" t="str">
        <f t="shared" si="1302"/>
        <v/>
      </c>
      <c r="AD219" s="60"/>
      <c r="AE219" s="59" t="str">
        <f t="shared" si="1303"/>
        <v/>
      </c>
      <c r="AF219" s="95"/>
      <c r="AG219" s="59" t="str">
        <f t="shared" ref="AG219" si="1635">+IF(OR($F219="",AF219=""),"",$F219*AF219)</f>
        <v/>
      </c>
      <c r="AH219" s="213"/>
      <c r="AI219" s="59" t="str">
        <f t="shared" si="1305"/>
        <v/>
      </c>
      <c r="AJ219" s="60"/>
      <c r="AK219" s="59" t="str">
        <f t="shared" si="1305"/>
        <v/>
      </c>
      <c r="AL219" s="60"/>
      <c r="AM219" s="59" t="str">
        <f t="shared" ref="AM219" si="1636">+IF(OR($F219="",AL219=""),"",$F219*AL219)</f>
        <v/>
      </c>
      <c r="AN219" s="60"/>
      <c r="AO219" s="59" t="str">
        <f t="shared" ref="AO219" si="1637">+IF(OR($F219="",AN219=""),"",$F219*AN219)</f>
        <v/>
      </c>
      <c r="AP219" s="60"/>
      <c r="AQ219" s="59" t="str">
        <f t="shared" ref="AQ219" si="1638">+IF(OR($F219="",AP219=""),"",$F219*AP219)</f>
        <v/>
      </c>
      <c r="AR219" s="60"/>
      <c r="AS219" s="59" t="str">
        <f t="shared" ref="AS219" si="1639">+IF(OR($F219="",AR219=""),"",$F219*AR219)</f>
        <v/>
      </c>
      <c r="AT219" s="60"/>
      <c r="AU219" s="59" t="str">
        <f t="shared" ref="AU219" si="1640">+IF(OR($F219="",AT219=""),"",$F219*AT219)</f>
        <v/>
      </c>
      <c r="AV219" s="60"/>
      <c r="AW219" s="59" t="str">
        <f t="shared" ref="AW219" si="1641">+IF(OR($F219="",AV219=""),"",$F219*AV219)</f>
        <v/>
      </c>
      <c r="AX219" s="60"/>
      <c r="AY219" s="59" t="str">
        <f t="shared" ref="AY219" si="1642">+IF(OR($F219="",AX219=""),"",$F219*AX219)</f>
        <v/>
      </c>
      <c r="AZ219" s="60"/>
      <c r="BA219" s="59" t="str">
        <f t="shared" ref="BA219" si="1643">+IF(OR($F219="",AZ219=""),"",$F219*AZ219)</f>
        <v/>
      </c>
      <c r="BB219" s="60"/>
      <c r="BC219" s="59" t="str">
        <f t="shared" ref="BC219" si="1644">+IF(OR($F219="",BB219=""),"",$F219*BB219)</f>
        <v/>
      </c>
      <c r="BD219" s="61">
        <f t="shared" si="1315"/>
        <v>0</v>
      </c>
      <c r="BE219" s="59">
        <f t="shared" si="1316"/>
        <v>0</v>
      </c>
      <c r="BF219" s="61">
        <f t="shared" si="1317"/>
        <v>-4</v>
      </c>
      <c r="BG219" s="59">
        <f t="shared" si="1318"/>
        <v>-2829.6</v>
      </c>
      <c r="BH219" s="196"/>
      <c r="BI219" s="1">
        <f t="shared" si="1319"/>
        <v>0</v>
      </c>
      <c r="BJ219" s="1">
        <f t="shared" si="1320"/>
        <v>0</v>
      </c>
      <c r="BK219" s="1">
        <f t="shared" si="1321"/>
        <v>0</v>
      </c>
      <c r="BL219" s="1">
        <f t="shared" si="1322"/>
        <v>0</v>
      </c>
      <c r="BM219" s="1">
        <f t="shared" si="1323"/>
        <v>0</v>
      </c>
      <c r="BN219" s="1">
        <f t="shared" si="1324"/>
        <v>0</v>
      </c>
      <c r="BO219" s="1">
        <f t="shared" si="1325"/>
        <v>0</v>
      </c>
      <c r="BP219" s="1">
        <f t="shared" si="1326"/>
        <v>0</v>
      </c>
      <c r="BQ219" s="1">
        <f t="shared" si="1327"/>
        <v>0</v>
      </c>
      <c r="BR219" s="1">
        <f t="shared" si="1328"/>
        <v>0</v>
      </c>
      <c r="BS219" s="1">
        <f t="shared" si="1329"/>
        <v>0</v>
      </c>
      <c r="BT219" s="1">
        <f t="shared" si="1330"/>
        <v>0</v>
      </c>
      <c r="BU219" s="1">
        <f t="shared" si="1331"/>
        <v>0</v>
      </c>
      <c r="BV219" s="1">
        <f t="shared" si="1332"/>
        <v>0</v>
      </c>
      <c r="BW219" s="1">
        <f t="shared" si="1333"/>
        <v>0</v>
      </c>
      <c r="BX219" s="1">
        <f t="shared" si="1334"/>
        <v>0</v>
      </c>
      <c r="BY219" s="1">
        <f t="shared" si="1335"/>
        <v>0</v>
      </c>
      <c r="BZ219" s="1">
        <f t="shared" si="1336"/>
        <v>0</v>
      </c>
      <c r="CA219" s="1">
        <f t="shared" si="1337"/>
        <v>0</v>
      </c>
      <c r="CB219" s="1">
        <f t="shared" si="1338"/>
        <v>0</v>
      </c>
      <c r="CC219" s="1">
        <f t="shared" si="1339"/>
        <v>0</v>
      </c>
      <c r="CD219" s="1">
        <f t="shared" si="1340"/>
        <v>0</v>
      </c>
      <c r="CE219" s="1">
        <f t="shared" si="1341"/>
        <v>0</v>
      </c>
      <c r="CF219" s="1">
        <f t="shared" si="1342"/>
        <v>0</v>
      </c>
      <c r="CG219" s="214"/>
    </row>
    <row r="220" spans="2:85" ht="22.5" outlineLevel="1">
      <c r="C220" s="27" t="s">
        <v>892</v>
      </c>
      <c r="D220" s="55">
        <v>-1</v>
      </c>
      <c r="E220" s="88" t="s">
        <v>828</v>
      </c>
      <c r="F220" s="56">
        <v>903.9</v>
      </c>
      <c r="G220" s="57">
        <f t="shared" si="1291"/>
        <v>-903.9</v>
      </c>
      <c r="H220" s="28"/>
      <c r="I220" s="59" t="str">
        <f t="shared" si="1292"/>
        <v/>
      </c>
      <c r="J220" s="60"/>
      <c r="K220" s="59" t="str">
        <f t="shared" si="1293"/>
        <v/>
      </c>
      <c r="L220" s="60"/>
      <c r="M220" s="59" t="str">
        <f t="shared" si="1294"/>
        <v/>
      </c>
      <c r="N220" s="60"/>
      <c r="O220" s="59" t="str">
        <f t="shared" si="1295"/>
        <v/>
      </c>
      <c r="P220" s="60"/>
      <c r="Q220" s="59" t="str">
        <f t="shared" si="1296"/>
        <v/>
      </c>
      <c r="R220" s="60"/>
      <c r="S220" s="59" t="str">
        <f t="shared" si="1297"/>
        <v/>
      </c>
      <c r="T220" s="60"/>
      <c r="U220" s="59" t="str">
        <f t="shared" si="1298"/>
        <v/>
      </c>
      <c r="V220" s="60"/>
      <c r="W220" s="59" t="str">
        <f t="shared" si="1299"/>
        <v/>
      </c>
      <c r="X220" s="95"/>
      <c r="Y220" s="59" t="str">
        <f t="shared" si="1300"/>
        <v/>
      </c>
      <c r="Z220" s="95"/>
      <c r="AA220" s="59" t="str">
        <f t="shared" si="1301"/>
        <v/>
      </c>
      <c r="AB220" s="95"/>
      <c r="AC220" s="59" t="str">
        <f t="shared" si="1302"/>
        <v/>
      </c>
      <c r="AD220" s="60"/>
      <c r="AE220" s="59" t="str">
        <f t="shared" si="1303"/>
        <v/>
      </c>
      <c r="AF220" s="95"/>
      <c r="AG220" s="59" t="str">
        <f t="shared" ref="AG220" si="1645">+IF(OR($F220="",AF220=""),"",$F220*AF220)</f>
        <v/>
      </c>
      <c r="AH220" s="213"/>
      <c r="AI220" s="59" t="str">
        <f t="shared" si="1305"/>
        <v/>
      </c>
      <c r="AJ220" s="60"/>
      <c r="AK220" s="59" t="str">
        <f t="shared" si="1305"/>
        <v/>
      </c>
      <c r="AL220" s="60"/>
      <c r="AM220" s="59" t="str">
        <f t="shared" ref="AM220" si="1646">+IF(OR($F220="",AL220=""),"",$F220*AL220)</f>
        <v/>
      </c>
      <c r="AN220" s="60"/>
      <c r="AO220" s="59" t="str">
        <f t="shared" ref="AO220" si="1647">+IF(OR($F220="",AN220=""),"",$F220*AN220)</f>
        <v/>
      </c>
      <c r="AP220" s="60"/>
      <c r="AQ220" s="59" t="str">
        <f t="shared" ref="AQ220" si="1648">+IF(OR($F220="",AP220=""),"",$F220*AP220)</f>
        <v/>
      </c>
      <c r="AR220" s="60"/>
      <c r="AS220" s="59" t="str">
        <f t="shared" ref="AS220" si="1649">+IF(OR($F220="",AR220=""),"",$F220*AR220)</f>
        <v/>
      </c>
      <c r="AT220" s="60"/>
      <c r="AU220" s="59" t="str">
        <f t="shared" ref="AU220" si="1650">+IF(OR($F220="",AT220=""),"",$F220*AT220)</f>
        <v/>
      </c>
      <c r="AV220" s="60"/>
      <c r="AW220" s="59" t="str">
        <f t="shared" ref="AW220" si="1651">+IF(OR($F220="",AV220=""),"",$F220*AV220)</f>
        <v/>
      </c>
      <c r="AX220" s="60"/>
      <c r="AY220" s="59" t="str">
        <f t="shared" ref="AY220" si="1652">+IF(OR($F220="",AX220=""),"",$F220*AX220)</f>
        <v/>
      </c>
      <c r="AZ220" s="60"/>
      <c r="BA220" s="59" t="str">
        <f t="shared" ref="BA220" si="1653">+IF(OR($F220="",AZ220=""),"",$F220*AZ220)</f>
        <v/>
      </c>
      <c r="BB220" s="60"/>
      <c r="BC220" s="59" t="str">
        <f t="shared" ref="BC220" si="1654">+IF(OR($F220="",BB220=""),"",$F220*BB220)</f>
        <v/>
      </c>
      <c r="BD220" s="61">
        <f t="shared" si="1315"/>
        <v>0</v>
      </c>
      <c r="BE220" s="59">
        <f t="shared" si="1316"/>
        <v>0</v>
      </c>
      <c r="BF220" s="61">
        <f t="shared" si="1317"/>
        <v>-1</v>
      </c>
      <c r="BG220" s="59">
        <f t="shared" si="1318"/>
        <v>-903.9</v>
      </c>
      <c r="BH220" s="196"/>
      <c r="BI220" s="1">
        <f t="shared" si="1319"/>
        <v>0</v>
      </c>
      <c r="BJ220" s="1">
        <f t="shared" si="1320"/>
        <v>0</v>
      </c>
      <c r="BK220" s="1">
        <f t="shared" si="1321"/>
        <v>0</v>
      </c>
      <c r="BL220" s="1">
        <f t="shared" si="1322"/>
        <v>0</v>
      </c>
      <c r="BM220" s="1">
        <f t="shared" si="1323"/>
        <v>0</v>
      </c>
      <c r="BN220" s="1">
        <f t="shared" si="1324"/>
        <v>0</v>
      </c>
      <c r="BO220" s="1">
        <f t="shared" si="1325"/>
        <v>0</v>
      </c>
      <c r="BP220" s="1">
        <f t="shared" si="1326"/>
        <v>0</v>
      </c>
      <c r="BQ220" s="1">
        <f t="shared" si="1327"/>
        <v>0</v>
      </c>
      <c r="BR220" s="1">
        <f t="shared" si="1328"/>
        <v>0</v>
      </c>
      <c r="BS220" s="1">
        <f t="shared" si="1329"/>
        <v>0</v>
      </c>
      <c r="BT220" s="1">
        <f t="shared" si="1330"/>
        <v>0</v>
      </c>
      <c r="BU220" s="1">
        <f t="shared" si="1331"/>
        <v>0</v>
      </c>
      <c r="BV220" s="1">
        <f t="shared" si="1332"/>
        <v>0</v>
      </c>
      <c r="BW220" s="1">
        <f t="shared" si="1333"/>
        <v>0</v>
      </c>
      <c r="BX220" s="1">
        <f t="shared" si="1334"/>
        <v>0</v>
      </c>
      <c r="BY220" s="1">
        <f t="shared" si="1335"/>
        <v>0</v>
      </c>
      <c r="BZ220" s="1">
        <f t="shared" si="1336"/>
        <v>0</v>
      </c>
      <c r="CA220" s="1">
        <f t="shared" si="1337"/>
        <v>0</v>
      </c>
      <c r="CB220" s="1">
        <f t="shared" si="1338"/>
        <v>0</v>
      </c>
      <c r="CC220" s="1">
        <f t="shared" si="1339"/>
        <v>0</v>
      </c>
      <c r="CD220" s="1">
        <f t="shared" si="1340"/>
        <v>0</v>
      </c>
      <c r="CE220" s="1">
        <f t="shared" si="1341"/>
        <v>0</v>
      </c>
      <c r="CF220" s="1">
        <f t="shared" si="1342"/>
        <v>0</v>
      </c>
    </row>
    <row r="221" spans="2:85" ht="22.5" outlineLevel="1">
      <c r="C221" s="27" t="s">
        <v>964</v>
      </c>
      <c r="D221" s="55">
        <v>-4</v>
      </c>
      <c r="E221" s="88" t="s">
        <v>828</v>
      </c>
      <c r="F221" s="56">
        <v>628.79999999999995</v>
      </c>
      <c r="G221" s="57">
        <f t="shared" si="1291"/>
        <v>-2515.1999999999998</v>
      </c>
      <c r="H221" s="28"/>
      <c r="I221" s="59" t="str">
        <f t="shared" si="1292"/>
        <v/>
      </c>
      <c r="J221" s="60"/>
      <c r="K221" s="59" t="str">
        <f t="shared" si="1293"/>
        <v/>
      </c>
      <c r="L221" s="60"/>
      <c r="M221" s="59" t="str">
        <f t="shared" si="1294"/>
        <v/>
      </c>
      <c r="N221" s="60"/>
      <c r="O221" s="59" t="str">
        <f t="shared" si="1295"/>
        <v/>
      </c>
      <c r="P221" s="60"/>
      <c r="Q221" s="59" t="str">
        <f t="shared" si="1296"/>
        <v/>
      </c>
      <c r="R221" s="60"/>
      <c r="S221" s="59" t="str">
        <f t="shared" si="1297"/>
        <v/>
      </c>
      <c r="T221" s="60"/>
      <c r="U221" s="59" t="str">
        <f t="shared" si="1298"/>
        <v/>
      </c>
      <c r="V221" s="60"/>
      <c r="W221" s="59" t="str">
        <f t="shared" si="1299"/>
        <v/>
      </c>
      <c r="X221" s="95"/>
      <c r="Y221" s="59" t="str">
        <f t="shared" si="1300"/>
        <v/>
      </c>
      <c r="Z221" s="95"/>
      <c r="AA221" s="59" t="str">
        <f t="shared" si="1301"/>
        <v/>
      </c>
      <c r="AB221" s="95"/>
      <c r="AC221" s="59" t="str">
        <f t="shared" si="1302"/>
        <v/>
      </c>
      <c r="AD221" s="60"/>
      <c r="AE221" s="59" t="str">
        <f t="shared" si="1303"/>
        <v/>
      </c>
      <c r="AF221" s="95"/>
      <c r="AG221" s="59" t="str">
        <f t="shared" ref="AG221" si="1655">+IF(OR($F221="",AF221=""),"",$F221*AF221)</f>
        <v/>
      </c>
      <c r="AH221" s="213"/>
      <c r="AI221" s="59" t="str">
        <f t="shared" si="1305"/>
        <v/>
      </c>
      <c r="AJ221" s="60"/>
      <c r="AK221" s="59" t="str">
        <f t="shared" si="1305"/>
        <v/>
      </c>
      <c r="AL221" s="60"/>
      <c r="AM221" s="59" t="str">
        <f t="shared" ref="AM221" si="1656">+IF(OR($F221="",AL221=""),"",$F221*AL221)</f>
        <v/>
      </c>
      <c r="AN221" s="60"/>
      <c r="AO221" s="59" t="str">
        <f t="shared" ref="AO221" si="1657">+IF(OR($F221="",AN221=""),"",$F221*AN221)</f>
        <v/>
      </c>
      <c r="AP221" s="60"/>
      <c r="AQ221" s="59" t="str">
        <f t="shared" ref="AQ221" si="1658">+IF(OR($F221="",AP221=""),"",$F221*AP221)</f>
        <v/>
      </c>
      <c r="AR221" s="60"/>
      <c r="AS221" s="59" t="str">
        <f t="shared" ref="AS221" si="1659">+IF(OR($F221="",AR221=""),"",$F221*AR221)</f>
        <v/>
      </c>
      <c r="AT221" s="60"/>
      <c r="AU221" s="59" t="str">
        <f t="shared" ref="AU221" si="1660">+IF(OR($F221="",AT221=""),"",$F221*AT221)</f>
        <v/>
      </c>
      <c r="AV221" s="60"/>
      <c r="AW221" s="59" t="str">
        <f t="shared" ref="AW221" si="1661">+IF(OR($F221="",AV221=""),"",$F221*AV221)</f>
        <v/>
      </c>
      <c r="AX221" s="60"/>
      <c r="AY221" s="59" t="str">
        <f t="shared" ref="AY221" si="1662">+IF(OR($F221="",AX221=""),"",$F221*AX221)</f>
        <v/>
      </c>
      <c r="AZ221" s="60"/>
      <c r="BA221" s="59" t="str">
        <f t="shared" ref="BA221" si="1663">+IF(OR($F221="",AZ221=""),"",$F221*AZ221)</f>
        <v/>
      </c>
      <c r="BB221" s="60"/>
      <c r="BC221" s="59" t="str">
        <f t="shared" ref="BC221" si="1664">+IF(OR($F221="",BB221=""),"",$F221*BB221)</f>
        <v/>
      </c>
      <c r="BD221" s="61">
        <f t="shared" si="1315"/>
        <v>0</v>
      </c>
      <c r="BE221" s="59">
        <f t="shared" si="1316"/>
        <v>0</v>
      </c>
      <c r="BF221" s="61">
        <f t="shared" si="1317"/>
        <v>-4</v>
      </c>
      <c r="BG221" s="59">
        <f t="shared" si="1318"/>
        <v>-2515.1999999999998</v>
      </c>
      <c r="BH221" s="196"/>
      <c r="BI221" s="1">
        <f t="shared" si="1319"/>
        <v>0</v>
      </c>
      <c r="BJ221" s="1">
        <f t="shared" si="1320"/>
        <v>0</v>
      </c>
      <c r="BK221" s="1">
        <f t="shared" si="1321"/>
        <v>0</v>
      </c>
      <c r="BL221" s="1">
        <f t="shared" si="1322"/>
        <v>0</v>
      </c>
      <c r="BM221" s="1">
        <f t="shared" si="1323"/>
        <v>0</v>
      </c>
      <c r="BN221" s="1">
        <f t="shared" si="1324"/>
        <v>0</v>
      </c>
      <c r="BO221" s="1">
        <f t="shared" si="1325"/>
        <v>0</v>
      </c>
      <c r="BP221" s="1">
        <f t="shared" si="1326"/>
        <v>0</v>
      </c>
      <c r="BQ221" s="1">
        <f t="shared" si="1327"/>
        <v>0</v>
      </c>
      <c r="BR221" s="1">
        <f t="shared" si="1328"/>
        <v>0</v>
      </c>
      <c r="BS221" s="1">
        <f t="shared" si="1329"/>
        <v>0</v>
      </c>
      <c r="BT221" s="1">
        <f t="shared" si="1330"/>
        <v>0</v>
      </c>
      <c r="BU221" s="1">
        <f t="shared" si="1331"/>
        <v>0</v>
      </c>
      <c r="BV221" s="1">
        <f t="shared" si="1332"/>
        <v>0</v>
      </c>
      <c r="BW221" s="1">
        <f t="shared" si="1333"/>
        <v>0</v>
      </c>
      <c r="BX221" s="1">
        <f t="shared" si="1334"/>
        <v>0</v>
      </c>
      <c r="BY221" s="1">
        <f t="shared" si="1335"/>
        <v>0</v>
      </c>
      <c r="BZ221" s="1">
        <f t="shared" si="1336"/>
        <v>0</v>
      </c>
      <c r="CA221" s="1">
        <f t="shared" si="1337"/>
        <v>0</v>
      </c>
      <c r="CB221" s="1">
        <f t="shared" si="1338"/>
        <v>0</v>
      </c>
      <c r="CC221" s="1">
        <f t="shared" si="1339"/>
        <v>0</v>
      </c>
      <c r="CD221" s="1">
        <f t="shared" si="1340"/>
        <v>0</v>
      </c>
      <c r="CE221" s="1">
        <f t="shared" si="1341"/>
        <v>0</v>
      </c>
      <c r="CF221" s="1">
        <f t="shared" si="1342"/>
        <v>0</v>
      </c>
    </row>
    <row r="222" spans="2:85" ht="22.5" outlineLevel="1">
      <c r="C222" s="27" t="s">
        <v>894</v>
      </c>
      <c r="D222" s="55">
        <v>-1</v>
      </c>
      <c r="E222" s="88" t="s">
        <v>828</v>
      </c>
      <c r="F222" s="56">
        <v>628.79999999999995</v>
      </c>
      <c r="G222" s="57">
        <f t="shared" si="1291"/>
        <v>-628.79999999999995</v>
      </c>
      <c r="H222" s="28"/>
      <c r="I222" s="59" t="str">
        <f t="shared" si="1292"/>
        <v/>
      </c>
      <c r="J222" s="60"/>
      <c r="K222" s="59" t="str">
        <f t="shared" si="1293"/>
        <v/>
      </c>
      <c r="L222" s="60"/>
      <c r="M222" s="59" t="str">
        <f t="shared" si="1294"/>
        <v/>
      </c>
      <c r="N222" s="60"/>
      <c r="O222" s="59" t="str">
        <f t="shared" si="1295"/>
        <v/>
      </c>
      <c r="P222" s="60"/>
      <c r="Q222" s="59" t="str">
        <f t="shared" si="1296"/>
        <v/>
      </c>
      <c r="R222" s="60"/>
      <c r="S222" s="59" t="str">
        <f t="shared" si="1297"/>
        <v/>
      </c>
      <c r="T222" s="60"/>
      <c r="U222" s="59" t="str">
        <f t="shared" si="1298"/>
        <v/>
      </c>
      <c r="V222" s="60"/>
      <c r="W222" s="59" t="str">
        <f t="shared" si="1299"/>
        <v/>
      </c>
      <c r="X222" s="95"/>
      <c r="Y222" s="59" t="str">
        <f t="shared" si="1300"/>
        <v/>
      </c>
      <c r="Z222" s="95"/>
      <c r="AA222" s="59" t="str">
        <f t="shared" si="1301"/>
        <v/>
      </c>
      <c r="AB222" s="95"/>
      <c r="AC222" s="59" t="str">
        <f t="shared" si="1302"/>
        <v/>
      </c>
      <c r="AD222" s="60"/>
      <c r="AE222" s="59" t="str">
        <f t="shared" si="1303"/>
        <v/>
      </c>
      <c r="AF222" s="95"/>
      <c r="AG222" s="59" t="str">
        <f t="shared" ref="AG222" si="1665">+IF(OR($F222="",AF222=""),"",$F222*AF222)</f>
        <v/>
      </c>
      <c r="AH222" s="213"/>
      <c r="AI222" s="59" t="str">
        <f t="shared" si="1305"/>
        <v/>
      </c>
      <c r="AJ222" s="60"/>
      <c r="AK222" s="59" t="str">
        <f t="shared" si="1305"/>
        <v/>
      </c>
      <c r="AL222" s="60"/>
      <c r="AM222" s="59" t="str">
        <f t="shared" ref="AM222" si="1666">+IF(OR($F222="",AL222=""),"",$F222*AL222)</f>
        <v/>
      </c>
      <c r="AN222" s="60"/>
      <c r="AO222" s="59" t="str">
        <f t="shared" ref="AO222" si="1667">+IF(OR($F222="",AN222=""),"",$F222*AN222)</f>
        <v/>
      </c>
      <c r="AP222" s="60"/>
      <c r="AQ222" s="59" t="str">
        <f t="shared" ref="AQ222" si="1668">+IF(OR($F222="",AP222=""),"",$F222*AP222)</f>
        <v/>
      </c>
      <c r="AR222" s="60"/>
      <c r="AS222" s="59" t="str">
        <f t="shared" ref="AS222" si="1669">+IF(OR($F222="",AR222=""),"",$F222*AR222)</f>
        <v/>
      </c>
      <c r="AT222" s="60"/>
      <c r="AU222" s="59" t="str">
        <f t="shared" ref="AU222" si="1670">+IF(OR($F222="",AT222=""),"",$F222*AT222)</f>
        <v/>
      </c>
      <c r="AV222" s="60"/>
      <c r="AW222" s="59" t="str">
        <f t="shared" ref="AW222" si="1671">+IF(OR($F222="",AV222=""),"",$F222*AV222)</f>
        <v/>
      </c>
      <c r="AX222" s="60"/>
      <c r="AY222" s="59" t="str">
        <f t="shared" ref="AY222" si="1672">+IF(OR($F222="",AX222=""),"",$F222*AX222)</f>
        <v/>
      </c>
      <c r="AZ222" s="60"/>
      <c r="BA222" s="59" t="str">
        <f t="shared" ref="BA222" si="1673">+IF(OR($F222="",AZ222=""),"",$F222*AZ222)</f>
        <v/>
      </c>
      <c r="BB222" s="60"/>
      <c r="BC222" s="59" t="str">
        <f t="shared" ref="BC222" si="1674">+IF(OR($F222="",BB222=""),"",$F222*BB222)</f>
        <v/>
      </c>
      <c r="BD222" s="61">
        <f t="shared" si="1315"/>
        <v>0</v>
      </c>
      <c r="BE222" s="59">
        <f t="shared" si="1316"/>
        <v>0</v>
      </c>
      <c r="BF222" s="61">
        <f t="shared" si="1317"/>
        <v>-1</v>
      </c>
      <c r="BG222" s="59">
        <f t="shared" si="1318"/>
        <v>-628.79999999999995</v>
      </c>
      <c r="BH222" s="196"/>
      <c r="BI222" s="1">
        <f t="shared" si="1319"/>
        <v>0</v>
      </c>
      <c r="BJ222" s="1">
        <f t="shared" si="1320"/>
        <v>0</v>
      </c>
      <c r="BK222" s="1">
        <f t="shared" si="1321"/>
        <v>0</v>
      </c>
      <c r="BL222" s="1">
        <f t="shared" si="1322"/>
        <v>0</v>
      </c>
      <c r="BM222" s="1">
        <f t="shared" si="1323"/>
        <v>0</v>
      </c>
      <c r="BN222" s="1">
        <f t="shared" si="1324"/>
        <v>0</v>
      </c>
      <c r="BO222" s="1">
        <f t="shared" si="1325"/>
        <v>0</v>
      </c>
      <c r="BP222" s="1">
        <f t="shared" si="1326"/>
        <v>0</v>
      </c>
      <c r="BQ222" s="1">
        <f t="shared" si="1327"/>
        <v>0</v>
      </c>
      <c r="BR222" s="1">
        <f t="shared" si="1328"/>
        <v>0</v>
      </c>
      <c r="BS222" s="1">
        <f t="shared" si="1329"/>
        <v>0</v>
      </c>
      <c r="BT222" s="1">
        <f t="shared" si="1330"/>
        <v>0</v>
      </c>
      <c r="BU222" s="1">
        <f t="shared" si="1331"/>
        <v>0</v>
      </c>
      <c r="BV222" s="1">
        <f t="shared" si="1332"/>
        <v>0</v>
      </c>
      <c r="BW222" s="1">
        <f t="shared" si="1333"/>
        <v>0</v>
      </c>
      <c r="BX222" s="1">
        <f t="shared" si="1334"/>
        <v>0</v>
      </c>
      <c r="BY222" s="1">
        <f t="shared" si="1335"/>
        <v>0</v>
      </c>
      <c r="BZ222" s="1">
        <f t="shared" si="1336"/>
        <v>0</v>
      </c>
      <c r="CA222" s="1">
        <f t="shared" si="1337"/>
        <v>0</v>
      </c>
      <c r="CB222" s="1">
        <f t="shared" si="1338"/>
        <v>0</v>
      </c>
      <c r="CC222" s="1">
        <f t="shared" si="1339"/>
        <v>0</v>
      </c>
      <c r="CD222" s="1">
        <f t="shared" si="1340"/>
        <v>0</v>
      </c>
      <c r="CE222" s="1">
        <f t="shared" si="1341"/>
        <v>0</v>
      </c>
      <c r="CF222" s="1">
        <f t="shared" si="1342"/>
        <v>0</v>
      </c>
    </row>
    <row r="223" spans="2:85" ht="22.5" outlineLevel="1">
      <c r="C223" s="27" t="s">
        <v>965</v>
      </c>
      <c r="D223" s="55">
        <v>23.34</v>
      </c>
      <c r="E223" s="88" t="s">
        <v>874</v>
      </c>
      <c r="F223" s="56">
        <v>99</v>
      </c>
      <c r="G223" s="57">
        <f t="shared" si="1291"/>
        <v>2310.66</v>
      </c>
      <c r="H223" s="28"/>
      <c r="I223" s="59" t="str">
        <f t="shared" si="1292"/>
        <v/>
      </c>
      <c r="J223" s="60"/>
      <c r="K223" s="59" t="str">
        <f t="shared" si="1293"/>
        <v/>
      </c>
      <c r="L223" s="60"/>
      <c r="M223" s="59" t="str">
        <f t="shared" si="1294"/>
        <v/>
      </c>
      <c r="N223" s="60"/>
      <c r="O223" s="59" t="str">
        <f t="shared" si="1295"/>
        <v/>
      </c>
      <c r="P223" s="60"/>
      <c r="Q223" s="59" t="str">
        <f t="shared" si="1296"/>
        <v/>
      </c>
      <c r="R223" s="60"/>
      <c r="S223" s="59" t="str">
        <f t="shared" si="1297"/>
        <v/>
      </c>
      <c r="T223" s="60"/>
      <c r="U223" s="59" t="str">
        <f t="shared" si="1298"/>
        <v/>
      </c>
      <c r="V223" s="60"/>
      <c r="W223" s="59" t="str">
        <f t="shared" si="1299"/>
        <v/>
      </c>
      <c r="X223" s="95"/>
      <c r="Y223" s="59" t="str">
        <f t="shared" si="1300"/>
        <v/>
      </c>
      <c r="Z223" s="95"/>
      <c r="AA223" s="59" t="str">
        <f t="shared" si="1301"/>
        <v/>
      </c>
      <c r="AB223" s="95">
        <f t="shared" ref="AB223:AB264" si="1675">0.5*D223</f>
        <v>11.67</v>
      </c>
      <c r="AC223" s="59">
        <f t="shared" si="1302"/>
        <v>1155.33</v>
      </c>
      <c r="AD223" s="60"/>
      <c r="AE223" s="59" t="str">
        <f t="shared" si="1303"/>
        <v/>
      </c>
      <c r="AF223" s="95"/>
      <c r="AG223" s="59" t="str">
        <f t="shared" ref="AG223" si="1676">+IF(OR($F223="",AF223=""),"",$F223*AF223)</f>
        <v/>
      </c>
      <c r="AH223" s="95"/>
      <c r="AI223" s="59" t="str">
        <f t="shared" si="1305"/>
        <v/>
      </c>
      <c r="AJ223" s="60"/>
      <c r="AK223" s="59" t="str">
        <f t="shared" si="1305"/>
        <v/>
      </c>
      <c r="AL223" s="60"/>
      <c r="AM223" s="59" t="str">
        <f t="shared" ref="AM223" si="1677">+IF(OR($F223="",AL223=""),"",$F223*AL223)</f>
        <v/>
      </c>
      <c r="AN223" s="60"/>
      <c r="AO223" s="59" t="str">
        <f t="shared" ref="AO223" si="1678">+IF(OR($F223="",AN223=""),"",$F223*AN223)</f>
        <v/>
      </c>
      <c r="AP223" s="60"/>
      <c r="AQ223" s="59" t="str">
        <f t="shared" ref="AQ223" si="1679">+IF(OR($F223="",AP223=""),"",$F223*AP223)</f>
        <v/>
      </c>
      <c r="AR223" s="60"/>
      <c r="AS223" s="59" t="str">
        <f t="shared" ref="AS223" si="1680">+IF(OR($F223="",AR223=""),"",$F223*AR223)</f>
        <v/>
      </c>
      <c r="AT223" s="60"/>
      <c r="AU223" s="59" t="str">
        <f t="shared" ref="AU223" si="1681">+IF(OR($F223="",AT223=""),"",$F223*AT223)</f>
        <v/>
      </c>
      <c r="AV223" s="60"/>
      <c r="AW223" s="59" t="str">
        <f t="shared" ref="AW223" si="1682">+IF(OR($F223="",AV223=""),"",$F223*AV223)</f>
        <v/>
      </c>
      <c r="AX223" s="60"/>
      <c r="AY223" s="59" t="str">
        <f t="shared" ref="AY223" si="1683">+IF(OR($F223="",AX223=""),"",$F223*AX223)</f>
        <v/>
      </c>
      <c r="AZ223" s="60"/>
      <c r="BA223" s="59" t="str">
        <f t="shared" ref="BA223" si="1684">+IF(OR($F223="",AZ223=""),"",$F223*AZ223)</f>
        <v/>
      </c>
      <c r="BB223" s="60"/>
      <c r="BC223" s="59" t="str">
        <f t="shared" ref="BC223" si="1685">+IF(OR($F223="",BB223=""),"",$F223*BB223)</f>
        <v/>
      </c>
      <c r="BD223" s="61">
        <f t="shared" si="1315"/>
        <v>11.67</v>
      </c>
      <c r="BE223" s="59">
        <f t="shared" si="1316"/>
        <v>1155.33</v>
      </c>
      <c r="BF223" s="61">
        <f t="shared" si="1317"/>
        <v>11.67</v>
      </c>
      <c r="BG223" s="59">
        <f t="shared" si="1318"/>
        <v>1155.33</v>
      </c>
      <c r="BH223" s="196"/>
      <c r="BI223" s="1">
        <f t="shared" si="1319"/>
        <v>0</v>
      </c>
      <c r="BJ223" s="1">
        <f t="shared" si="1320"/>
        <v>0</v>
      </c>
      <c r="BK223" s="1">
        <f t="shared" si="1321"/>
        <v>0</v>
      </c>
      <c r="BL223" s="1">
        <f t="shared" si="1322"/>
        <v>0</v>
      </c>
      <c r="BM223" s="1">
        <f t="shared" si="1323"/>
        <v>0</v>
      </c>
      <c r="BN223" s="1">
        <f t="shared" si="1324"/>
        <v>0</v>
      </c>
      <c r="BO223" s="1">
        <f t="shared" si="1325"/>
        <v>0</v>
      </c>
      <c r="BP223" s="1">
        <f t="shared" si="1326"/>
        <v>0</v>
      </c>
      <c r="BQ223" s="1">
        <f t="shared" si="1327"/>
        <v>0</v>
      </c>
      <c r="BR223" s="1">
        <f t="shared" si="1328"/>
        <v>0</v>
      </c>
      <c r="BS223" s="1">
        <f t="shared" si="1329"/>
        <v>11.67</v>
      </c>
      <c r="BT223" s="1">
        <f t="shared" si="1330"/>
        <v>0</v>
      </c>
      <c r="BU223" s="1">
        <f t="shared" si="1331"/>
        <v>0</v>
      </c>
      <c r="BV223" s="1">
        <f t="shared" si="1332"/>
        <v>0</v>
      </c>
      <c r="BW223" s="1">
        <f t="shared" si="1333"/>
        <v>0</v>
      </c>
      <c r="BX223" s="1">
        <f t="shared" si="1334"/>
        <v>0</v>
      </c>
      <c r="BY223" s="1">
        <f t="shared" si="1335"/>
        <v>0</v>
      </c>
      <c r="BZ223" s="1">
        <f t="shared" si="1336"/>
        <v>0</v>
      </c>
      <c r="CA223" s="1">
        <f t="shared" si="1337"/>
        <v>0</v>
      </c>
      <c r="CB223" s="1">
        <f t="shared" si="1338"/>
        <v>0</v>
      </c>
      <c r="CC223" s="1">
        <f t="shared" si="1339"/>
        <v>0</v>
      </c>
      <c r="CD223" s="1">
        <f t="shared" si="1340"/>
        <v>0</v>
      </c>
      <c r="CE223" s="1">
        <f t="shared" si="1341"/>
        <v>0</v>
      </c>
      <c r="CF223" s="1">
        <f t="shared" si="1342"/>
        <v>0</v>
      </c>
    </row>
    <row r="224" spans="2:85" ht="22.5" outlineLevel="1">
      <c r="C224" s="27" t="s">
        <v>966</v>
      </c>
      <c r="D224" s="55">
        <v>51.24</v>
      </c>
      <c r="E224" s="88" t="s">
        <v>874</v>
      </c>
      <c r="F224" s="56">
        <v>99</v>
      </c>
      <c r="G224" s="57">
        <f t="shared" si="1291"/>
        <v>5072.76</v>
      </c>
      <c r="H224" s="28"/>
      <c r="I224" s="59" t="str">
        <f t="shared" si="1292"/>
        <v/>
      </c>
      <c r="J224" s="60"/>
      <c r="K224" s="59" t="str">
        <f t="shared" si="1293"/>
        <v/>
      </c>
      <c r="L224" s="60"/>
      <c r="M224" s="59" t="str">
        <f t="shared" si="1294"/>
        <v/>
      </c>
      <c r="N224" s="60"/>
      <c r="O224" s="59" t="str">
        <f t="shared" si="1295"/>
        <v/>
      </c>
      <c r="P224" s="60"/>
      <c r="Q224" s="59" t="str">
        <f t="shared" si="1296"/>
        <v/>
      </c>
      <c r="R224" s="60"/>
      <c r="S224" s="59" t="str">
        <f t="shared" si="1297"/>
        <v/>
      </c>
      <c r="T224" s="60"/>
      <c r="U224" s="59" t="str">
        <f t="shared" si="1298"/>
        <v/>
      </c>
      <c r="V224" s="60"/>
      <c r="W224" s="59" t="str">
        <f t="shared" si="1299"/>
        <v/>
      </c>
      <c r="X224" s="95"/>
      <c r="Y224" s="59" t="str">
        <f t="shared" si="1300"/>
        <v/>
      </c>
      <c r="Z224" s="95"/>
      <c r="AA224" s="59" t="str">
        <f t="shared" si="1301"/>
        <v/>
      </c>
      <c r="AB224" s="95">
        <f t="shared" si="1675"/>
        <v>25.62</v>
      </c>
      <c r="AC224" s="59">
        <f t="shared" si="1302"/>
        <v>2536.38</v>
      </c>
      <c r="AD224" s="60"/>
      <c r="AE224" s="59" t="str">
        <f t="shared" si="1303"/>
        <v/>
      </c>
      <c r="AF224" s="95"/>
      <c r="AG224" s="59" t="str">
        <f t="shared" ref="AG224" si="1686">+IF(OR($F224="",AF224=""),"",$F224*AF224)</f>
        <v/>
      </c>
      <c r="AH224" s="95"/>
      <c r="AI224" s="59" t="str">
        <f t="shared" si="1305"/>
        <v/>
      </c>
      <c r="AJ224" s="60"/>
      <c r="AK224" s="59" t="str">
        <f t="shared" si="1305"/>
        <v/>
      </c>
      <c r="AL224" s="60"/>
      <c r="AM224" s="59" t="str">
        <f t="shared" ref="AM224" si="1687">+IF(OR($F224="",AL224=""),"",$F224*AL224)</f>
        <v/>
      </c>
      <c r="AN224" s="60"/>
      <c r="AO224" s="59" t="str">
        <f t="shared" ref="AO224" si="1688">+IF(OR($F224="",AN224=""),"",$F224*AN224)</f>
        <v/>
      </c>
      <c r="AP224" s="60"/>
      <c r="AQ224" s="59" t="str">
        <f t="shared" ref="AQ224" si="1689">+IF(OR($F224="",AP224=""),"",$F224*AP224)</f>
        <v/>
      </c>
      <c r="AR224" s="60"/>
      <c r="AS224" s="59" t="str">
        <f t="shared" ref="AS224" si="1690">+IF(OR($F224="",AR224=""),"",$F224*AR224)</f>
        <v/>
      </c>
      <c r="AT224" s="60"/>
      <c r="AU224" s="59" t="str">
        <f t="shared" ref="AU224" si="1691">+IF(OR($F224="",AT224=""),"",$F224*AT224)</f>
        <v/>
      </c>
      <c r="AV224" s="60"/>
      <c r="AW224" s="59" t="str">
        <f t="shared" ref="AW224" si="1692">+IF(OR($F224="",AV224=""),"",$F224*AV224)</f>
        <v/>
      </c>
      <c r="AX224" s="60"/>
      <c r="AY224" s="59" t="str">
        <f t="shared" ref="AY224" si="1693">+IF(OR($F224="",AX224=""),"",$F224*AX224)</f>
        <v/>
      </c>
      <c r="AZ224" s="60"/>
      <c r="BA224" s="59" t="str">
        <f t="shared" ref="BA224" si="1694">+IF(OR($F224="",AZ224=""),"",$F224*AZ224)</f>
        <v/>
      </c>
      <c r="BB224" s="60"/>
      <c r="BC224" s="59" t="str">
        <f t="shared" ref="BC224" si="1695">+IF(OR($F224="",BB224=""),"",$F224*BB224)</f>
        <v/>
      </c>
      <c r="BD224" s="61">
        <f t="shared" si="1315"/>
        <v>25.62</v>
      </c>
      <c r="BE224" s="59">
        <f t="shared" si="1316"/>
        <v>2536.38</v>
      </c>
      <c r="BF224" s="61">
        <f t="shared" si="1317"/>
        <v>25.62</v>
      </c>
      <c r="BG224" s="59">
        <f t="shared" si="1318"/>
        <v>2536.38</v>
      </c>
      <c r="BH224" s="196"/>
      <c r="BI224" s="1">
        <f t="shared" si="1319"/>
        <v>0</v>
      </c>
      <c r="BJ224" s="1">
        <f t="shared" si="1320"/>
        <v>0</v>
      </c>
      <c r="BK224" s="1">
        <f t="shared" si="1321"/>
        <v>0</v>
      </c>
      <c r="BL224" s="1">
        <f t="shared" si="1322"/>
        <v>0</v>
      </c>
      <c r="BM224" s="1">
        <f t="shared" si="1323"/>
        <v>0</v>
      </c>
      <c r="BN224" s="1">
        <f t="shared" si="1324"/>
        <v>0</v>
      </c>
      <c r="BO224" s="1">
        <f t="shared" si="1325"/>
        <v>0</v>
      </c>
      <c r="BP224" s="1">
        <f t="shared" si="1326"/>
        <v>0</v>
      </c>
      <c r="BQ224" s="1">
        <f t="shared" si="1327"/>
        <v>0</v>
      </c>
      <c r="BR224" s="1">
        <f t="shared" si="1328"/>
        <v>0</v>
      </c>
      <c r="BS224" s="1">
        <f t="shared" si="1329"/>
        <v>25.62</v>
      </c>
      <c r="BT224" s="1">
        <f t="shared" si="1330"/>
        <v>0</v>
      </c>
      <c r="BU224" s="1">
        <f t="shared" si="1331"/>
        <v>0</v>
      </c>
      <c r="BV224" s="1">
        <f t="shared" si="1332"/>
        <v>0</v>
      </c>
      <c r="BW224" s="1">
        <f t="shared" si="1333"/>
        <v>0</v>
      </c>
      <c r="BX224" s="1">
        <f t="shared" si="1334"/>
        <v>0</v>
      </c>
      <c r="BY224" s="1">
        <f t="shared" si="1335"/>
        <v>0</v>
      </c>
      <c r="BZ224" s="1">
        <f t="shared" si="1336"/>
        <v>0</v>
      </c>
      <c r="CA224" s="1">
        <f t="shared" si="1337"/>
        <v>0</v>
      </c>
      <c r="CB224" s="1">
        <f t="shared" si="1338"/>
        <v>0</v>
      </c>
      <c r="CC224" s="1">
        <f t="shared" si="1339"/>
        <v>0</v>
      </c>
      <c r="CD224" s="1">
        <f t="shared" si="1340"/>
        <v>0</v>
      </c>
      <c r="CE224" s="1">
        <f t="shared" si="1341"/>
        <v>0</v>
      </c>
      <c r="CF224" s="1">
        <f t="shared" si="1342"/>
        <v>0</v>
      </c>
    </row>
    <row r="225" spans="3:84" ht="31.5" customHeight="1" outlineLevel="1">
      <c r="C225" s="27" t="s">
        <v>925</v>
      </c>
      <c r="D225" s="55">
        <v>18.399999999999999</v>
      </c>
      <c r="E225" s="88" t="s">
        <v>875</v>
      </c>
      <c r="F225" s="56">
        <v>136.4</v>
      </c>
      <c r="G225" s="57">
        <f t="shared" si="1291"/>
        <v>2509.7599999999998</v>
      </c>
      <c r="H225" s="28"/>
      <c r="I225" s="59" t="str">
        <f t="shared" si="1292"/>
        <v/>
      </c>
      <c r="J225" s="60"/>
      <c r="K225" s="59" t="str">
        <f t="shared" si="1293"/>
        <v/>
      </c>
      <c r="L225" s="60"/>
      <c r="M225" s="59" t="str">
        <f t="shared" si="1294"/>
        <v/>
      </c>
      <c r="N225" s="60"/>
      <c r="O225" s="59" t="str">
        <f t="shared" si="1295"/>
        <v/>
      </c>
      <c r="P225" s="60"/>
      <c r="Q225" s="59" t="str">
        <f t="shared" si="1296"/>
        <v/>
      </c>
      <c r="R225" s="60"/>
      <c r="S225" s="59" t="str">
        <f t="shared" si="1297"/>
        <v/>
      </c>
      <c r="T225" s="60"/>
      <c r="U225" s="59" t="str">
        <f t="shared" si="1298"/>
        <v/>
      </c>
      <c r="V225" s="60"/>
      <c r="W225" s="59" t="str">
        <f t="shared" si="1299"/>
        <v/>
      </c>
      <c r="X225" s="95"/>
      <c r="Y225" s="59" t="str">
        <f t="shared" si="1300"/>
        <v/>
      </c>
      <c r="Z225" s="95"/>
      <c r="AA225" s="59" t="str">
        <f t="shared" si="1301"/>
        <v/>
      </c>
      <c r="AB225" s="95">
        <f t="shared" si="1675"/>
        <v>9.1999999999999993</v>
      </c>
      <c r="AC225" s="59">
        <f t="shared" si="1302"/>
        <v>1254.8799999999999</v>
      </c>
      <c r="AD225" s="60"/>
      <c r="AE225" s="59" t="str">
        <f t="shared" si="1303"/>
        <v/>
      </c>
      <c r="AF225" s="95"/>
      <c r="AG225" s="59" t="str">
        <f t="shared" ref="AG225" si="1696">+IF(OR($F225="",AF225=""),"",$F225*AF225)</f>
        <v/>
      </c>
      <c r="AH225" s="95"/>
      <c r="AI225" s="59" t="str">
        <f t="shared" si="1305"/>
        <v/>
      </c>
      <c r="AJ225" s="60"/>
      <c r="AK225" s="59" t="str">
        <f t="shared" si="1305"/>
        <v/>
      </c>
      <c r="AL225" s="60"/>
      <c r="AM225" s="59" t="str">
        <f t="shared" ref="AM225" si="1697">+IF(OR($F225="",AL225=""),"",$F225*AL225)</f>
        <v/>
      </c>
      <c r="AN225" s="60"/>
      <c r="AO225" s="59" t="str">
        <f t="shared" ref="AO225" si="1698">+IF(OR($F225="",AN225=""),"",$F225*AN225)</f>
        <v/>
      </c>
      <c r="AP225" s="60"/>
      <c r="AQ225" s="59" t="str">
        <f t="shared" ref="AQ225" si="1699">+IF(OR($F225="",AP225=""),"",$F225*AP225)</f>
        <v/>
      </c>
      <c r="AR225" s="60"/>
      <c r="AS225" s="59" t="str">
        <f t="shared" ref="AS225" si="1700">+IF(OR($F225="",AR225=""),"",$F225*AR225)</f>
        <v/>
      </c>
      <c r="AT225" s="60"/>
      <c r="AU225" s="59" t="str">
        <f t="shared" ref="AU225" si="1701">+IF(OR($F225="",AT225=""),"",$F225*AT225)</f>
        <v/>
      </c>
      <c r="AV225" s="60"/>
      <c r="AW225" s="59" t="str">
        <f t="shared" ref="AW225" si="1702">+IF(OR($F225="",AV225=""),"",$F225*AV225)</f>
        <v/>
      </c>
      <c r="AX225" s="60"/>
      <c r="AY225" s="59" t="str">
        <f t="shared" ref="AY225" si="1703">+IF(OR($F225="",AX225=""),"",$F225*AX225)</f>
        <v/>
      </c>
      <c r="AZ225" s="60"/>
      <c r="BA225" s="59" t="str">
        <f t="shared" ref="BA225" si="1704">+IF(OR($F225="",AZ225=""),"",$F225*AZ225)</f>
        <v/>
      </c>
      <c r="BB225" s="60"/>
      <c r="BC225" s="59" t="str">
        <f t="shared" ref="BC225" si="1705">+IF(OR($F225="",BB225=""),"",$F225*BB225)</f>
        <v/>
      </c>
      <c r="BD225" s="61">
        <f t="shared" si="1315"/>
        <v>9.1999999999999993</v>
      </c>
      <c r="BE225" s="59">
        <f t="shared" si="1316"/>
        <v>1254.8799999999999</v>
      </c>
      <c r="BF225" s="61">
        <f t="shared" si="1317"/>
        <v>9.1999999999999993</v>
      </c>
      <c r="BG225" s="59">
        <f t="shared" si="1318"/>
        <v>1254.8799999999999</v>
      </c>
      <c r="BH225" s="196"/>
      <c r="BI225" s="1">
        <f t="shared" si="1319"/>
        <v>0</v>
      </c>
      <c r="BJ225" s="1">
        <f t="shared" si="1320"/>
        <v>0</v>
      </c>
      <c r="BK225" s="1">
        <f t="shared" si="1321"/>
        <v>0</v>
      </c>
      <c r="BL225" s="1">
        <f t="shared" si="1322"/>
        <v>0</v>
      </c>
      <c r="BM225" s="1">
        <f t="shared" si="1323"/>
        <v>0</v>
      </c>
      <c r="BN225" s="1">
        <f t="shared" si="1324"/>
        <v>0</v>
      </c>
      <c r="BO225" s="1">
        <f t="shared" si="1325"/>
        <v>0</v>
      </c>
      <c r="BP225" s="1">
        <f t="shared" si="1326"/>
        <v>0</v>
      </c>
      <c r="BQ225" s="1">
        <f t="shared" si="1327"/>
        <v>0</v>
      </c>
      <c r="BR225" s="1">
        <f t="shared" si="1328"/>
        <v>0</v>
      </c>
      <c r="BS225" s="1">
        <f t="shared" si="1329"/>
        <v>9.1999999999999993</v>
      </c>
      <c r="BT225" s="1">
        <f t="shared" si="1330"/>
        <v>0</v>
      </c>
      <c r="BU225" s="1">
        <f t="shared" si="1331"/>
        <v>0</v>
      </c>
      <c r="BV225" s="1">
        <f t="shared" si="1332"/>
        <v>0</v>
      </c>
      <c r="BW225" s="1">
        <f t="shared" si="1333"/>
        <v>0</v>
      </c>
      <c r="BX225" s="1">
        <f t="shared" si="1334"/>
        <v>0</v>
      </c>
      <c r="BY225" s="1">
        <f t="shared" si="1335"/>
        <v>0</v>
      </c>
      <c r="BZ225" s="1">
        <f t="shared" si="1336"/>
        <v>0</v>
      </c>
      <c r="CA225" s="1">
        <f t="shared" si="1337"/>
        <v>0</v>
      </c>
      <c r="CB225" s="1">
        <f t="shared" si="1338"/>
        <v>0</v>
      </c>
      <c r="CC225" s="1">
        <f t="shared" si="1339"/>
        <v>0</v>
      </c>
      <c r="CD225" s="1">
        <f t="shared" si="1340"/>
        <v>0</v>
      </c>
      <c r="CE225" s="1">
        <f t="shared" si="1341"/>
        <v>0</v>
      </c>
      <c r="CF225" s="1">
        <f t="shared" si="1342"/>
        <v>0</v>
      </c>
    </row>
    <row r="226" spans="3:84" ht="31.5" customHeight="1" outlineLevel="1">
      <c r="C226" s="27" t="s">
        <v>926</v>
      </c>
      <c r="D226" s="55">
        <v>4</v>
      </c>
      <c r="E226" s="88" t="s">
        <v>828</v>
      </c>
      <c r="F226" s="56">
        <v>301.33</v>
      </c>
      <c r="G226" s="57">
        <f t="shared" si="1291"/>
        <v>1205.32</v>
      </c>
      <c r="H226" s="28"/>
      <c r="I226" s="59" t="str">
        <f t="shared" si="1292"/>
        <v/>
      </c>
      <c r="J226" s="60"/>
      <c r="K226" s="59" t="str">
        <f t="shared" si="1293"/>
        <v/>
      </c>
      <c r="L226" s="60"/>
      <c r="M226" s="59" t="str">
        <f t="shared" si="1294"/>
        <v/>
      </c>
      <c r="N226" s="60"/>
      <c r="O226" s="59" t="str">
        <f t="shared" si="1295"/>
        <v/>
      </c>
      <c r="P226" s="60"/>
      <c r="Q226" s="59" t="str">
        <f t="shared" si="1296"/>
        <v/>
      </c>
      <c r="R226" s="60"/>
      <c r="S226" s="59" t="str">
        <f t="shared" si="1297"/>
        <v/>
      </c>
      <c r="T226" s="60"/>
      <c r="U226" s="59" t="str">
        <f t="shared" si="1298"/>
        <v/>
      </c>
      <c r="V226" s="60"/>
      <c r="W226" s="59" t="str">
        <f t="shared" si="1299"/>
        <v/>
      </c>
      <c r="X226" s="95"/>
      <c r="Y226" s="59" t="str">
        <f t="shared" si="1300"/>
        <v/>
      </c>
      <c r="Z226" s="95"/>
      <c r="AA226" s="59" t="str">
        <f t="shared" si="1301"/>
        <v/>
      </c>
      <c r="AB226" s="95">
        <f t="shared" si="1675"/>
        <v>2</v>
      </c>
      <c r="AC226" s="59">
        <f t="shared" si="1302"/>
        <v>602.66</v>
      </c>
      <c r="AD226" s="60"/>
      <c r="AE226" s="59" t="str">
        <f t="shared" si="1303"/>
        <v/>
      </c>
      <c r="AF226" s="95"/>
      <c r="AG226" s="59" t="str">
        <f t="shared" ref="AG226" si="1706">+IF(OR($F226="",AF226=""),"",$F226*AF226)</f>
        <v/>
      </c>
      <c r="AH226" s="95"/>
      <c r="AI226" s="59" t="str">
        <f t="shared" si="1305"/>
        <v/>
      </c>
      <c r="AJ226" s="60"/>
      <c r="AK226" s="59" t="str">
        <f t="shared" si="1305"/>
        <v/>
      </c>
      <c r="AL226" s="60"/>
      <c r="AM226" s="59" t="str">
        <f t="shared" ref="AM226" si="1707">+IF(OR($F226="",AL226=""),"",$F226*AL226)</f>
        <v/>
      </c>
      <c r="AN226" s="60"/>
      <c r="AO226" s="59" t="str">
        <f t="shared" ref="AO226" si="1708">+IF(OR($F226="",AN226=""),"",$F226*AN226)</f>
        <v/>
      </c>
      <c r="AP226" s="60"/>
      <c r="AQ226" s="59" t="str">
        <f t="shared" ref="AQ226" si="1709">+IF(OR($F226="",AP226=""),"",$F226*AP226)</f>
        <v/>
      </c>
      <c r="AR226" s="60"/>
      <c r="AS226" s="59" t="str">
        <f t="shared" ref="AS226" si="1710">+IF(OR($F226="",AR226=""),"",$F226*AR226)</f>
        <v/>
      </c>
      <c r="AT226" s="60"/>
      <c r="AU226" s="59" t="str">
        <f t="shared" ref="AU226" si="1711">+IF(OR($F226="",AT226=""),"",$F226*AT226)</f>
        <v/>
      </c>
      <c r="AV226" s="60"/>
      <c r="AW226" s="59" t="str">
        <f t="shared" ref="AW226" si="1712">+IF(OR($F226="",AV226=""),"",$F226*AV226)</f>
        <v/>
      </c>
      <c r="AX226" s="60"/>
      <c r="AY226" s="59" t="str">
        <f t="shared" ref="AY226" si="1713">+IF(OR($F226="",AX226=""),"",$F226*AX226)</f>
        <v/>
      </c>
      <c r="AZ226" s="60"/>
      <c r="BA226" s="59" t="str">
        <f t="shared" ref="BA226" si="1714">+IF(OR($F226="",AZ226=""),"",$F226*AZ226)</f>
        <v/>
      </c>
      <c r="BB226" s="60"/>
      <c r="BC226" s="59" t="str">
        <f t="shared" ref="BC226" si="1715">+IF(OR($F226="",BB226=""),"",$F226*BB226)</f>
        <v/>
      </c>
      <c r="BD226" s="61">
        <f t="shared" si="1315"/>
        <v>2</v>
      </c>
      <c r="BE226" s="59">
        <f t="shared" si="1316"/>
        <v>602.66</v>
      </c>
      <c r="BF226" s="61">
        <f t="shared" si="1317"/>
        <v>2</v>
      </c>
      <c r="BG226" s="59">
        <f t="shared" si="1318"/>
        <v>602.66</v>
      </c>
      <c r="BH226" s="196"/>
      <c r="BI226" s="1">
        <f t="shared" si="1319"/>
        <v>0</v>
      </c>
      <c r="BJ226" s="1">
        <f t="shared" si="1320"/>
        <v>0</v>
      </c>
      <c r="BK226" s="1">
        <f t="shared" si="1321"/>
        <v>0</v>
      </c>
      <c r="BL226" s="1">
        <f t="shared" si="1322"/>
        <v>0</v>
      </c>
      <c r="BM226" s="1">
        <f t="shared" si="1323"/>
        <v>0</v>
      </c>
      <c r="BN226" s="1">
        <f t="shared" si="1324"/>
        <v>0</v>
      </c>
      <c r="BO226" s="1">
        <f t="shared" si="1325"/>
        <v>0</v>
      </c>
      <c r="BP226" s="1">
        <f t="shared" si="1326"/>
        <v>0</v>
      </c>
      <c r="BQ226" s="1">
        <f t="shared" si="1327"/>
        <v>0</v>
      </c>
      <c r="BR226" s="1">
        <f t="shared" si="1328"/>
        <v>0</v>
      </c>
      <c r="BS226" s="1">
        <f t="shared" si="1329"/>
        <v>2</v>
      </c>
      <c r="BT226" s="1">
        <f t="shared" si="1330"/>
        <v>0</v>
      </c>
      <c r="BU226" s="1">
        <f t="shared" si="1331"/>
        <v>0</v>
      </c>
      <c r="BV226" s="1">
        <f t="shared" si="1332"/>
        <v>0</v>
      </c>
      <c r="BW226" s="1">
        <f t="shared" si="1333"/>
        <v>0</v>
      </c>
      <c r="BX226" s="1">
        <f t="shared" si="1334"/>
        <v>0</v>
      </c>
      <c r="BY226" s="1">
        <f t="shared" si="1335"/>
        <v>0</v>
      </c>
      <c r="BZ226" s="1">
        <f t="shared" si="1336"/>
        <v>0</v>
      </c>
      <c r="CA226" s="1">
        <f t="shared" si="1337"/>
        <v>0</v>
      </c>
      <c r="CB226" s="1">
        <f t="shared" si="1338"/>
        <v>0</v>
      </c>
      <c r="CC226" s="1">
        <f t="shared" si="1339"/>
        <v>0</v>
      </c>
      <c r="CD226" s="1">
        <f t="shared" si="1340"/>
        <v>0</v>
      </c>
      <c r="CE226" s="1">
        <f t="shared" si="1341"/>
        <v>0</v>
      </c>
      <c r="CF226" s="1">
        <f t="shared" si="1342"/>
        <v>0</v>
      </c>
    </row>
    <row r="227" spans="3:84" ht="31.5" customHeight="1" outlineLevel="1">
      <c r="C227" s="27" t="s">
        <v>927</v>
      </c>
      <c r="D227" s="55">
        <v>8</v>
      </c>
      <c r="E227" s="88" t="s">
        <v>828</v>
      </c>
      <c r="F227" s="56">
        <v>32.47</v>
      </c>
      <c r="G227" s="57">
        <f t="shared" si="1291"/>
        <v>259.76</v>
      </c>
      <c r="H227" s="28"/>
      <c r="I227" s="59" t="str">
        <f t="shared" si="1292"/>
        <v/>
      </c>
      <c r="J227" s="60"/>
      <c r="K227" s="59" t="str">
        <f t="shared" si="1293"/>
        <v/>
      </c>
      <c r="L227" s="60"/>
      <c r="M227" s="59" t="str">
        <f t="shared" si="1294"/>
        <v/>
      </c>
      <c r="N227" s="60"/>
      <c r="O227" s="59" t="str">
        <f t="shared" si="1295"/>
        <v/>
      </c>
      <c r="P227" s="60"/>
      <c r="Q227" s="59" t="str">
        <f t="shared" si="1296"/>
        <v/>
      </c>
      <c r="R227" s="60"/>
      <c r="S227" s="59" t="str">
        <f t="shared" si="1297"/>
        <v/>
      </c>
      <c r="T227" s="60"/>
      <c r="U227" s="59" t="str">
        <f t="shared" si="1298"/>
        <v/>
      </c>
      <c r="V227" s="60"/>
      <c r="W227" s="59" t="str">
        <f t="shared" si="1299"/>
        <v/>
      </c>
      <c r="X227" s="95"/>
      <c r="Y227" s="59" t="str">
        <f t="shared" si="1300"/>
        <v/>
      </c>
      <c r="Z227" s="95"/>
      <c r="AA227" s="59" t="str">
        <f t="shared" si="1301"/>
        <v/>
      </c>
      <c r="AB227" s="95">
        <f t="shared" si="1675"/>
        <v>4</v>
      </c>
      <c r="AC227" s="59">
        <f t="shared" si="1302"/>
        <v>129.88</v>
      </c>
      <c r="AD227" s="60"/>
      <c r="AE227" s="59" t="str">
        <f t="shared" si="1303"/>
        <v/>
      </c>
      <c r="AF227" s="95"/>
      <c r="AG227" s="59" t="str">
        <f t="shared" ref="AG227" si="1716">+IF(OR($F227="",AF227=""),"",$F227*AF227)</f>
        <v/>
      </c>
      <c r="AH227" s="95"/>
      <c r="AI227" s="59" t="str">
        <f t="shared" si="1305"/>
        <v/>
      </c>
      <c r="AJ227" s="60"/>
      <c r="AK227" s="59" t="str">
        <f t="shared" si="1305"/>
        <v/>
      </c>
      <c r="AL227" s="60"/>
      <c r="AM227" s="59" t="str">
        <f t="shared" ref="AM227" si="1717">+IF(OR($F227="",AL227=""),"",$F227*AL227)</f>
        <v/>
      </c>
      <c r="AN227" s="60"/>
      <c r="AO227" s="59" t="str">
        <f t="shared" ref="AO227" si="1718">+IF(OR($F227="",AN227=""),"",$F227*AN227)</f>
        <v/>
      </c>
      <c r="AP227" s="60"/>
      <c r="AQ227" s="59" t="str">
        <f t="shared" ref="AQ227" si="1719">+IF(OR($F227="",AP227=""),"",$F227*AP227)</f>
        <v/>
      </c>
      <c r="AR227" s="60"/>
      <c r="AS227" s="59" t="str">
        <f t="shared" ref="AS227" si="1720">+IF(OR($F227="",AR227=""),"",$F227*AR227)</f>
        <v/>
      </c>
      <c r="AT227" s="60"/>
      <c r="AU227" s="59" t="str">
        <f t="shared" ref="AU227" si="1721">+IF(OR($F227="",AT227=""),"",$F227*AT227)</f>
        <v/>
      </c>
      <c r="AV227" s="60"/>
      <c r="AW227" s="59" t="str">
        <f t="shared" ref="AW227" si="1722">+IF(OR($F227="",AV227=""),"",$F227*AV227)</f>
        <v/>
      </c>
      <c r="AX227" s="60"/>
      <c r="AY227" s="59" t="str">
        <f t="shared" ref="AY227" si="1723">+IF(OR($F227="",AX227=""),"",$F227*AX227)</f>
        <v/>
      </c>
      <c r="AZ227" s="60"/>
      <c r="BA227" s="59" t="str">
        <f t="shared" ref="BA227" si="1724">+IF(OR($F227="",AZ227=""),"",$F227*AZ227)</f>
        <v/>
      </c>
      <c r="BB227" s="60"/>
      <c r="BC227" s="59" t="str">
        <f t="shared" ref="BC227" si="1725">+IF(OR($F227="",BB227=""),"",$F227*BB227)</f>
        <v/>
      </c>
      <c r="BD227" s="61">
        <f t="shared" si="1315"/>
        <v>4</v>
      </c>
      <c r="BE227" s="59">
        <f t="shared" si="1316"/>
        <v>129.88</v>
      </c>
      <c r="BF227" s="61">
        <f t="shared" si="1317"/>
        <v>4</v>
      </c>
      <c r="BG227" s="59">
        <f t="shared" si="1318"/>
        <v>129.88</v>
      </c>
      <c r="BH227" s="196"/>
      <c r="BI227" s="1">
        <f t="shared" si="1319"/>
        <v>0</v>
      </c>
      <c r="BJ227" s="1">
        <f t="shared" si="1320"/>
        <v>0</v>
      </c>
      <c r="BK227" s="1">
        <f t="shared" si="1321"/>
        <v>0</v>
      </c>
      <c r="BL227" s="1">
        <f t="shared" si="1322"/>
        <v>0</v>
      </c>
      <c r="BM227" s="1">
        <f t="shared" si="1323"/>
        <v>0</v>
      </c>
      <c r="BN227" s="1">
        <f t="shared" si="1324"/>
        <v>0</v>
      </c>
      <c r="BO227" s="1">
        <f t="shared" si="1325"/>
        <v>0</v>
      </c>
      <c r="BP227" s="1">
        <f t="shared" si="1326"/>
        <v>0</v>
      </c>
      <c r="BQ227" s="1">
        <f t="shared" si="1327"/>
        <v>0</v>
      </c>
      <c r="BR227" s="1">
        <f t="shared" si="1328"/>
        <v>0</v>
      </c>
      <c r="BS227" s="1">
        <f t="shared" si="1329"/>
        <v>4</v>
      </c>
      <c r="BT227" s="1">
        <f t="shared" si="1330"/>
        <v>0</v>
      </c>
      <c r="BU227" s="1">
        <f t="shared" si="1331"/>
        <v>0</v>
      </c>
      <c r="BV227" s="1">
        <f t="shared" si="1332"/>
        <v>0</v>
      </c>
      <c r="BW227" s="1">
        <f t="shared" si="1333"/>
        <v>0</v>
      </c>
      <c r="BX227" s="1">
        <f t="shared" si="1334"/>
        <v>0</v>
      </c>
      <c r="BY227" s="1">
        <f t="shared" si="1335"/>
        <v>0</v>
      </c>
      <c r="BZ227" s="1">
        <f t="shared" si="1336"/>
        <v>0</v>
      </c>
      <c r="CA227" s="1">
        <f t="shared" si="1337"/>
        <v>0</v>
      </c>
      <c r="CB227" s="1">
        <f t="shared" si="1338"/>
        <v>0</v>
      </c>
      <c r="CC227" s="1">
        <f t="shared" si="1339"/>
        <v>0</v>
      </c>
      <c r="CD227" s="1">
        <f t="shared" si="1340"/>
        <v>0</v>
      </c>
      <c r="CE227" s="1">
        <f t="shared" si="1341"/>
        <v>0</v>
      </c>
      <c r="CF227" s="1">
        <f t="shared" si="1342"/>
        <v>0</v>
      </c>
    </row>
    <row r="228" spans="3:84" ht="31.5" customHeight="1" outlineLevel="1">
      <c r="C228" s="27" t="s">
        <v>928</v>
      </c>
      <c r="D228" s="55">
        <v>4</v>
      </c>
      <c r="E228" s="88" t="s">
        <v>828</v>
      </c>
      <c r="F228" s="56">
        <v>46</v>
      </c>
      <c r="G228" s="57">
        <f t="shared" si="1291"/>
        <v>184</v>
      </c>
      <c r="H228" s="28"/>
      <c r="I228" s="59" t="str">
        <f t="shared" si="1292"/>
        <v/>
      </c>
      <c r="J228" s="60"/>
      <c r="K228" s="59" t="str">
        <f t="shared" si="1293"/>
        <v/>
      </c>
      <c r="L228" s="60"/>
      <c r="M228" s="59" t="str">
        <f t="shared" si="1294"/>
        <v/>
      </c>
      <c r="N228" s="60"/>
      <c r="O228" s="59" t="str">
        <f t="shared" si="1295"/>
        <v/>
      </c>
      <c r="P228" s="60"/>
      <c r="Q228" s="59" t="str">
        <f t="shared" si="1296"/>
        <v/>
      </c>
      <c r="R228" s="60"/>
      <c r="S228" s="59" t="str">
        <f t="shared" si="1297"/>
        <v/>
      </c>
      <c r="T228" s="60"/>
      <c r="U228" s="59" t="str">
        <f t="shared" si="1298"/>
        <v/>
      </c>
      <c r="V228" s="60"/>
      <c r="W228" s="59" t="str">
        <f t="shared" si="1299"/>
        <v/>
      </c>
      <c r="X228" s="95"/>
      <c r="Y228" s="59" t="str">
        <f t="shared" si="1300"/>
        <v/>
      </c>
      <c r="Z228" s="95"/>
      <c r="AA228" s="59" t="str">
        <f t="shared" si="1301"/>
        <v/>
      </c>
      <c r="AB228" s="95">
        <f t="shared" si="1675"/>
        <v>2</v>
      </c>
      <c r="AC228" s="59">
        <f t="shared" si="1302"/>
        <v>92</v>
      </c>
      <c r="AD228" s="60"/>
      <c r="AE228" s="59" t="str">
        <f t="shared" si="1303"/>
        <v/>
      </c>
      <c r="AF228" s="95"/>
      <c r="AG228" s="59" t="str">
        <f t="shared" ref="AG228" si="1726">+IF(OR($F228="",AF228=""),"",$F228*AF228)</f>
        <v/>
      </c>
      <c r="AH228" s="95"/>
      <c r="AI228" s="59" t="str">
        <f t="shared" si="1305"/>
        <v/>
      </c>
      <c r="AJ228" s="60"/>
      <c r="AK228" s="59" t="str">
        <f t="shared" si="1305"/>
        <v/>
      </c>
      <c r="AL228" s="60"/>
      <c r="AM228" s="59" t="str">
        <f t="shared" ref="AM228" si="1727">+IF(OR($F228="",AL228=""),"",$F228*AL228)</f>
        <v/>
      </c>
      <c r="AN228" s="60"/>
      <c r="AO228" s="59" t="str">
        <f t="shared" ref="AO228" si="1728">+IF(OR($F228="",AN228=""),"",$F228*AN228)</f>
        <v/>
      </c>
      <c r="AP228" s="60"/>
      <c r="AQ228" s="59" t="str">
        <f t="shared" ref="AQ228" si="1729">+IF(OR($F228="",AP228=""),"",$F228*AP228)</f>
        <v/>
      </c>
      <c r="AR228" s="60"/>
      <c r="AS228" s="59" t="str">
        <f t="shared" ref="AS228" si="1730">+IF(OR($F228="",AR228=""),"",$F228*AR228)</f>
        <v/>
      </c>
      <c r="AT228" s="60"/>
      <c r="AU228" s="59" t="str">
        <f t="shared" ref="AU228" si="1731">+IF(OR($F228="",AT228=""),"",$F228*AT228)</f>
        <v/>
      </c>
      <c r="AV228" s="60"/>
      <c r="AW228" s="59" t="str">
        <f t="shared" ref="AW228" si="1732">+IF(OR($F228="",AV228=""),"",$F228*AV228)</f>
        <v/>
      </c>
      <c r="AX228" s="60"/>
      <c r="AY228" s="59" t="str">
        <f t="shared" ref="AY228" si="1733">+IF(OR($F228="",AX228=""),"",$F228*AX228)</f>
        <v/>
      </c>
      <c r="AZ228" s="60"/>
      <c r="BA228" s="59" t="str">
        <f t="shared" ref="BA228" si="1734">+IF(OR($F228="",AZ228=""),"",$F228*AZ228)</f>
        <v/>
      </c>
      <c r="BB228" s="60"/>
      <c r="BC228" s="59" t="str">
        <f t="shared" ref="BC228" si="1735">+IF(OR($F228="",BB228=""),"",$F228*BB228)</f>
        <v/>
      </c>
      <c r="BD228" s="61">
        <f t="shared" si="1315"/>
        <v>2</v>
      </c>
      <c r="BE228" s="59">
        <f t="shared" si="1316"/>
        <v>92</v>
      </c>
      <c r="BF228" s="61">
        <f t="shared" si="1317"/>
        <v>2</v>
      </c>
      <c r="BG228" s="59">
        <f t="shared" si="1318"/>
        <v>92</v>
      </c>
      <c r="BH228" s="196"/>
      <c r="BI228" s="1">
        <f t="shared" si="1319"/>
        <v>0</v>
      </c>
      <c r="BJ228" s="1">
        <f t="shared" si="1320"/>
        <v>0</v>
      </c>
      <c r="BK228" s="1">
        <f t="shared" si="1321"/>
        <v>0</v>
      </c>
      <c r="BL228" s="1">
        <f t="shared" si="1322"/>
        <v>0</v>
      </c>
      <c r="BM228" s="1">
        <f t="shared" si="1323"/>
        <v>0</v>
      </c>
      <c r="BN228" s="1">
        <f t="shared" si="1324"/>
        <v>0</v>
      </c>
      <c r="BO228" s="1">
        <f t="shared" si="1325"/>
        <v>0</v>
      </c>
      <c r="BP228" s="1">
        <f t="shared" si="1326"/>
        <v>0</v>
      </c>
      <c r="BQ228" s="1">
        <f t="shared" si="1327"/>
        <v>0</v>
      </c>
      <c r="BR228" s="1">
        <f t="shared" si="1328"/>
        <v>0</v>
      </c>
      <c r="BS228" s="1">
        <f t="shared" si="1329"/>
        <v>2</v>
      </c>
      <c r="BT228" s="1">
        <f t="shared" si="1330"/>
        <v>0</v>
      </c>
      <c r="BU228" s="1">
        <f t="shared" si="1331"/>
        <v>0</v>
      </c>
      <c r="BV228" s="1">
        <f t="shared" si="1332"/>
        <v>0</v>
      </c>
      <c r="BW228" s="1">
        <f t="shared" si="1333"/>
        <v>0</v>
      </c>
      <c r="BX228" s="1">
        <f t="shared" si="1334"/>
        <v>0</v>
      </c>
      <c r="BY228" s="1">
        <f t="shared" si="1335"/>
        <v>0</v>
      </c>
      <c r="BZ228" s="1">
        <f t="shared" si="1336"/>
        <v>0</v>
      </c>
      <c r="CA228" s="1">
        <f t="shared" si="1337"/>
        <v>0</v>
      </c>
      <c r="CB228" s="1">
        <f t="shared" si="1338"/>
        <v>0</v>
      </c>
      <c r="CC228" s="1">
        <f t="shared" si="1339"/>
        <v>0</v>
      </c>
      <c r="CD228" s="1">
        <f t="shared" si="1340"/>
        <v>0</v>
      </c>
      <c r="CE228" s="1">
        <f t="shared" si="1341"/>
        <v>0</v>
      </c>
      <c r="CF228" s="1">
        <f t="shared" si="1342"/>
        <v>0</v>
      </c>
    </row>
    <row r="229" spans="3:84" ht="31.5" customHeight="1" outlineLevel="1">
      <c r="C229" s="27" t="s">
        <v>929</v>
      </c>
      <c r="D229" s="55">
        <v>8</v>
      </c>
      <c r="E229" s="88" t="s">
        <v>828</v>
      </c>
      <c r="F229" s="56">
        <v>76.819999999999993</v>
      </c>
      <c r="G229" s="57">
        <f t="shared" si="1291"/>
        <v>614.55999999999995</v>
      </c>
      <c r="H229" s="28"/>
      <c r="I229" s="59" t="str">
        <f t="shared" si="1292"/>
        <v/>
      </c>
      <c r="J229" s="60"/>
      <c r="K229" s="59" t="str">
        <f t="shared" si="1293"/>
        <v/>
      </c>
      <c r="L229" s="60"/>
      <c r="M229" s="59" t="str">
        <f t="shared" si="1294"/>
        <v/>
      </c>
      <c r="N229" s="60"/>
      <c r="O229" s="59" t="str">
        <f t="shared" si="1295"/>
        <v/>
      </c>
      <c r="P229" s="60"/>
      <c r="Q229" s="59" t="str">
        <f t="shared" si="1296"/>
        <v/>
      </c>
      <c r="R229" s="60"/>
      <c r="S229" s="59" t="str">
        <f t="shared" si="1297"/>
        <v/>
      </c>
      <c r="T229" s="60"/>
      <c r="U229" s="59" t="str">
        <f t="shared" si="1298"/>
        <v/>
      </c>
      <c r="V229" s="60"/>
      <c r="W229" s="59" t="str">
        <f t="shared" si="1299"/>
        <v/>
      </c>
      <c r="X229" s="95"/>
      <c r="Y229" s="59" t="str">
        <f t="shared" si="1300"/>
        <v/>
      </c>
      <c r="Z229" s="95"/>
      <c r="AA229" s="59" t="str">
        <f t="shared" si="1301"/>
        <v/>
      </c>
      <c r="AB229" s="95">
        <f t="shared" si="1675"/>
        <v>4</v>
      </c>
      <c r="AC229" s="59">
        <f t="shared" si="1302"/>
        <v>307.27999999999997</v>
      </c>
      <c r="AD229" s="60"/>
      <c r="AE229" s="59" t="str">
        <f t="shared" si="1303"/>
        <v/>
      </c>
      <c r="AF229" s="95"/>
      <c r="AG229" s="59" t="str">
        <f t="shared" ref="AG229" si="1736">+IF(OR($F229="",AF229=""),"",$F229*AF229)</f>
        <v/>
      </c>
      <c r="AH229" s="95"/>
      <c r="AI229" s="59" t="str">
        <f t="shared" si="1305"/>
        <v/>
      </c>
      <c r="AJ229" s="60"/>
      <c r="AK229" s="59" t="str">
        <f t="shared" si="1305"/>
        <v/>
      </c>
      <c r="AL229" s="60"/>
      <c r="AM229" s="59" t="str">
        <f t="shared" ref="AM229" si="1737">+IF(OR($F229="",AL229=""),"",$F229*AL229)</f>
        <v/>
      </c>
      <c r="AN229" s="60"/>
      <c r="AO229" s="59" t="str">
        <f t="shared" ref="AO229" si="1738">+IF(OR($F229="",AN229=""),"",$F229*AN229)</f>
        <v/>
      </c>
      <c r="AP229" s="60"/>
      <c r="AQ229" s="59" t="str">
        <f t="shared" ref="AQ229" si="1739">+IF(OR($F229="",AP229=""),"",$F229*AP229)</f>
        <v/>
      </c>
      <c r="AR229" s="60"/>
      <c r="AS229" s="59" t="str">
        <f t="shared" ref="AS229" si="1740">+IF(OR($F229="",AR229=""),"",$F229*AR229)</f>
        <v/>
      </c>
      <c r="AT229" s="60"/>
      <c r="AU229" s="59" t="str">
        <f t="shared" ref="AU229" si="1741">+IF(OR($F229="",AT229=""),"",$F229*AT229)</f>
        <v/>
      </c>
      <c r="AV229" s="60"/>
      <c r="AW229" s="59" t="str">
        <f t="shared" ref="AW229" si="1742">+IF(OR($F229="",AV229=""),"",$F229*AV229)</f>
        <v/>
      </c>
      <c r="AX229" s="60"/>
      <c r="AY229" s="59" t="str">
        <f t="shared" ref="AY229" si="1743">+IF(OR($F229="",AX229=""),"",$F229*AX229)</f>
        <v/>
      </c>
      <c r="AZ229" s="60"/>
      <c r="BA229" s="59" t="str">
        <f t="shared" ref="BA229" si="1744">+IF(OR($F229="",AZ229=""),"",$F229*AZ229)</f>
        <v/>
      </c>
      <c r="BB229" s="60"/>
      <c r="BC229" s="59" t="str">
        <f t="shared" ref="BC229" si="1745">+IF(OR($F229="",BB229=""),"",$F229*BB229)</f>
        <v/>
      </c>
      <c r="BD229" s="61">
        <f t="shared" si="1315"/>
        <v>4</v>
      </c>
      <c r="BE229" s="59">
        <f t="shared" si="1316"/>
        <v>307.27999999999997</v>
      </c>
      <c r="BF229" s="61">
        <f t="shared" si="1317"/>
        <v>4</v>
      </c>
      <c r="BG229" s="59">
        <f t="shared" si="1318"/>
        <v>307.27999999999997</v>
      </c>
      <c r="BH229" s="196"/>
      <c r="BI229" s="1">
        <f t="shared" si="1319"/>
        <v>0</v>
      </c>
      <c r="BJ229" s="1">
        <f t="shared" si="1320"/>
        <v>0</v>
      </c>
      <c r="BK229" s="1">
        <f t="shared" si="1321"/>
        <v>0</v>
      </c>
      <c r="BL229" s="1">
        <f t="shared" si="1322"/>
        <v>0</v>
      </c>
      <c r="BM229" s="1">
        <f t="shared" si="1323"/>
        <v>0</v>
      </c>
      <c r="BN229" s="1">
        <f t="shared" si="1324"/>
        <v>0</v>
      </c>
      <c r="BO229" s="1">
        <f t="shared" si="1325"/>
        <v>0</v>
      </c>
      <c r="BP229" s="1">
        <f t="shared" si="1326"/>
        <v>0</v>
      </c>
      <c r="BQ229" s="1">
        <f t="shared" si="1327"/>
        <v>0</v>
      </c>
      <c r="BR229" s="1">
        <f t="shared" si="1328"/>
        <v>0</v>
      </c>
      <c r="BS229" s="1">
        <f t="shared" si="1329"/>
        <v>4</v>
      </c>
      <c r="BT229" s="1">
        <f t="shared" si="1330"/>
        <v>0</v>
      </c>
      <c r="BU229" s="1">
        <f t="shared" si="1331"/>
        <v>0</v>
      </c>
      <c r="BV229" s="1">
        <f t="shared" si="1332"/>
        <v>0</v>
      </c>
      <c r="BW229" s="1">
        <f t="shared" si="1333"/>
        <v>0</v>
      </c>
      <c r="BX229" s="1">
        <f t="shared" si="1334"/>
        <v>0</v>
      </c>
      <c r="BY229" s="1">
        <f t="shared" si="1335"/>
        <v>0</v>
      </c>
      <c r="BZ229" s="1">
        <f t="shared" si="1336"/>
        <v>0</v>
      </c>
      <c r="CA229" s="1">
        <f t="shared" si="1337"/>
        <v>0</v>
      </c>
      <c r="CB229" s="1">
        <f t="shared" si="1338"/>
        <v>0</v>
      </c>
      <c r="CC229" s="1">
        <f t="shared" si="1339"/>
        <v>0</v>
      </c>
      <c r="CD229" s="1">
        <f t="shared" si="1340"/>
        <v>0</v>
      </c>
      <c r="CE229" s="1">
        <f t="shared" si="1341"/>
        <v>0</v>
      </c>
      <c r="CF229" s="1">
        <f t="shared" si="1342"/>
        <v>0</v>
      </c>
    </row>
    <row r="230" spans="3:84" ht="31.5" customHeight="1" outlineLevel="1">
      <c r="C230" s="27" t="s">
        <v>930</v>
      </c>
      <c r="D230" s="55">
        <v>8</v>
      </c>
      <c r="E230" s="88" t="s">
        <v>828</v>
      </c>
      <c r="F230" s="56">
        <v>80.78</v>
      </c>
      <c r="G230" s="57">
        <f t="shared" si="1291"/>
        <v>646.24</v>
      </c>
      <c r="H230" s="28"/>
      <c r="I230" s="59" t="str">
        <f t="shared" si="1292"/>
        <v/>
      </c>
      <c r="J230" s="60"/>
      <c r="K230" s="59" t="str">
        <f t="shared" si="1293"/>
        <v/>
      </c>
      <c r="L230" s="60"/>
      <c r="M230" s="59" t="str">
        <f t="shared" si="1294"/>
        <v/>
      </c>
      <c r="N230" s="60"/>
      <c r="O230" s="59" t="str">
        <f t="shared" si="1295"/>
        <v/>
      </c>
      <c r="P230" s="60"/>
      <c r="Q230" s="59" t="str">
        <f t="shared" si="1296"/>
        <v/>
      </c>
      <c r="R230" s="60"/>
      <c r="S230" s="59" t="str">
        <f t="shared" si="1297"/>
        <v/>
      </c>
      <c r="T230" s="60"/>
      <c r="U230" s="59" t="str">
        <f t="shared" si="1298"/>
        <v/>
      </c>
      <c r="V230" s="60"/>
      <c r="W230" s="59" t="str">
        <f t="shared" si="1299"/>
        <v/>
      </c>
      <c r="X230" s="95"/>
      <c r="Y230" s="59" t="str">
        <f t="shared" si="1300"/>
        <v/>
      </c>
      <c r="Z230" s="95"/>
      <c r="AA230" s="59" t="str">
        <f t="shared" si="1301"/>
        <v/>
      </c>
      <c r="AB230" s="95">
        <f t="shared" si="1675"/>
        <v>4</v>
      </c>
      <c r="AC230" s="59">
        <f t="shared" si="1302"/>
        <v>323.12</v>
      </c>
      <c r="AD230" s="60"/>
      <c r="AE230" s="59" t="str">
        <f t="shared" si="1303"/>
        <v/>
      </c>
      <c r="AF230" s="95"/>
      <c r="AG230" s="59" t="str">
        <f t="shared" ref="AG230" si="1746">+IF(OR($F230="",AF230=""),"",$F230*AF230)</f>
        <v/>
      </c>
      <c r="AH230" s="95"/>
      <c r="AI230" s="59" t="str">
        <f t="shared" si="1305"/>
        <v/>
      </c>
      <c r="AJ230" s="60"/>
      <c r="AK230" s="59" t="str">
        <f t="shared" si="1305"/>
        <v/>
      </c>
      <c r="AL230" s="60"/>
      <c r="AM230" s="59" t="str">
        <f t="shared" ref="AM230" si="1747">+IF(OR($F230="",AL230=""),"",$F230*AL230)</f>
        <v/>
      </c>
      <c r="AN230" s="60"/>
      <c r="AO230" s="59" t="str">
        <f t="shared" ref="AO230" si="1748">+IF(OR($F230="",AN230=""),"",$F230*AN230)</f>
        <v/>
      </c>
      <c r="AP230" s="60"/>
      <c r="AQ230" s="59" t="str">
        <f t="shared" ref="AQ230" si="1749">+IF(OR($F230="",AP230=""),"",$F230*AP230)</f>
        <v/>
      </c>
      <c r="AR230" s="60"/>
      <c r="AS230" s="59" t="str">
        <f t="shared" ref="AS230" si="1750">+IF(OR($F230="",AR230=""),"",$F230*AR230)</f>
        <v/>
      </c>
      <c r="AT230" s="60"/>
      <c r="AU230" s="59" t="str">
        <f t="shared" ref="AU230" si="1751">+IF(OR($F230="",AT230=""),"",$F230*AT230)</f>
        <v/>
      </c>
      <c r="AV230" s="60"/>
      <c r="AW230" s="59" t="str">
        <f t="shared" ref="AW230" si="1752">+IF(OR($F230="",AV230=""),"",$F230*AV230)</f>
        <v/>
      </c>
      <c r="AX230" s="60"/>
      <c r="AY230" s="59" t="str">
        <f t="shared" ref="AY230" si="1753">+IF(OR($F230="",AX230=""),"",$F230*AX230)</f>
        <v/>
      </c>
      <c r="AZ230" s="60"/>
      <c r="BA230" s="59" t="str">
        <f t="shared" ref="BA230" si="1754">+IF(OR($F230="",AZ230=""),"",$F230*AZ230)</f>
        <v/>
      </c>
      <c r="BB230" s="60"/>
      <c r="BC230" s="59" t="str">
        <f t="shared" ref="BC230" si="1755">+IF(OR($F230="",BB230=""),"",$F230*BB230)</f>
        <v/>
      </c>
      <c r="BD230" s="61">
        <f t="shared" si="1315"/>
        <v>4</v>
      </c>
      <c r="BE230" s="59">
        <f t="shared" si="1316"/>
        <v>323.12</v>
      </c>
      <c r="BF230" s="61">
        <f t="shared" si="1317"/>
        <v>4</v>
      </c>
      <c r="BG230" s="59">
        <f t="shared" si="1318"/>
        <v>323.12</v>
      </c>
      <c r="BH230" s="196"/>
      <c r="BI230" s="1">
        <f t="shared" si="1319"/>
        <v>0</v>
      </c>
      <c r="BJ230" s="1">
        <f t="shared" si="1320"/>
        <v>0</v>
      </c>
      <c r="BK230" s="1">
        <f t="shared" si="1321"/>
        <v>0</v>
      </c>
      <c r="BL230" s="1">
        <f t="shared" si="1322"/>
        <v>0</v>
      </c>
      <c r="BM230" s="1">
        <f t="shared" si="1323"/>
        <v>0</v>
      </c>
      <c r="BN230" s="1">
        <f t="shared" si="1324"/>
        <v>0</v>
      </c>
      <c r="BO230" s="1">
        <f t="shared" si="1325"/>
        <v>0</v>
      </c>
      <c r="BP230" s="1">
        <f t="shared" si="1326"/>
        <v>0</v>
      </c>
      <c r="BQ230" s="1">
        <f t="shared" si="1327"/>
        <v>0</v>
      </c>
      <c r="BR230" s="1">
        <f t="shared" si="1328"/>
        <v>0</v>
      </c>
      <c r="BS230" s="1">
        <f t="shared" si="1329"/>
        <v>4</v>
      </c>
      <c r="BT230" s="1">
        <f t="shared" si="1330"/>
        <v>0</v>
      </c>
      <c r="BU230" s="1">
        <f t="shared" si="1331"/>
        <v>0</v>
      </c>
      <c r="BV230" s="1">
        <f t="shared" si="1332"/>
        <v>0</v>
      </c>
      <c r="BW230" s="1">
        <f t="shared" si="1333"/>
        <v>0</v>
      </c>
      <c r="BX230" s="1">
        <f t="shared" si="1334"/>
        <v>0</v>
      </c>
      <c r="BY230" s="1">
        <f t="shared" si="1335"/>
        <v>0</v>
      </c>
      <c r="BZ230" s="1">
        <f t="shared" si="1336"/>
        <v>0</v>
      </c>
      <c r="CA230" s="1">
        <f t="shared" si="1337"/>
        <v>0</v>
      </c>
      <c r="CB230" s="1">
        <f t="shared" si="1338"/>
        <v>0</v>
      </c>
      <c r="CC230" s="1">
        <f t="shared" si="1339"/>
        <v>0</v>
      </c>
      <c r="CD230" s="1">
        <f t="shared" si="1340"/>
        <v>0</v>
      </c>
      <c r="CE230" s="1">
        <f t="shared" si="1341"/>
        <v>0</v>
      </c>
      <c r="CF230" s="1">
        <f t="shared" si="1342"/>
        <v>0</v>
      </c>
    </row>
    <row r="231" spans="3:84" ht="67.5" outlineLevel="1">
      <c r="C231" s="27" t="s">
        <v>967</v>
      </c>
      <c r="D231" s="55">
        <v>4</v>
      </c>
      <c r="E231" s="88" t="s">
        <v>828</v>
      </c>
      <c r="F231" s="56">
        <v>740.74</v>
      </c>
      <c r="G231" s="57">
        <f t="shared" si="1291"/>
        <v>2962.96</v>
      </c>
      <c r="H231" s="28"/>
      <c r="I231" s="59" t="str">
        <f t="shared" si="1292"/>
        <v/>
      </c>
      <c r="J231" s="60"/>
      <c r="K231" s="59" t="str">
        <f t="shared" si="1293"/>
        <v/>
      </c>
      <c r="L231" s="60"/>
      <c r="M231" s="59" t="str">
        <f t="shared" si="1294"/>
        <v/>
      </c>
      <c r="N231" s="60"/>
      <c r="O231" s="59" t="str">
        <f t="shared" si="1295"/>
        <v/>
      </c>
      <c r="P231" s="60"/>
      <c r="Q231" s="59" t="str">
        <f t="shared" si="1296"/>
        <v/>
      </c>
      <c r="R231" s="60"/>
      <c r="S231" s="59" t="str">
        <f t="shared" si="1297"/>
        <v/>
      </c>
      <c r="T231" s="60"/>
      <c r="U231" s="59" t="str">
        <f t="shared" si="1298"/>
        <v/>
      </c>
      <c r="V231" s="60"/>
      <c r="W231" s="59" t="str">
        <f t="shared" si="1299"/>
        <v/>
      </c>
      <c r="X231" s="95"/>
      <c r="Y231" s="59" t="str">
        <f t="shared" si="1300"/>
        <v/>
      </c>
      <c r="Z231" s="95"/>
      <c r="AA231" s="59" t="str">
        <f t="shared" si="1301"/>
        <v/>
      </c>
      <c r="AB231" s="95">
        <f t="shared" si="1675"/>
        <v>2</v>
      </c>
      <c r="AC231" s="59">
        <f t="shared" si="1302"/>
        <v>1481.48</v>
      </c>
      <c r="AD231" s="60"/>
      <c r="AE231" s="59" t="str">
        <f t="shared" si="1303"/>
        <v/>
      </c>
      <c r="AF231" s="95"/>
      <c r="AG231" s="59" t="str">
        <f t="shared" ref="AG231" si="1756">+IF(OR($F231="",AF231=""),"",$F231*AF231)</f>
        <v/>
      </c>
      <c r="AH231" s="95"/>
      <c r="AI231" s="59" t="str">
        <f t="shared" si="1305"/>
        <v/>
      </c>
      <c r="AJ231" s="60"/>
      <c r="AK231" s="59" t="str">
        <f t="shared" si="1305"/>
        <v/>
      </c>
      <c r="AL231" s="60"/>
      <c r="AM231" s="59" t="str">
        <f t="shared" ref="AM231" si="1757">+IF(OR($F231="",AL231=""),"",$F231*AL231)</f>
        <v/>
      </c>
      <c r="AN231" s="60"/>
      <c r="AO231" s="59" t="str">
        <f t="shared" ref="AO231" si="1758">+IF(OR($F231="",AN231=""),"",$F231*AN231)</f>
        <v/>
      </c>
      <c r="AP231" s="60"/>
      <c r="AQ231" s="59" t="str">
        <f t="shared" ref="AQ231" si="1759">+IF(OR($F231="",AP231=""),"",$F231*AP231)</f>
        <v/>
      </c>
      <c r="AR231" s="60"/>
      <c r="AS231" s="59" t="str">
        <f t="shared" ref="AS231" si="1760">+IF(OR($F231="",AR231=""),"",$F231*AR231)</f>
        <v/>
      </c>
      <c r="AT231" s="60"/>
      <c r="AU231" s="59" t="str">
        <f t="shared" ref="AU231" si="1761">+IF(OR($F231="",AT231=""),"",$F231*AT231)</f>
        <v/>
      </c>
      <c r="AV231" s="60"/>
      <c r="AW231" s="59" t="str">
        <f t="shared" ref="AW231" si="1762">+IF(OR($F231="",AV231=""),"",$F231*AV231)</f>
        <v/>
      </c>
      <c r="AX231" s="60"/>
      <c r="AY231" s="59" t="str">
        <f t="shared" ref="AY231" si="1763">+IF(OR($F231="",AX231=""),"",$F231*AX231)</f>
        <v/>
      </c>
      <c r="AZ231" s="60"/>
      <c r="BA231" s="59" t="str">
        <f t="shared" ref="BA231" si="1764">+IF(OR($F231="",AZ231=""),"",$F231*AZ231)</f>
        <v/>
      </c>
      <c r="BB231" s="60"/>
      <c r="BC231" s="59" t="str">
        <f t="shared" ref="BC231" si="1765">+IF(OR($F231="",BB231=""),"",$F231*BB231)</f>
        <v/>
      </c>
      <c r="BD231" s="61">
        <f t="shared" si="1315"/>
        <v>2</v>
      </c>
      <c r="BE231" s="59">
        <f t="shared" si="1316"/>
        <v>1481.48</v>
      </c>
      <c r="BF231" s="61">
        <f t="shared" si="1317"/>
        <v>2</v>
      </c>
      <c r="BG231" s="59">
        <f t="shared" si="1318"/>
        <v>1481.48</v>
      </c>
      <c r="BH231" s="196"/>
      <c r="BI231" s="1">
        <f t="shared" si="1319"/>
        <v>0</v>
      </c>
      <c r="BJ231" s="1">
        <f t="shared" si="1320"/>
        <v>0</v>
      </c>
      <c r="BK231" s="1">
        <f t="shared" si="1321"/>
        <v>0</v>
      </c>
      <c r="BL231" s="1">
        <f t="shared" si="1322"/>
        <v>0</v>
      </c>
      <c r="BM231" s="1">
        <f t="shared" si="1323"/>
        <v>0</v>
      </c>
      <c r="BN231" s="1">
        <f t="shared" si="1324"/>
        <v>0</v>
      </c>
      <c r="BO231" s="1">
        <f t="shared" si="1325"/>
        <v>0</v>
      </c>
      <c r="BP231" s="1">
        <f t="shared" si="1326"/>
        <v>0</v>
      </c>
      <c r="BQ231" s="1">
        <f t="shared" si="1327"/>
        <v>0</v>
      </c>
      <c r="BR231" s="1">
        <f t="shared" si="1328"/>
        <v>0</v>
      </c>
      <c r="BS231" s="1">
        <f t="shared" si="1329"/>
        <v>2</v>
      </c>
      <c r="BT231" s="1">
        <f t="shared" si="1330"/>
        <v>0</v>
      </c>
      <c r="BU231" s="1">
        <f t="shared" si="1331"/>
        <v>0</v>
      </c>
      <c r="BV231" s="1">
        <f t="shared" si="1332"/>
        <v>0</v>
      </c>
      <c r="BW231" s="1">
        <f t="shared" si="1333"/>
        <v>0</v>
      </c>
      <c r="BX231" s="1">
        <f t="shared" si="1334"/>
        <v>0</v>
      </c>
      <c r="BY231" s="1">
        <f t="shared" si="1335"/>
        <v>0</v>
      </c>
      <c r="BZ231" s="1">
        <f t="shared" si="1336"/>
        <v>0</v>
      </c>
      <c r="CA231" s="1">
        <f t="shared" si="1337"/>
        <v>0</v>
      </c>
      <c r="CB231" s="1">
        <f t="shared" si="1338"/>
        <v>0</v>
      </c>
      <c r="CC231" s="1">
        <f t="shared" si="1339"/>
        <v>0</v>
      </c>
      <c r="CD231" s="1">
        <f t="shared" si="1340"/>
        <v>0</v>
      </c>
      <c r="CE231" s="1">
        <f t="shared" si="1341"/>
        <v>0</v>
      </c>
      <c r="CF231" s="1">
        <f t="shared" si="1342"/>
        <v>0</v>
      </c>
    </row>
    <row r="232" spans="3:84" ht="31.5" customHeight="1" outlineLevel="1">
      <c r="C232" s="27" t="s">
        <v>931</v>
      </c>
      <c r="D232" s="55">
        <v>4</v>
      </c>
      <c r="E232" s="88" t="s">
        <v>828</v>
      </c>
      <c r="F232" s="56">
        <v>145.81</v>
      </c>
      <c r="G232" s="57">
        <f t="shared" si="1291"/>
        <v>583.24</v>
      </c>
      <c r="H232" s="28"/>
      <c r="I232" s="59" t="str">
        <f t="shared" si="1292"/>
        <v/>
      </c>
      <c r="J232" s="60"/>
      <c r="K232" s="59" t="str">
        <f t="shared" si="1293"/>
        <v/>
      </c>
      <c r="L232" s="60"/>
      <c r="M232" s="59" t="str">
        <f t="shared" si="1294"/>
        <v/>
      </c>
      <c r="N232" s="60"/>
      <c r="O232" s="59" t="str">
        <f t="shared" si="1295"/>
        <v/>
      </c>
      <c r="P232" s="60"/>
      <c r="Q232" s="59" t="str">
        <f t="shared" si="1296"/>
        <v/>
      </c>
      <c r="R232" s="60"/>
      <c r="S232" s="59" t="str">
        <f t="shared" si="1297"/>
        <v/>
      </c>
      <c r="T232" s="60"/>
      <c r="U232" s="59" t="str">
        <f t="shared" si="1298"/>
        <v/>
      </c>
      <c r="V232" s="60"/>
      <c r="W232" s="59" t="str">
        <f t="shared" si="1299"/>
        <v/>
      </c>
      <c r="X232" s="95"/>
      <c r="Y232" s="59" t="str">
        <f t="shared" si="1300"/>
        <v/>
      </c>
      <c r="Z232" s="95"/>
      <c r="AA232" s="59" t="str">
        <f t="shared" si="1301"/>
        <v/>
      </c>
      <c r="AB232" s="95">
        <f t="shared" si="1675"/>
        <v>2</v>
      </c>
      <c r="AC232" s="59">
        <f t="shared" si="1302"/>
        <v>291.62</v>
      </c>
      <c r="AD232" s="60"/>
      <c r="AE232" s="59" t="str">
        <f t="shared" si="1303"/>
        <v/>
      </c>
      <c r="AF232" s="95"/>
      <c r="AG232" s="59" t="str">
        <f t="shared" ref="AG232" si="1766">+IF(OR($F232="",AF232=""),"",$F232*AF232)</f>
        <v/>
      </c>
      <c r="AH232" s="95"/>
      <c r="AI232" s="59" t="str">
        <f t="shared" si="1305"/>
        <v/>
      </c>
      <c r="AJ232" s="60"/>
      <c r="AK232" s="59" t="str">
        <f t="shared" si="1305"/>
        <v/>
      </c>
      <c r="AL232" s="60"/>
      <c r="AM232" s="59" t="str">
        <f t="shared" ref="AM232" si="1767">+IF(OR($F232="",AL232=""),"",$F232*AL232)</f>
        <v/>
      </c>
      <c r="AN232" s="60"/>
      <c r="AO232" s="59" t="str">
        <f t="shared" ref="AO232" si="1768">+IF(OR($F232="",AN232=""),"",$F232*AN232)</f>
        <v/>
      </c>
      <c r="AP232" s="60"/>
      <c r="AQ232" s="59" t="str">
        <f t="shared" ref="AQ232" si="1769">+IF(OR($F232="",AP232=""),"",$F232*AP232)</f>
        <v/>
      </c>
      <c r="AR232" s="60"/>
      <c r="AS232" s="59" t="str">
        <f t="shared" ref="AS232" si="1770">+IF(OR($F232="",AR232=""),"",$F232*AR232)</f>
        <v/>
      </c>
      <c r="AT232" s="60"/>
      <c r="AU232" s="59" t="str">
        <f t="shared" ref="AU232" si="1771">+IF(OR($F232="",AT232=""),"",$F232*AT232)</f>
        <v/>
      </c>
      <c r="AV232" s="60"/>
      <c r="AW232" s="59" t="str">
        <f t="shared" ref="AW232" si="1772">+IF(OR($F232="",AV232=""),"",$F232*AV232)</f>
        <v/>
      </c>
      <c r="AX232" s="60"/>
      <c r="AY232" s="59" t="str">
        <f t="shared" ref="AY232" si="1773">+IF(OR($F232="",AX232=""),"",$F232*AX232)</f>
        <v/>
      </c>
      <c r="AZ232" s="60"/>
      <c r="BA232" s="59" t="str">
        <f t="shared" ref="BA232" si="1774">+IF(OR($F232="",AZ232=""),"",$F232*AZ232)</f>
        <v/>
      </c>
      <c r="BB232" s="60"/>
      <c r="BC232" s="59" t="str">
        <f t="shared" ref="BC232" si="1775">+IF(OR($F232="",BB232=""),"",$F232*BB232)</f>
        <v/>
      </c>
      <c r="BD232" s="61">
        <f t="shared" si="1315"/>
        <v>2</v>
      </c>
      <c r="BE232" s="59">
        <f t="shared" si="1316"/>
        <v>291.62</v>
      </c>
      <c r="BF232" s="61">
        <f t="shared" si="1317"/>
        <v>2</v>
      </c>
      <c r="BG232" s="59">
        <f t="shared" si="1318"/>
        <v>291.62</v>
      </c>
      <c r="BH232" s="196"/>
      <c r="BI232" s="1">
        <f t="shared" si="1319"/>
        <v>0</v>
      </c>
      <c r="BJ232" s="1">
        <f t="shared" si="1320"/>
        <v>0</v>
      </c>
      <c r="BK232" s="1">
        <f t="shared" si="1321"/>
        <v>0</v>
      </c>
      <c r="BL232" s="1">
        <f t="shared" si="1322"/>
        <v>0</v>
      </c>
      <c r="BM232" s="1">
        <f t="shared" si="1323"/>
        <v>0</v>
      </c>
      <c r="BN232" s="1">
        <f t="shared" si="1324"/>
        <v>0</v>
      </c>
      <c r="BO232" s="1">
        <f t="shared" si="1325"/>
        <v>0</v>
      </c>
      <c r="BP232" s="1">
        <f t="shared" si="1326"/>
        <v>0</v>
      </c>
      <c r="BQ232" s="1">
        <f t="shared" si="1327"/>
        <v>0</v>
      </c>
      <c r="BR232" s="1">
        <f t="shared" si="1328"/>
        <v>0</v>
      </c>
      <c r="BS232" s="1">
        <f t="shared" si="1329"/>
        <v>2</v>
      </c>
      <c r="BT232" s="1">
        <f t="shared" si="1330"/>
        <v>0</v>
      </c>
      <c r="BU232" s="1">
        <f t="shared" si="1331"/>
        <v>0</v>
      </c>
      <c r="BV232" s="1">
        <f t="shared" si="1332"/>
        <v>0</v>
      </c>
      <c r="BW232" s="1">
        <f t="shared" si="1333"/>
        <v>0</v>
      </c>
      <c r="BX232" s="1">
        <f t="shared" si="1334"/>
        <v>0</v>
      </c>
      <c r="BY232" s="1">
        <f t="shared" si="1335"/>
        <v>0</v>
      </c>
      <c r="BZ232" s="1">
        <f t="shared" si="1336"/>
        <v>0</v>
      </c>
      <c r="CA232" s="1">
        <f t="shared" si="1337"/>
        <v>0</v>
      </c>
      <c r="CB232" s="1">
        <f t="shared" si="1338"/>
        <v>0</v>
      </c>
      <c r="CC232" s="1">
        <f t="shared" si="1339"/>
        <v>0</v>
      </c>
      <c r="CD232" s="1">
        <f t="shared" si="1340"/>
        <v>0</v>
      </c>
      <c r="CE232" s="1">
        <f t="shared" si="1341"/>
        <v>0</v>
      </c>
      <c r="CF232" s="1">
        <f t="shared" si="1342"/>
        <v>0</v>
      </c>
    </row>
    <row r="233" spans="3:84" ht="22.5" outlineLevel="1">
      <c r="C233" s="27" t="s">
        <v>965</v>
      </c>
      <c r="D233" s="55">
        <v>19.579999999999998</v>
      </c>
      <c r="E233" s="88" t="s">
        <v>874</v>
      </c>
      <c r="F233" s="56">
        <v>99</v>
      </c>
      <c r="G233" s="57">
        <f t="shared" si="1291"/>
        <v>1938.4199999999998</v>
      </c>
      <c r="H233" s="28"/>
      <c r="I233" s="59" t="str">
        <f t="shared" si="1292"/>
        <v/>
      </c>
      <c r="J233" s="60"/>
      <c r="K233" s="59" t="str">
        <f t="shared" si="1293"/>
        <v/>
      </c>
      <c r="L233" s="60"/>
      <c r="M233" s="59" t="str">
        <f t="shared" si="1294"/>
        <v/>
      </c>
      <c r="N233" s="60"/>
      <c r="O233" s="59" t="str">
        <f t="shared" si="1295"/>
        <v/>
      </c>
      <c r="P233" s="60"/>
      <c r="Q233" s="59" t="str">
        <f t="shared" si="1296"/>
        <v/>
      </c>
      <c r="R233" s="60"/>
      <c r="S233" s="59" t="str">
        <f t="shared" si="1297"/>
        <v/>
      </c>
      <c r="T233" s="60"/>
      <c r="U233" s="59" t="str">
        <f t="shared" si="1298"/>
        <v/>
      </c>
      <c r="V233" s="60"/>
      <c r="W233" s="59" t="str">
        <f t="shared" si="1299"/>
        <v/>
      </c>
      <c r="X233" s="95"/>
      <c r="Y233" s="59" t="str">
        <f t="shared" si="1300"/>
        <v/>
      </c>
      <c r="Z233" s="95"/>
      <c r="AA233" s="59" t="str">
        <f t="shared" si="1301"/>
        <v/>
      </c>
      <c r="AB233" s="95">
        <f t="shared" si="1675"/>
        <v>9.7899999999999991</v>
      </c>
      <c r="AC233" s="59">
        <f t="shared" si="1302"/>
        <v>969.20999999999992</v>
      </c>
      <c r="AD233" s="60"/>
      <c r="AE233" s="59" t="str">
        <f t="shared" si="1303"/>
        <v/>
      </c>
      <c r="AF233" s="95"/>
      <c r="AG233" s="59" t="str">
        <f t="shared" ref="AG233" si="1776">+IF(OR($F233="",AF233=""),"",$F233*AF233)</f>
        <v/>
      </c>
      <c r="AH233" s="95"/>
      <c r="AI233" s="59" t="str">
        <f t="shared" si="1305"/>
        <v/>
      </c>
      <c r="AJ233" s="60"/>
      <c r="AK233" s="59" t="str">
        <f t="shared" si="1305"/>
        <v/>
      </c>
      <c r="AL233" s="60"/>
      <c r="AM233" s="59" t="str">
        <f t="shared" ref="AM233" si="1777">+IF(OR($F233="",AL233=""),"",$F233*AL233)</f>
        <v/>
      </c>
      <c r="AN233" s="60"/>
      <c r="AO233" s="59" t="str">
        <f t="shared" ref="AO233" si="1778">+IF(OR($F233="",AN233=""),"",$F233*AN233)</f>
        <v/>
      </c>
      <c r="AP233" s="60"/>
      <c r="AQ233" s="59" t="str">
        <f t="shared" ref="AQ233" si="1779">+IF(OR($F233="",AP233=""),"",$F233*AP233)</f>
        <v/>
      </c>
      <c r="AR233" s="60"/>
      <c r="AS233" s="59" t="str">
        <f t="shared" ref="AS233" si="1780">+IF(OR($F233="",AR233=""),"",$F233*AR233)</f>
        <v/>
      </c>
      <c r="AT233" s="60"/>
      <c r="AU233" s="59" t="str">
        <f t="shared" ref="AU233" si="1781">+IF(OR($F233="",AT233=""),"",$F233*AT233)</f>
        <v/>
      </c>
      <c r="AV233" s="60"/>
      <c r="AW233" s="59" t="str">
        <f t="shared" ref="AW233" si="1782">+IF(OR($F233="",AV233=""),"",$F233*AV233)</f>
        <v/>
      </c>
      <c r="AX233" s="60"/>
      <c r="AY233" s="59" t="str">
        <f t="shared" ref="AY233" si="1783">+IF(OR($F233="",AX233=""),"",$F233*AX233)</f>
        <v/>
      </c>
      <c r="AZ233" s="60"/>
      <c r="BA233" s="59" t="str">
        <f t="shared" ref="BA233" si="1784">+IF(OR($F233="",AZ233=""),"",$F233*AZ233)</f>
        <v/>
      </c>
      <c r="BB233" s="60"/>
      <c r="BC233" s="59" t="str">
        <f t="shared" ref="BC233" si="1785">+IF(OR($F233="",BB233=""),"",$F233*BB233)</f>
        <v/>
      </c>
      <c r="BD233" s="61">
        <f t="shared" si="1315"/>
        <v>9.7899999999999991</v>
      </c>
      <c r="BE233" s="59">
        <f t="shared" si="1316"/>
        <v>969.20999999999992</v>
      </c>
      <c r="BF233" s="61">
        <f t="shared" si="1317"/>
        <v>9.7899999999999991</v>
      </c>
      <c r="BG233" s="59">
        <f t="shared" si="1318"/>
        <v>969.20999999999992</v>
      </c>
      <c r="BH233" s="196"/>
      <c r="BI233" s="1">
        <f t="shared" si="1319"/>
        <v>0</v>
      </c>
      <c r="BJ233" s="1">
        <f t="shared" si="1320"/>
        <v>0</v>
      </c>
      <c r="BK233" s="1">
        <f t="shared" si="1321"/>
        <v>0</v>
      </c>
      <c r="BL233" s="1">
        <f t="shared" si="1322"/>
        <v>0</v>
      </c>
      <c r="BM233" s="1">
        <f t="shared" si="1323"/>
        <v>0</v>
      </c>
      <c r="BN233" s="1">
        <f t="shared" si="1324"/>
        <v>0</v>
      </c>
      <c r="BO233" s="1">
        <f t="shared" si="1325"/>
        <v>0</v>
      </c>
      <c r="BP233" s="1">
        <f t="shared" si="1326"/>
        <v>0</v>
      </c>
      <c r="BQ233" s="1">
        <f t="shared" si="1327"/>
        <v>0</v>
      </c>
      <c r="BR233" s="1">
        <f t="shared" si="1328"/>
        <v>0</v>
      </c>
      <c r="BS233" s="1">
        <f t="shared" si="1329"/>
        <v>9.7899999999999991</v>
      </c>
      <c r="BT233" s="1">
        <f t="shared" si="1330"/>
        <v>0</v>
      </c>
      <c r="BU233" s="1">
        <f t="shared" si="1331"/>
        <v>0</v>
      </c>
      <c r="BV233" s="1">
        <f t="shared" si="1332"/>
        <v>0</v>
      </c>
      <c r="BW233" s="1">
        <f t="shared" si="1333"/>
        <v>0</v>
      </c>
      <c r="BX233" s="1">
        <f t="shared" si="1334"/>
        <v>0</v>
      </c>
      <c r="BY233" s="1">
        <f t="shared" si="1335"/>
        <v>0</v>
      </c>
      <c r="BZ233" s="1">
        <f t="shared" si="1336"/>
        <v>0</v>
      </c>
      <c r="CA233" s="1">
        <f t="shared" si="1337"/>
        <v>0</v>
      </c>
      <c r="CB233" s="1">
        <f t="shared" si="1338"/>
        <v>0</v>
      </c>
      <c r="CC233" s="1">
        <f t="shared" si="1339"/>
        <v>0</v>
      </c>
      <c r="CD233" s="1">
        <f t="shared" si="1340"/>
        <v>0</v>
      </c>
      <c r="CE233" s="1">
        <f t="shared" si="1341"/>
        <v>0</v>
      </c>
      <c r="CF233" s="1">
        <f t="shared" si="1342"/>
        <v>0</v>
      </c>
    </row>
    <row r="234" spans="3:84" ht="22.5" outlineLevel="1">
      <c r="C234" s="27" t="s">
        <v>966</v>
      </c>
      <c r="D234" s="55">
        <v>62.08</v>
      </c>
      <c r="E234" s="88" t="s">
        <v>874</v>
      </c>
      <c r="F234" s="56">
        <v>99</v>
      </c>
      <c r="G234" s="57">
        <f t="shared" si="1291"/>
        <v>6145.92</v>
      </c>
      <c r="H234" s="28"/>
      <c r="I234" s="59" t="str">
        <f t="shared" si="1292"/>
        <v/>
      </c>
      <c r="J234" s="60"/>
      <c r="K234" s="59" t="str">
        <f t="shared" si="1293"/>
        <v/>
      </c>
      <c r="L234" s="60"/>
      <c r="M234" s="59" t="str">
        <f t="shared" si="1294"/>
        <v/>
      </c>
      <c r="N234" s="60"/>
      <c r="O234" s="59" t="str">
        <f t="shared" si="1295"/>
        <v/>
      </c>
      <c r="P234" s="60"/>
      <c r="Q234" s="59" t="str">
        <f t="shared" si="1296"/>
        <v/>
      </c>
      <c r="R234" s="60"/>
      <c r="S234" s="59" t="str">
        <f t="shared" si="1297"/>
        <v/>
      </c>
      <c r="T234" s="60"/>
      <c r="U234" s="59" t="str">
        <f t="shared" si="1298"/>
        <v/>
      </c>
      <c r="V234" s="60"/>
      <c r="W234" s="59" t="str">
        <f t="shared" si="1299"/>
        <v/>
      </c>
      <c r="X234" s="95"/>
      <c r="Y234" s="59" t="str">
        <f t="shared" si="1300"/>
        <v/>
      </c>
      <c r="Z234" s="95"/>
      <c r="AA234" s="59" t="str">
        <f t="shared" si="1301"/>
        <v/>
      </c>
      <c r="AB234" s="95">
        <f t="shared" si="1675"/>
        <v>31.04</v>
      </c>
      <c r="AC234" s="59">
        <f t="shared" si="1302"/>
        <v>3072.96</v>
      </c>
      <c r="AD234" s="60"/>
      <c r="AE234" s="59" t="str">
        <f t="shared" si="1303"/>
        <v/>
      </c>
      <c r="AF234" s="95"/>
      <c r="AG234" s="59" t="str">
        <f t="shared" ref="AG234" si="1786">+IF(OR($F234="",AF234=""),"",$F234*AF234)</f>
        <v/>
      </c>
      <c r="AH234" s="95"/>
      <c r="AI234" s="59" t="str">
        <f t="shared" si="1305"/>
        <v/>
      </c>
      <c r="AJ234" s="60"/>
      <c r="AK234" s="59" t="str">
        <f t="shared" si="1305"/>
        <v/>
      </c>
      <c r="AL234" s="60"/>
      <c r="AM234" s="59" t="str">
        <f t="shared" ref="AM234" si="1787">+IF(OR($F234="",AL234=""),"",$F234*AL234)</f>
        <v/>
      </c>
      <c r="AN234" s="60"/>
      <c r="AO234" s="59" t="str">
        <f t="shared" ref="AO234" si="1788">+IF(OR($F234="",AN234=""),"",$F234*AN234)</f>
        <v/>
      </c>
      <c r="AP234" s="60"/>
      <c r="AQ234" s="59" t="str">
        <f t="shared" ref="AQ234" si="1789">+IF(OR($F234="",AP234=""),"",$F234*AP234)</f>
        <v/>
      </c>
      <c r="AR234" s="60"/>
      <c r="AS234" s="59" t="str">
        <f t="shared" ref="AS234" si="1790">+IF(OR($F234="",AR234=""),"",$F234*AR234)</f>
        <v/>
      </c>
      <c r="AT234" s="60"/>
      <c r="AU234" s="59" t="str">
        <f t="shared" ref="AU234" si="1791">+IF(OR($F234="",AT234=""),"",$F234*AT234)</f>
        <v/>
      </c>
      <c r="AV234" s="60"/>
      <c r="AW234" s="59" t="str">
        <f t="shared" ref="AW234" si="1792">+IF(OR($F234="",AV234=""),"",$F234*AV234)</f>
        <v/>
      </c>
      <c r="AX234" s="60"/>
      <c r="AY234" s="59" t="str">
        <f t="shared" ref="AY234" si="1793">+IF(OR($F234="",AX234=""),"",$F234*AX234)</f>
        <v/>
      </c>
      <c r="AZ234" s="60"/>
      <c r="BA234" s="59" t="str">
        <f t="shared" ref="BA234" si="1794">+IF(OR($F234="",AZ234=""),"",$F234*AZ234)</f>
        <v/>
      </c>
      <c r="BB234" s="60"/>
      <c r="BC234" s="59" t="str">
        <f t="shared" ref="BC234" si="1795">+IF(OR($F234="",BB234=""),"",$F234*BB234)</f>
        <v/>
      </c>
      <c r="BD234" s="61">
        <f t="shared" si="1315"/>
        <v>31.04</v>
      </c>
      <c r="BE234" s="59">
        <f t="shared" si="1316"/>
        <v>3072.96</v>
      </c>
      <c r="BF234" s="61">
        <f t="shared" si="1317"/>
        <v>31.04</v>
      </c>
      <c r="BG234" s="59">
        <f t="shared" si="1318"/>
        <v>3072.96</v>
      </c>
      <c r="BH234" s="196"/>
      <c r="BI234" s="1">
        <f t="shared" si="1319"/>
        <v>0</v>
      </c>
      <c r="BJ234" s="1">
        <f t="shared" si="1320"/>
        <v>0</v>
      </c>
      <c r="BK234" s="1">
        <f t="shared" si="1321"/>
        <v>0</v>
      </c>
      <c r="BL234" s="1">
        <f t="shared" si="1322"/>
        <v>0</v>
      </c>
      <c r="BM234" s="1">
        <f t="shared" si="1323"/>
        <v>0</v>
      </c>
      <c r="BN234" s="1">
        <f t="shared" si="1324"/>
        <v>0</v>
      </c>
      <c r="BO234" s="1">
        <f t="shared" si="1325"/>
        <v>0</v>
      </c>
      <c r="BP234" s="1">
        <f t="shared" si="1326"/>
        <v>0</v>
      </c>
      <c r="BQ234" s="1">
        <f t="shared" si="1327"/>
        <v>0</v>
      </c>
      <c r="BR234" s="1">
        <f t="shared" si="1328"/>
        <v>0</v>
      </c>
      <c r="BS234" s="1">
        <f t="shared" si="1329"/>
        <v>31.04</v>
      </c>
      <c r="BT234" s="1">
        <f t="shared" si="1330"/>
        <v>0</v>
      </c>
      <c r="BU234" s="1">
        <f t="shared" si="1331"/>
        <v>0</v>
      </c>
      <c r="BV234" s="1">
        <f t="shared" si="1332"/>
        <v>0</v>
      </c>
      <c r="BW234" s="1">
        <f t="shared" si="1333"/>
        <v>0</v>
      </c>
      <c r="BX234" s="1">
        <f t="shared" si="1334"/>
        <v>0</v>
      </c>
      <c r="BY234" s="1">
        <f t="shared" si="1335"/>
        <v>0</v>
      </c>
      <c r="BZ234" s="1">
        <f t="shared" si="1336"/>
        <v>0</v>
      </c>
      <c r="CA234" s="1">
        <f t="shared" si="1337"/>
        <v>0</v>
      </c>
      <c r="CB234" s="1">
        <f t="shared" si="1338"/>
        <v>0</v>
      </c>
      <c r="CC234" s="1">
        <f t="shared" si="1339"/>
        <v>0</v>
      </c>
      <c r="CD234" s="1">
        <f t="shared" si="1340"/>
        <v>0</v>
      </c>
      <c r="CE234" s="1">
        <f t="shared" si="1341"/>
        <v>0</v>
      </c>
      <c r="CF234" s="1">
        <f t="shared" si="1342"/>
        <v>0</v>
      </c>
    </row>
    <row r="235" spans="3:84" ht="31.5" customHeight="1" outlineLevel="1">
      <c r="C235" s="27" t="s">
        <v>925</v>
      </c>
      <c r="D235" s="55">
        <v>16.399999999999999</v>
      </c>
      <c r="E235" s="88" t="s">
        <v>875</v>
      </c>
      <c r="F235" s="56">
        <v>136.4</v>
      </c>
      <c r="G235" s="57">
        <f t="shared" si="1291"/>
        <v>2236.96</v>
      </c>
      <c r="H235" s="28"/>
      <c r="I235" s="59" t="str">
        <f t="shared" si="1292"/>
        <v/>
      </c>
      <c r="J235" s="60"/>
      <c r="K235" s="59" t="str">
        <f t="shared" si="1293"/>
        <v/>
      </c>
      <c r="L235" s="60"/>
      <c r="M235" s="59" t="str">
        <f t="shared" si="1294"/>
        <v/>
      </c>
      <c r="N235" s="60"/>
      <c r="O235" s="59" t="str">
        <f t="shared" si="1295"/>
        <v/>
      </c>
      <c r="P235" s="60"/>
      <c r="Q235" s="59" t="str">
        <f t="shared" si="1296"/>
        <v/>
      </c>
      <c r="R235" s="60"/>
      <c r="S235" s="59" t="str">
        <f t="shared" si="1297"/>
        <v/>
      </c>
      <c r="T235" s="60"/>
      <c r="U235" s="59" t="str">
        <f t="shared" si="1298"/>
        <v/>
      </c>
      <c r="V235" s="60"/>
      <c r="W235" s="59" t="str">
        <f t="shared" si="1299"/>
        <v/>
      </c>
      <c r="X235" s="95"/>
      <c r="Y235" s="59" t="str">
        <f t="shared" si="1300"/>
        <v/>
      </c>
      <c r="Z235" s="95"/>
      <c r="AA235" s="59" t="str">
        <f t="shared" si="1301"/>
        <v/>
      </c>
      <c r="AB235" s="95">
        <f t="shared" si="1675"/>
        <v>8.1999999999999993</v>
      </c>
      <c r="AC235" s="59">
        <f t="shared" si="1302"/>
        <v>1118.48</v>
      </c>
      <c r="AD235" s="60"/>
      <c r="AE235" s="59" t="str">
        <f t="shared" si="1303"/>
        <v/>
      </c>
      <c r="AF235" s="95"/>
      <c r="AG235" s="59" t="str">
        <f t="shared" ref="AG235" si="1796">+IF(OR($F235="",AF235=""),"",$F235*AF235)</f>
        <v/>
      </c>
      <c r="AH235" s="95"/>
      <c r="AI235" s="59" t="str">
        <f t="shared" si="1305"/>
        <v/>
      </c>
      <c r="AJ235" s="60"/>
      <c r="AK235" s="59" t="str">
        <f t="shared" si="1305"/>
        <v/>
      </c>
      <c r="AL235" s="60"/>
      <c r="AM235" s="59" t="str">
        <f t="shared" ref="AM235" si="1797">+IF(OR($F235="",AL235=""),"",$F235*AL235)</f>
        <v/>
      </c>
      <c r="AN235" s="60"/>
      <c r="AO235" s="59" t="str">
        <f t="shared" ref="AO235" si="1798">+IF(OR($F235="",AN235=""),"",$F235*AN235)</f>
        <v/>
      </c>
      <c r="AP235" s="60"/>
      <c r="AQ235" s="59" t="str">
        <f t="shared" ref="AQ235" si="1799">+IF(OR($F235="",AP235=""),"",$F235*AP235)</f>
        <v/>
      </c>
      <c r="AR235" s="60"/>
      <c r="AS235" s="59" t="str">
        <f t="shared" ref="AS235" si="1800">+IF(OR($F235="",AR235=""),"",$F235*AR235)</f>
        <v/>
      </c>
      <c r="AT235" s="60"/>
      <c r="AU235" s="59" t="str">
        <f t="shared" ref="AU235" si="1801">+IF(OR($F235="",AT235=""),"",$F235*AT235)</f>
        <v/>
      </c>
      <c r="AV235" s="60"/>
      <c r="AW235" s="59" t="str">
        <f t="shared" ref="AW235" si="1802">+IF(OR($F235="",AV235=""),"",$F235*AV235)</f>
        <v/>
      </c>
      <c r="AX235" s="60"/>
      <c r="AY235" s="59" t="str">
        <f t="shared" ref="AY235" si="1803">+IF(OR($F235="",AX235=""),"",$F235*AX235)</f>
        <v/>
      </c>
      <c r="AZ235" s="60"/>
      <c r="BA235" s="59" t="str">
        <f t="shared" ref="BA235" si="1804">+IF(OR($F235="",AZ235=""),"",$F235*AZ235)</f>
        <v/>
      </c>
      <c r="BB235" s="60"/>
      <c r="BC235" s="59" t="str">
        <f t="shared" ref="BC235" si="1805">+IF(OR($F235="",BB235=""),"",$F235*BB235)</f>
        <v/>
      </c>
      <c r="BD235" s="61">
        <f t="shared" si="1315"/>
        <v>8.1999999999999993</v>
      </c>
      <c r="BE235" s="59">
        <f t="shared" si="1316"/>
        <v>1118.48</v>
      </c>
      <c r="BF235" s="61">
        <f t="shared" si="1317"/>
        <v>8.1999999999999993</v>
      </c>
      <c r="BG235" s="59">
        <f t="shared" si="1318"/>
        <v>1118.48</v>
      </c>
      <c r="BH235" s="196"/>
      <c r="BI235" s="1">
        <f t="shared" si="1319"/>
        <v>0</v>
      </c>
      <c r="BJ235" s="1">
        <f t="shared" si="1320"/>
        <v>0</v>
      </c>
      <c r="BK235" s="1">
        <f t="shared" si="1321"/>
        <v>0</v>
      </c>
      <c r="BL235" s="1">
        <f t="shared" si="1322"/>
        <v>0</v>
      </c>
      <c r="BM235" s="1">
        <f t="shared" si="1323"/>
        <v>0</v>
      </c>
      <c r="BN235" s="1">
        <f t="shared" si="1324"/>
        <v>0</v>
      </c>
      <c r="BO235" s="1">
        <f t="shared" si="1325"/>
        <v>0</v>
      </c>
      <c r="BP235" s="1">
        <f t="shared" si="1326"/>
        <v>0</v>
      </c>
      <c r="BQ235" s="1">
        <f t="shared" si="1327"/>
        <v>0</v>
      </c>
      <c r="BR235" s="1">
        <f t="shared" si="1328"/>
        <v>0</v>
      </c>
      <c r="BS235" s="1">
        <f t="shared" si="1329"/>
        <v>8.1999999999999993</v>
      </c>
      <c r="BT235" s="1">
        <f t="shared" si="1330"/>
        <v>0</v>
      </c>
      <c r="BU235" s="1">
        <f t="shared" si="1331"/>
        <v>0</v>
      </c>
      <c r="BV235" s="1">
        <f t="shared" si="1332"/>
        <v>0</v>
      </c>
      <c r="BW235" s="1">
        <f t="shared" si="1333"/>
        <v>0</v>
      </c>
      <c r="BX235" s="1">
        <f t="shared" si="1334"/>
        <v>0</v>
      </c>
      <c r="BY235" s="1">
        <f t="shared" si="1335"/>
        <v>0</v>
      </c>
      <c r="BZ235" s="1">
        <f t="shared" si="1336"/>
        <v>0</v>
      </c>
      <c r="CA235" s="1">
        <f t="shared" si="1337"/>
        <v>0</v>
      </c>
      <c r="CB235" s="1">
        <f t="shared" si="1338"/>
        <v>0</v>
      </c>
      <c r="CC235" s="1">
        <f t="shared" si="1339"/>
        <v>0</v>
      </c>
      <c r="CD235" s="1">
        <f t="shared" si="1340"/>
        <v>0</v>
      </c>
      <c r="CE235" s="1">
        <f t="shared" si="1341"/>
        <v>0</v>
      </c>
      <c r="CF235" s="1">
        <f t="shared" si="1342"/>
        <v>0</v>
      </c>
    </row>
    <row r="236" spans="3:84" ht="31.5" customHeight="1" outlineLevel="1">
      <c r="C236" s="27" t="s">
        <v>932</v>
      </c>
      <c r="D236" s="55">
        <v>4</v>
      </c>
      <c r="E236" s="88" t="s">
        <v>828</v>
      </c>
      <c r="F236" s="56">
        <v>412.05</v>
      </c>
      <c r="G236" s="57">
        <f t="shared" si="1291"/>
        <v>1648.2</v>
      </c>
      <c r="H236" s="28"/>
      <c r="I236" s="59" t="str">
        <f t="shared" si="1292"/>
        <v/>
      </c>
      <c r="J236" s="60"/>
      <c r="K236" s="59" t="str">
        <f t="shared" si="1293"/>
        <v/>
      </c>
      <c r="L236" s="60"/>
      <c r="M236" s="59" t="str">
        <f t="shared" si="1294"/>
        <v/>
      </c>
      <c r="N236" s="60"/>
      <c r="O236" s="59" t="str">
        <f t="shared" si="1295"/>
        <v/>
      </c>
      <c r="P236" s="60"/>
      <c r="Q236" s="59" t="str">
        <f t="shared" si="1296"/>
        <v/>
      </c>
      <c r="R236" s="60"/>
      <c r="S236" s="59" t="str">
        <f t="shared" si="1297"/>
        <v/>
      </c>
      <c r="T236" s="60"/>
      <c r="U236" s="59" t="str">
        <f t="shared" si="1298"/>
        <v/>
      </c>
      <c r="V236" s="60"/>
      <c r="W236" s="59" t="str">
        <f t="shared" si="1299"/>
        <v/>
      </c>
      <c r="X236" s="95"/>
      <c r="Y236" s="59" t="str">
        <f t="shared" si="1300"/>
        <v/>
      </c>
      <c r="Z236" s="95"/>
      <c r="AA236" s="59" t="str">
        <f t="shared" si="1301"/>
        <v/>
      </c>
      <c r="AB236" s="95">
        <f t="shared" si="1675"/>
        <v>2</v>
      </c>
      <c r="AC236" s="59">
        <f t="shared" si="1302"/>
        <v>824.1</v>
      </c>
      <c r="AD236" s="60"/>
      <c r="AE236" s="59" t="str">
        <f t="shared" si="1303"/>
        <v/>
      </c>
      <c r="AF236" s="95"/>
      <c r="AG236" s="59" t="str">
        <f t="shared" ref="AG236" si="1806">+IF(OR($F236="",AF236=""),"",$F236*AF236)</f>
        <v/>
      </c>
      <c r="AH236" s="95"/>
      <c r="AI236" s="59" t="str">
        <f t="shared" si="1305"/>
        <v/>
      </c>
      <c r="AJ236" s="60"/>
      <c r="AK236" s="59" t="str">
        <f t="shared" si="1305"/>
        <v/>
      </c>
      <c r="AL236" s="60"/>
      <c r="AM236" s="59" t="str">
        <f t="shared" ref="AM236" si="1807">+IF(OR($F236="",AL236=""),"",$F236*AL236)</f>
        <v/>
      </c>
      <c r="AN236" s="60"/>
      <c r="AO236" s="59" t="str">
        <f t="shared" ref="AO236" si="1808">+IF(OR($F236="",AN236=""),"",$F236*AN236)</f>
        <v/>
      </c>
      <c r="AP236" s="60"/>
      <c r="AQ236" s="59" t="str">
        <f t="shared" ref="AQ236" si="1809">+IF(OR($F236="",AP236=""),"",$F236*AP236)</f>
        <v/>
      </c>
      <c r="AR236" s="60"/>
      <c r="AS236" s="59" t="str">
        <f t="shared" ref="AS236" si="1810">+IF(OR($F236="",AR236=""),"",$F236*AR236)</f>
        <v/>
      </c>
      <c r="AT236" s="60"/>
      <c r="AU236" s="59" t="str">
        <f t="shared" ref="AU236" si="1811">+IF(OR($F236="",AT236=""),"",$F236*AT236)</f>
        <v/>
      </c>
      <c r="AV236" s="60"/>
      <c r="AW236" s="59" t="str">
        <f t="shared" ref="AW236" si="1812">+IF(OR($F236="",AV236=""),"",$F236*AV236)</f>
        <v/>
      </c>
      <c r="AX236" s="60"/>
      <c r="AY236" s="59" t="str">
        <f t="shared" ref="AY236" si="1813">+IF(OR($F236="",AX236=""),"",$F236*AX236)</f>
        <v/>
      </c>
      <c r="AZ236" s="60"/>
      <c r="BA236" s="59" t="str">
        <f t="shared" ref="BA236" si="1814">+IF(OR($F236="",AZ236=""),"",$F236*AZ236)</f>
        <v/>
      </c>
      <c r="BB236" s="60"/>
      <c r="BC236" s="59" t="str">
        <f t="shared" ref="BC236" si="1815">+IF(OR($F236="",BB236=""),"",$F236*BB236)</f>
        <v/>
      </c>
      <c r="BD236" s="61">
        <f t="shared" si="1315"/>
        <v>2</v>
      </c>
      <c r="BE236" s="59">
        <f t="shared" si="1316"/>
        <v>824.1</v>
      </c>
      <c r="BF236" s="61">
        <f t="shared" si="1317"/>
        <v>2</v>
      </c>
      <c r="BG236" s="59">
        <f t="shared" si="1318"/>
        <v>824.1</v>
      </c>
      <c r="BH236" s="196"/>
      <c r="BI236" s="1">
        <f t="shared" si="1319"/>
        <v>0</v>
      </c>
      <c r="BJ236" s="1">
        <f t="shared" si="1320"/>
        <v>0</v>
      </c>
      <c r="BK236" s="1">
        <f t="shared" si="1321"/>
        <v>0</v>
      </c>
      <c r="BL236" s="1">
        <f t="shared" si="1322"/>
        <v>0</v>
      </c>
      <c r="BM236" s="1">
        <f t="shared" si="1323"/>
        <v>0</v>
      </c>
      <c r="BN236" s="1">
        <f t="shared" si="1324"/>
        <v>0</v>
      </c>
      <c r="BO236" s="1">
        <f t="shared" si="1325"/>
        <v>0</v>
      </c>
      <c r="BP236" s="1">
        <f t="shared" si="1326"/>
        <v>0</v>
      </c>
      <c r="BQ236" s="1">
        <f t="shared" si="1327"/>
        <v>0</v>
      </c>
      <c r="BR236" s="1">
        <f t="shared" si="1328"/>
        <v>0</v>
      </c>
      <c r="BS236" s="1">
        <f t="shared" si="1329"/>
        <v>2</v>
      </c>
      <c r="BT236" s="1">
        <f t="shared" si="1330"/>
        <v>0</v>
      </c>
      <c r="BU236" s="1">
        <f t="shared" si="1331"/>
        <v>0</v>
      </c>
      <c r="BV236" s="1">
        <f t="shared" si="1332"/>
        <v>0</v>
      </c>
      <c r="BW236" s="1">
        <f t="shared" si="1333"/>
        <v>0</v>
      </c>
      <c r="BX236" s="1">
        <f t="shared" si="1334"/>
        <v>0</v>
      </c>
      <c r="BY236" s="1">
        <f t="shared" si="1335"/>
        <v>0</v>
      </c>
      <c r="BZ236" s="1">
        <f t="shared" si="1336"/>
        <v>0</v>
      </c>
      <c r="CA236" s="1">
        <f t="shared" si="1337"/>
        <v>0</v>
      </c>
      <c r="CB236" s="1">
        <f t="shared" si="1338"/>
        <v>0</v>
      </c>
      <c r="CC236" s="1">
        <f t="shared" si="1339"/>
        <v>0</v>
      </c>
      <c r="CD236" s="1">
        <f t="shared" si="1340"/>
        <v>0</v>
      </c>
      <c r="CE236" s="1">
        <f t="shared" si="1341"/>
        <v>0</v>
      </c>
      <c r="CF236" s="1">
        <f t="shared" si="1342"/>
        <v>0</v>
      </c>
    </row>
    <row r="237" spans="3:84" ht="31.5" customHeight="1" outlineLevel="1">
      <c r="C237" s="27" t="s">
        <v>927</v>
      </c>
      <c r="D237" s="55">
        <v>8</v>
      </c>
      <c r="E237" s="88" t="s">
        <v>828</v>
      </c>
      <c r="F237" s="56">
        <v>32.47</v>
      </c>
      <c r="G237" s="57">
        <f t="shared" si="1291"/>
        <v>259.76</v>
      </c>
      <c r="H237" s="28"/>
      <c r="I237" s="59" t="str">
        <f t="shared" si="1292"/>
        <v/>
      </c>
      <c r="J237" s="60"/>
      <c r="K237" s="59" t="str">
        <f t="shared" si="1293"/>
        <v/>
      </c>
      <c r="L237" s="60"/>
      <c r="M237" s="59" t="str">
        <f t="shared" si="1294"/>
        <v/>
      </c>
      <c r="N237" s="60"/>
      <c r="O237" s="59" t="str">
        <f t="shared" si="1295"/>
        <v/>
      </c>
      <c r="P237" s="60"/>
      <c r="Q237" s="59" t="str">
        <f t="shared" si="1296"/>
        <v/>
      </c>
      <c r="R237" s="60"/>
      <c r="S237" s="59" t="str">
        <f t="shared" si="1297"/>
        <v/>
      </c>
      <c r="T237" s="60"/>
      <c r="U237" s="59" t="str">
        <f t="shared" si="1298"/>
        <v/>
      </c>
      <c r="V237" s="60"/>
      <c r="W237" s="59" t="str">
        <f t="shared" si="1299"/>
        <v/>
      </c>
      <c r="X237" s="95"/>
      <c r="Y237" s="59" t="str">
        <f t="shared" si="1300"/>
        <v/>
      </c>
      <c r="Z237" s="95"/>
      <c r="AA237" s="59" t="str">
        <f t="shared" si="1301"/>
        <v/>
      </c>
      <c r="AB237" s="95">
        <f t="shared" si="1675"/>
        <v>4</v>
      </c>
      <c r="AC237" s="59">
        <f t="shared" si="1302"/>
        <v>129.88</v>
      </c>
      <c r="AD237" s="60"/>
      <c r="AE237" s="59" t="str">
        <f t="shared" si="1303"/>
        <v/>
      </c>
      <c r="AF237" s="95"/>
      <c r="AG237" s="59" t="str">
        <f t="shared" ref="AG237" si="1816">+IF(OR($F237="",AF237=""),"",$F237*AF237)</f>
        <v/>
      </c>
      <c r="AH237" s="95"/>
      <c r="AI237" s="59" t="str">
        <f t="shared" si="1305"/>
        <v/>
      </c>
      <c r="AJ237" s="60"/>
      <c r="AK237" s="59" t="str">
        <f t="shared" si="1305"/>
        <v/>
      </c>
      <c r="AL237" s="60"/>
      <c r="AM237" s="59" t="str">
        <f t="shared" ref="AM237" si="1817">+IF(OR($F237="",AL237=""),"",$F237*AL237)</f>
        <v/>
      </c>
      <c r="AN237" s="60"/>
      <c r="AO237" s="59" t="str">
        <f t="shared" ref="AO237" si="1818">+IF(OR($F237="",AN237=""),"",$F237*AN237)</f>
        <v/>
      </c>
      <c r="AP237" s="60"/>
      <c r="AQ237" s="59" t="str">
        <f t="shared" ref="AQ237" si="1819">+IF(OR($F237="",AP237=""),"",$F237*AP237)</f>
        <v/>
      </c>
      <c r="AR237" s="60"/>
      <c r="AS237" s="59" t="str">
        <f t="shared" ref="AS237" si="1820">+IF(OR($F237="",AR237=""),"",$F237*AR237)</f>
        <v/>
      </c>
      <c r="AT237" s="60"/>
      <c r="AU237" s="59" t="str">
        <f t="shared" ref="AU237" si="1821">+IF(OR($F237="",AT237=""),"",$F237*AT237)</f>
        <v/>
      </c>
      <c r="AV237" s="60"/>
      <c r="AW237" s="59" t="str">
        <f t="shared" ref="AW237" si="1822">+IF(OR($F237="",AV237=""),"",$F237*AV237)</f>
        <v/>
      </c>
      <c r="AX237" s="60"/>
      <c r="AY237" s="59" t="str">
        <f t="shared" ref="AY237" si="1823">+IF(OR($F237="",AX237=""),"",$F237*AX237)</f>
        <v/>
      </c>
      <c r="AZ237" s="60"/>
      <c r="BA237" s="59" t="str">
        <f t="shared" ref="BA237" si="1824">+IF(OR($F237="",AZ237=""),"",$F237*AZ237)</f>
        <v/>
      </c>
      <c r="BB237" s="60"/>
      <c r="BC237" s="59" t="str">
        <f t="shared" ref="BC237" si="1825">+IF(OR($F237="",BB237=""),"",$F237*BB237)</f>
        <v/>
      </c>
      <c r="BD237" s="61">
        <f t="shared" si="1315"/>
        <v>4</v>
      </c>
      <c r="BE237" s="59">
        <f t="shared" si="1316"/>
        <v>129.88</v>
      </c>
      <c r="BF237" s="61">
        <f t="shared" si="1317"/>
        <v>4</v>
      </c>
      <c r="BG237" s="59">
        <f t="shared" si="1318"/>
        <v>129.88</v>
      </c>
      <c r="BH237" s="196"/>
      <c r="BI237" s="1">
        <f t="shared" si="1319"/>
        <v>0</v>
      </c>
      <c r="BJ237" s="1">
        <f t="shared" si="1320"/>
        <v>0</v>
      </c>
      <c r="BK237" s="1">
        <f t="shared" si="1321"/>
        <v>0</v>
      </c>
      <c r="BL237" s="1">
        <f t="shared" si="1322"/>
        <v>0</v>
      </c>
      <c r="BM237" s="1">
        <f t="shared" si="1323"/>
        <v>0</v>
      </c>
      <c r="BN237" s="1">
        <f t="shared" si="1324"/>
        <v>0</v>
      </c>
      <c r="BO237" s="1">
        <f t="shared" si="1325"/>
        <v>0</v>
      </c>
      <c r="BP237" s="1">
        <f t="shared" si="1326"/>
        <v>0</v>
      </c>
      <c r="BQ237" s="1">
        <f t="shared" si="1327"/>
        <v>0</v>
      </c>
      <c r="BR237" s="1">
        <f t="shared" si="1328"/>
        <v>0</v>
      </c>
      <c r="BS237" s="1">
        <f t="shared" si="1329"/>
        <v>4</v>
      </c>
      <c r="BT237" s="1">
        <f t="shared" si="1330"/>
        <v>0</v>
      </c>
      <c r="BU237" s="1">
        <f t="shared" si="1331"/>
        <v>0</v>
      </c>
      <c r="BV237" s="1">
        <f t="shared" si="1332"/>
        <v>0</v>
      </c>
      <c r="BW237" s="1">
        <f t="shared" si="1333"/>
        <v>0</v>
      </c>
      <c r="BX237" s="1">
        <f t="shared" si="1334"/>
        <v>0</v>
      </c>
      <c r="BY237" s="1">
        <f t="shared" si="1335"/>
        <v>0</v>
      </c>
      <c r="BZ237" s="1">
        <f t="shared" si="1336"/>
        <v>0</v>
      </c>
      <c r="CA237" s="1">
        <f t="shared" si="1337"/>
        <v>0</v>
      </c>
      <c r="CB237" s="1">
        <f t="shared" si="1338"/>
        <v>0</v>
      </c>
      <c r="CC237" s="1">
        <f t="shared" si="1339"/>
        <v>0</v>
      </c>
      <c r="CD237" s="1">
        <f t="shared" si="1340"/>
        <v>0</v>
      </c>
      <c r="CE237" s="1">
        <f t="shared" si="1341"/>
        <v>0</v>
      </c>
      <c r="CF237" s="1">
        <f t="shared" si="1342"/>
        <v>0</v>
      </c>
    </row>
    <row r="238" spans="3:84" ht="31.5" customHeight="1" outlineLevel="1">
      <c r="C238" s="27" t="s">
        <v>928</v>
      </c>
      <c r="D238" s="55">
        <v>4</v>
      </c>
      <c r="E238" s="88" t="s">
        <v>828</v>
      </c>
      <c r="F238" s="56">
        <v>46</v>
      </c>
      <c r="G238" s="57">
        <f t="shared" si="1291"/>
        <v>184</v>
      </c>
      <c r="H238" s="28"/>
      <c r="I238" s="59" t="str">
        <f t="shared" si="1292"/>
        <v/>
      </c>
      <c r="J238" s="60"/>
      <c r="K238" s="59" t="str">
        <f t="shared" si="1293"/>
        <v/>
      </c>
      <c r="L238" s="60"/>
      <c r="M238" s="59" t="str">
        <f t="shared" si="1294"/>
        <v/>
      </c>
      <c r="N238" s="60"/>
      <c r="O238" s="59" t="str">
        <f t="shared" si="1295"/>
        <v/>
      </c>
      <c r="P238" s="60"/>
      <c r="Q238" s="59" t="str">
        <f t="shared" si="1296"/>
        <v/>
      </c>
      <c r="R238" s="60"/>
      <c r="S238" s="59" t="str">
        <f t="shared" si="1297"/>
        <v/>
      </c>
      <c r="T238" s="60"/>
      <c r="U238" s="59" t="str">
        <f t="shared" si="1298"/>
        <v/>
      </c>
      <c r="V238" s="60"/>
      <c r="W238" s="59" t="str">
        <f t="shared" si="1299"/>
        <v/>
      </c>
      <c r="X238" s="95"/>
      <c r="Y238" s="59" t="str">
        <f t="shared" si="1300"/>
        <v/>
      </c>
      <c r="Z238" s="95"/>
      <c r="AA238" s="59" t="str">
        <f t="shared" si="1301"/>
        <v/>
      </c>
      <c r="AB238" s="95">
        <f t="shared" si="1675"/>
        <v>2</v>
      </c>
      <c r="AC238" s="59">
        <f t="shared" si="1302"/>
        <v>92</v>
      </c>
      <c r="AD238" s="60"/>
      <c r="AE238" s="59" t="str">
        <f t="shared" si="1303"/>
        <v/>
      </c>
      <c r="AF238" s="95"/>
      <c r="AG238" s="59" t="str">
        <f t="shared" ref="AG238" si="1826">+IF(OR($F238="",AF238=""),"",$F238*AF238)</f>
        <v/>
      </c>
      <c r="AH238" s="95"/>
      <c r="AI238" s="59" t="str">
        <f t="shared" si="1305"/>
        <v/>
      </c>
      <c r="AJ238" s="60"/>
      <c r="AK238" s="59" t="str">
        <f t="shared" si="1305"/>
        <v/>
      </c>
      <c r="AL238" s="60"/>
      <c r="AM238" s="59" t="str">
        <f t="shared" ref="AM238" si="1827">+IF(OR($F238="",AL238=""),"",$F238*AL238)</f>
        <v/>
      </c>
      <c r="AN238" s="60"/>
      <c r="AO238" s="59" t="str">
        <f t="shared" ref="AO238" si="1828">+IF(OR($F238="",AN238=""),"",$F238*AN238)</f>
        <v/>
      </c>
      <c r="AP238" s="60"/>
      <c r="AQ238" s="59" t="str">
        <f t="shared" ref="AQ238" si="1829">+IF(OR($F238="",AP238=""),"",$F238*AP238)</f>
        <v/>
      </c>
      <c r="AR238" s="60"/>
      <c r="AS238" s="59" t="str">
        <f t="shared" ref="AS238" si="1830">+IF(OR($F238="",AR238=""),"",$F238*AR238)</f>
        <v/>
      </c>
      <c r="AT238" s="60"/>
      <c r="AU238" s="59" t="str">
        <f t="shared" ref="AU238" si="1831">+IF(OR($F238="",AT238=""),"",$F238*AT238)</f>
        <v/>
      </c>
      <c r="AV238" s="60"/>
      <c r="AW238" s="59" t="str">
        <f t="shared" ref="AW238" si="1832">+IF(OR($F238="",AV238=""),"",$F238*AV238)</f>
        <v/>
      </c>
      <c r="AX238" s="60"/>
      <c r="AY238" s="59" t="str">
        <f t="shared" ref="AY238" si="1833">+IF(OR($F238="",AX238=""),"",$F238*AX238)</f>
        <v/>
      </c>
      <c r="AZ238" s="60"/>
      <c r="BA238" s="59" t="str">
        <f t="shared" ref="BA238" si="1834">+IF(OR($F238="",AZ238=""),"",$F238*AZ238)</f>
        <v/>
      </c>
      <c r="BB238" s="60"/>
      <c r="BC238" s="59" t="str">
        <f t="shared" ref="BC238" si="1835">+IF(OR($F238="",BB238=""),"",$F238*BB238)</f>
        <v/>
      </c>
      <c r="BD238" s="61">
        <f t="shared" si="1315"/>
        <v>2</v>
      </c>
      <c r="BE238" s="59">
        <f t="shared" si="1316"/>
        <v>92</v>
      </c>
      <c r="BF238" s="61">
        <f t="shared" si="1317"/>
        <v>2</v>
      </c>
      <c r="BG238" s="59">
        <f t="shared" si="1318"/>
        <v>92</v>
      </c>
      <c r="BH238" s="196"/>
      <c r="BI238" s="1">
        <f t="shared" si="1319"/>
        <v>0</v>
      </c>
      <c r="BJ238" s="1">
        <f t="shared" si="1320"/>
        <v>0</v>
      </c>
      <c r="BK238" s="1">
        <f t="shared" si="1321"/>
        <v>0</v>
      </c>
      <c r="BL238" s="1">
        <f t="shared" si="1322"/>
        <v>0</v>
      </c>
      <c r="BM238" s="1">
        <f t="shared" si="1323"/>
        <v>0</v>
      </c>
      <c r="BN238" s="1">
        <f t="shared" si="1324"/>
        <v>0</v>
      </c>
      <c r="BO238" s="1">
        <f t="shared" si="1325"/>
        <v>0</v>
      </c>
      <c r="BP238" s="1">
        <f t="shared" si="1326"/>
        <v>0</v>
      </c>
      <c r="BQ238" s="1">
        <f t="shared" si="1327"/>
        <v>0</v>
      </c>
      <c r="BR238" s="1">
        <f t="shared" si="1328"/>
        <v>0</v>
      </c>
      <c r="BS238" s="1">
        <f t="shared" si="1329"/>
        <v>2</v>
      </c>
      <c r="BT238" s="1">
        <f t="shared" si="1330"/>
        <v>0</v>
      </c>
      <c r="BU238" s="1">
        <f t="shared" si="1331"/>
        <v>0</v>
      </c>
      <c r="BV238" s="1">
        <f t="shared" si="1332"/>
        <v>0</v>
      </c>
      <c r="BW238" s="1">
        <f t="shared" si="1333"/>
        <v>0</v>
      </c>
      <c r="BX238" s="1">
        <f t="shared" si="1334"/>
        <v>0</v>
      </c>
      <c r="BY238" s="1">
        <f t="shared" si="1335"/>
        <v>0</v>
      </c>
      <c r="BZ238" s="1">
        <f t="shared" si="1336"/>
        <v>0</v>
      </c>
      <c r="CA238" s="1">
        <f t="shared" si="1337"/>
        <v>0</v>
      </c>
      <c r="CB238" s="1">
        <f t="shared" si="1338"/>
        <v>0</v>
      </c>
      <c r="CC238" s="1">
        <f t="shared" si="1339"/>
        <v>0</v>
      </c>
      <c r="CD238" s="1">
        <f t="shared" si="1340"/>
        <v>0</v>
      </c>
      <c r="CE238" s="1">
        <f t="shared" si="1341"/>
        <v>0</v>
      </c>
      <c r="CF238" s="1">
        <f t="shared" si="1342"/>
        <v>0</v>
      </c>
    </row>
    <row r="239" spans="3:84" ht="31.5" customHeight="1" outlineLevel="1">
      <c r="C239" s="27" t="s">
        <v>929</v>
      </c>
      <c r="D239" s="55">
        <v>8</v>
      </c>
      <c r="E239" s="88" t="s">
        <v>828</v>
      </c>
      <c r="F239" s="56">
        <v>76.819999999999993</v>
      </c>
      <c r="G239" s="57">
        <f t="shared" si="1291"/>
        <v>614.55999999999995</v>
      </c>
      <c r="H239" s="28"/>
      <c r="I239" s="59" t="str">
        <f t="shared" si="1292"/>
        <v/>
      </c>
      <c r="J239" s="60"/>
      <c r="K239" s="59" t="str">
        <f t="shared" si="1293"/>
        <v/>
      </c>
      <c r="L239" s="60"/>
      <c r="M239" s="59" t="str">
        <f t="shared" si="1294"/>
        <v/>
      </c>
      <c r="N239" s="60"/>
      <c r="O239" s="59" t="str">
        <f t="shared" si="1295"/>
        <v/>
      </c>
      <c r="P239" s="60"/>
      <c r="Q239" s="59" t="str">
        <f t="shared" si="1296"/>
        <v/>
      </c>
      <c r="R239" s="60"/>
      <c r="S239" s="59" t="str">
        <f t="shared" si="1297"/>
        <v/>
      </c>
      <c r="T239" s="60"/>
      <c r="U239" s="59" t="str">
        <f t="shared" si="1298"/>
        <v/>
      </c>
      <c r="V239" s="60"/>
      <c r="W239" s="59" t="str">
        <f t="shared" si="1299"/>
        <v/>
      </c>
      <c r="X239" s="95"/>
      <c r="Y239" s="59" t="str">
        <f t="shared" si="1300"/>
        <v/>
      </c>
      <c r="Z239" s="95"/>
      <c r="AA239" s="59" t="str">
        <f t="shared" si="1301"/>
        <v/>
      </c>
      <c r="AB239" s="95">
        <f t="shared" si="1675"/>
        <v>4</v>
      </c>
      <c r="AC239" s="59">
        <f t="shared" si="1302"/>
        <v>307.27999999999997</v>
      </c>
      <c r="AD239" s="60"/>
      <c r="AE239" s="59" t="str">
        <f t="shared" si="1303"/>
        <v/>
      </c>
      <c r="AF239" s="95"/>
      <c r="AG239" s="59" t="str">
        <f t="shared" ref="AG239" si="1836">+IF(OR($F239="",AF239=""),"",$F239*AF239)</f>
        <v/>
      </c>
      <c r="AH239" s="95"/>
      <c r="AI239" s="59" t="str">
        <f t="shared" si="1305"/>
        <v/>
      </c>
      <c r="AJ239" s="60"/>
      <c r="AK239" s="59" t="str">
        <f t="shared" si="1305"/>
        <v/>
      </c>
      <c r="AL239" s="60"/>
      <c r="AM239" s="59" t="str">
        <f t="shared" ref="AM239" si="1837">+IF(OR($F239="",AL239=""),"",$F239*AL239)</f>
        <v/>
      </c>
      <c r="AN239" s="60"/>
      <c r="AO239" s="59" t="str">
        <f t="shared" ref="AO239" si="1838">+IF(OR($F239="",AN239=""),"",$F239*AN239)</f>
        <v/>
      </c>
      <c r="AP239" s="60"/>
      <c r="AQ239" s="59" t="str">
        <f t="shared" ref="AQ239" si="1839">+IF(OR($F239="",AP239=""),"",$F239*AP239)</f>
        <v/>
      </c>
      <c r="AR239" s="60"/>
      <c r="AS239" s="59" t="str">
        <f t="shared" ref="AS239" si="1840">+IF(OR($F239="",AR239=""),"",$F239*AR239)</f>
        <v/>
      </c>
      <c r="AT239" s="60"/>
      <c r="AU239" s="59" t="str">
        <f t="shared" ref="AU239" si="1841">+IF(OR($F239="",AT239=""),"",$F239*AT239)</f>
        <v/>
      </c>
      <c r="AV239" s="60"/>
      <c r="AW239" s="59" t="str">
        <f t="shared" ref="AW239" si="1842">+IF(OR($F239="",AV239=""),"",$F239*AV239)</f>
        <v/>
      </c>
      <c r="AX239" s="60"/>
      <c r="AY239" s="59" t="str">
        <f t="shared" ref="AY239" si="1843">+IF(OR($F239="",AX239=""),"",$F239*AX239)</f>
        <v/>
      </c>
      <c r="AZ239" s="60"/>
      <c r="BA239" s="59" t="str">
        <f t="shared" ref="BA239" si="1844">+IF(OR($F239="",AZ239=""),"",$F239*AZ239)</f>
        <v/>
      </c>
      <c r="BB239" s="60"/>
      <c r="BC239" s="59" t="str">
        <f t="shared" ref="BC239" si="1845">+IF(OR($F239="",BB239=""),"",$F239*BB239)</f>
        <v/>
      </c>
      <c r="BD239" s="61">
        <f t="shared" si="1315"/>
        <v>4</v>
      </c>
      <c r="BE239" s="59">
        <f t="shared" si="1316"/>
        <v>307.27999999999997</v>
      </c>
      <c r="BF239" s="61">
        <f t="shared" si="1317"/>
        <v>4</v>
      </c>
      <c r="BG239" s="59">
        <f t="shared" si="1318"/>
        <v>307.27999999999997</v>
      </c>
      <c r="BH239" s="196"/>
      <c r="BI239" s="1">
        <f t="shared" si="1319"/>
        <v>0</v>
      </c>
      <c r="BJ239" s="1">
        <f t="shared" si="1320"/>
        <v>0</v>
      </c>
      <c r="BK239" s="1">
        <f t="shared" si="1321"/>
        <v>0</v>
      </c>
      <c r="BL239" s="1">
        <f t="shared" si="1322"/>
        <v>0</v>
      </c>
      <c r="BM239" s="1">
        <f t="shared" si="1323"/>
        <v>0</v>
      </c>
      <c r="BN239" s="1">
        <f t="shared" si="1324"/>
        <v>0</v>
      </c>
      <c r="BO239" s="1">
        <f t="shared" si="1325"/>
        <v>0</v>
      </c>
      <c r="BP239" s="1">
        <f t="shared" si="1326"/>
        <v>0</v>
      </c>
      <c r="BQ239" s="1">
        <f t="shared" si="1327"/>
        <v>0</v>
      </c>
      <c r="BR239" s="1">
        <f t="shared" si="1328"/>
        <v>0</v>
      </c>
      <c r="BS239" s="1">
        <f t="shared" si="1329"/>
        <v>4</v>
      </c>
      <c r="BT239" s="1">
        <f t="shared" si="1330"/>
        <v>0</v>
      </c>
      <c r="BU239" s="1">
        <f t="shared" si="1331"/>
        <v>0</v>
      </c>
      <c r="BV239" s="1">
        <f t="shared" si="1332"/>
        <v>0</v>
      </c>
      <c r="BW239" s="1">
        <f t="shared" si="1333"/>
        <v>0</v>
      </c>
      <c r="BX239" s="1">
        <f t="shared" si="1334"/>
        <v>0</v>
      </c>
      <c r="BY239" s="1">
        <f t="shared" si="1335"/>
        <v>0</v>
      </c>
      <c r="BZ239" s="1">
        <f t="shared" si="1336"/>
        <v>0</v>
      </c>
      <c r="CA239" s="1">
        <f t="shared" si="1337"/>
        <v>0</v>
      </c>
      <c r="CB239" s="1">
        <f t="shared" si="1338"/>
        <v>0</v>
      </c>
      <c r="CC239" s="1">
        <f t="shared" si="1339"/>
        <v>0</v>
      </c>
      <c r="CD239" s="1">
        <f t="shared" si="1340"/>
        <v>0</v>
      </c>
      <c r="CE239" s="1">
        <f t="shared" si="1341"/>
        <v>0</v>
      </c>
      <c r="CF239" s="1">
        <f t="shared" si="1342"/>
        <v>0</v>
      </c>
    </row>
    <row r="240" spans="3:84" ht="31.5" customHeight="1" outlineLevel="1">
      <c r="C240" s="27" t="s">
        <v>930</v>
      </c>
      <c r="D240" s="55">
        <v>8</v>
      </c>
      <c r="E240" s="88" t="s">
        <v>828</v>
      </c>
      <c r="F240" s="56">
        <v>80.78</v>
      </c>
      <c r="G240" s="57">
        <f t="shared" si="1291"/>
        <v>646.24</v>
      </c>
      <c r="H240" s="28"/>
      <c r="I240" s="59" t="str">
        <f t="shared" si="1292"/>
        <v/>
      </c>
      <c r="J240" s="60"/>
      <c r="K240" s="59" t="str">
        <f t="shared" si="1293"/>
        <v/>
      </c>
      <c r="L240" s="60"/>
      <c r="M240" s="59" t="str">
        <f t="shared" si="1294"/>
        <v/>
      </c>
      <c r="N240" s="60"/>
      <c r="O240" s="59" t="str">
        <f t="shared" si="1295"/>
        <v/>
      </c>
      <c r="P240" s="60"/>
      <c r="Q240" s="59" t="str">
        <f t="shared" si="1296"/>
        <v/>
      </c>
      <c r="R240" s="60"/>
      <c r="S240" s="59" t="str">
        <f t="shared" si="1297"/>
        <v/>
      </c>
      <c r="T240" s="60"/>
      <c r="U240" s="59" t="str">
        <f t="shared" si="1298"/>
        <v/>
      </c>
      <c r="V240" s="60"/>
      <c r="W240" s="59" t="str">
        <f t="shared" si="1299"/>
        <v/>
      </c>
      <c r="X240" s="95"/>
      <c r="Y240" s="59" t="str">
        <f t="shared" si="1300"/>
        <v/>
      </c>
      <c r="Z240" s="95"/>
      <c r="AA240" s="59" t="str">
        <f t="shared" si="1301"/>
        <v/>
      </c>
      <c r="AB240" s="95">
        <f t="shared" si="1675"/>
        <v>4</v>
      </c>
      <c r="AC240" s="59">
        <f t="shared" si="1302"/>
        <v>323.12</v>
      </c>
      <c r="AD240" s="60"/>
      <c r="AE240" s="59" t="str">
        <f t="shared" si="1303"/>
        <v/>
      </c>
      <c r="AF240" s="95"/>
      <c r="AG240" s="59" t="str">
        <f t="shared" ref="AG240" si="1846">+IF(OR($F240="",AF240=""),"",$F240*AF240)</f>
        <v/>
      </c>
      <c r="AH240" s="95"/>
      <c r="AI240" s="59" t="str">
        <f t="shared" si="1305"/>
        <v/>
      </c>
      <c r="AJ240" s="60"/>
      <c r="AK240" s="59" t="str">
        <f t="shared" si="1305"/>
        <v/>
      </c>
      <c r="AL240" s="60"/>
      <c r="AM240" s="59" t="str">
        <f t="shared" ref="AM240" si="1847">+IF(OR($F240="",AL240=""),"",$F240*AL240)</f>
        <v/>
      </c>
      <c r="AN240" s="60"/>
      <c r="AO240" s="59" t="str">
        <f t="shared" ref="AO240" si="1848">+IF(OR($F240="",AN240=""),"",$F240*AN240)</f>
        <v/>
      </c>
      <c r="AP240" s="60"/>
      <c r="AQ240" s="59" t="str">
        <f t="shared" ref="AQ240" si="1849">+IF(OR($F240="",AP240=""),"",$F240*AP240)</f>
        <v/>
      </c>
      <c r="AR240" s="60"/>
      <c r="AS240" s="59" t="str">
        <f t="shared" ref="AS240" si="1850">+IF(OR($F240="",AR240=""),"",$F240*AR240)</f>
        <v/>
      </c>
      <c r="AT240" s="60"/>
      <c r="AU240" s="59" t="str">
        <f t="shared" ref="AU240" si="1851">+IF(OR($F240="",AT240=""),"",$F240*AT240)</f>
        <v/>
      </c>
      <c r="AV240" s="60"/>
      <c r="AW240" s="59" t="str">
        <f t="shared" ref="AW240" si="1852">+IF(OR($F240="",AV240=""),"",$F240*AV240)</f>
        <v/>
      </c>
      <c r="AX240" s="60"/>
      <c r="AY240" s="59" t="str">
        <f t="shared" ref="AY240" si="1853">+IF(OR($F240="",AX240=""),"",$F240*AX240)</f>
        <v/>
      </c>
      <c r="AZ240" s="60"/>
      <c r="BA240" s="59" t="str">
        <f t="shared" ref="BA240" si="1854">+IF(OR($F240="",AZ240=""),"",$F240*AZ240)</f>
        <v/>
      </c>
      <c r="BB240" s="60"/>
      <c r="BC240" s="59" t="str">
        <f t="shared" ref="BC240" si="1855">+IF(OR($F240="",BB240=""),"",$F240*BB240)</f>
        <v/>
      </c>
      <c r="BD240" s="61">
        <f t="shared" si="1315"/>
        <v>4</v>
      </c>
      <c r="BE240" s="59">
        <f t="shared" si="1316"/>
        <v>323.12</v>
      </c>
      <c r="BF240" s="61">
        <f t="shared" si="1317"/>
        <v>4</v>
      </c>
      <c r="BG240" s="59">
        <f t="shared" si="1318"/>
        <v>323.12</v>
      </c>
      <c r="BH240" s="196"/>
      <c r="BI240" s="1">
        <f t="shared" si="1319"/>
        <v>0</v>
      </c>
      <c r="BJ240" s="1">
        <f t="shared" si="1320"/>
        <v>0</v>
      </c>
      <c r="BK240" s="1">
        <f t="shared" si="1321"/>
        <v>0</v>
      </c>
      <c r="BL240" s="1">
        <f t="shared" si="1322"/>
        <v>0</v>
      </c>
      <c r="BM240" s="1">
        <f t="shared" si="1323"/>
        <v>0</v>
      </c>
      <c r="BN240" s="1">
        <f t="shared" si="1324"/>
        <v>0</v>
      </c>
      <c r="BO240" s="1">
        <f t="shared" si="1325"/>
        <v>0</v>
      </c>
      <c r="BP240" s="1">
        <f t="shared" si="1326"/>
        <v>0</v>
      </c>
      <c r="BQ240" s="1">
        <f t="shared" si="1327"/>
        <v>0</v>
      </c>
      <c r="BR240" s="1">
        <f t="shared" si="1328"/>
        <v>0</v>
      </c>
      <c r="BS240" s="1">
        <f t="shared" si="1329"/>
        <v>4</v>
      </c>
      <c r="BT240" s="1">
        <f t="shared" si="1330"/>
        <v>0</v>
      </c>
      <c r="BU240" s="1">
        <f t="shared" si="1331"/>
        <v>0</v>
      </c>
      <c r="BV240" s="1">
        <f t="shared" si="1332"/>
        <v>0</v>
      </c>
      <c r="BW240" s="1">
        <f t="shared" si="1333"/>
        <v>0</v>
      </c>
      <c r="BX240" s="1">
        <f t="shared" si="1334"/>
        <v>0</v>
      </c>
      <c r="BY240" s="1">
        <f t="shared" si="1335"/>
        <v>0</v>
      </c>
      <c r="BZ240" s="1">
        <f t="shared" si="1336"/>
        <v>0</v>
      </c>
      <c r="CA240" s="1">
        <f t="shared" si="1337"/>
        <v>0</v>
      </c>
      <c r="CB240" s="1">
        <f t="shared" si="1338"/>
        <v>0</v>
      </c>
      <c r="CC240" s="1">
        <f t="shared" si="1339"/>
        <v>0</v>
      </c>
      <c r="CD240" s="1">
        <f t="shared" si="1340"/>
        <v>0</v>
      </c>
      <c r="CE240" s="1">
        <f t="shared" si="1341"/>
        <v>0</v>
      </c>
      <c r="CF240" s="1">
        <f t="shared" si="1342"/>
        <v>0</v>
      </c>
    </row>
    <row r="241" spans="3:84" ht="67.5" outlineLevel="1">
      <c r="C241" s="27" t="s">
        <v>968</v>
      </c>
      <c r="D241" s="55">
        <v>3</v>
      </c>
      <c r="E241" s="88" t="s">
        <v>828</v>
      </c>
      <c r="F241" s="56">
        <v>717.2</v>
      </c>
      <c r="G241" s="57">
        <f t="shared" si="1291"/>
        <v>2151.6000000000004</v>
      </c>
      <c r="H241" s="28"/>
      <c r="I241" s="59" t="str">
        <f t="shared" si="1292"/>
        <v/>
      </c>
      <c r="J241" s="60"/>
      <c r="K241" s="59" t="str">
        <f t="shared" si="1293"/>
        <v/>
      </c>
      <c r="L241" s="60"/>
      <c r="M241" s="59" t="str">
        <f t="shared" si="1294"/>
        <v/>
      </c>
      <c r="N241" s="60"/>
      <c r="O241" s="59" t="str">
        <f t="shared" si="1295"/>
        <v/>
      </c>
      <c r="P241" s="60"/>
      <c r="Q241" s="59" t="str">
        <f t="shared" si="1296"/>
        <v/>
      </c>
      <c r="R241" s="60"/>
      <c r="S241" s="59" t="str">
        <f t="shared" si="1297"/>
        <v/>
      </c>
      <c r="T241" s="60"/>
      <c r="U241" s="59" t="str">
        <f t="shared" si="1298"/>
        <v/>
      </c>
      <c r="V241" s="60"/>
      <c r="W241" s="59" t="str">
        <f t="shared" si="1299"/>
        <v/>
      </c>
      <c r="X241" s="95"/>
      <c r="Y241" s="59" t="str">
        <f t="shared" si="1300"/>
        <v/>
      </c>
      <c r="Z241" s="95"/>
      <c r="AA241" s="59" t="str">
        <f t="shared" si="1301"/>
        <v/>
      </c>
      <c r="AB241" s="95">
        <f t="shared" si="1675"/>
        <v>1.5</v>
      </c>
      <c r="AC241" s="59">
        <f t="shared" si="1302"/>
        <v>1075.8000000000002</v>
      </c>
      <c r="AD241" s="60"/>
      <c r="AE241" s="59" t="str">
        <f t="shared" si="1303"/>
        <v/>
      </c>
      <c r="AF241" s="95"/>
      <c r="AG241" s="59" t="str">
        <f t="shared" ref="AG241" si="1856">+IF(OR($F241="",AF241=""),"",$F241*AF241)</f>
        <v/>
      </c>
      <c r="AH241" s="95"/>
      <c r="AI241" s="59" t="str">
        <f t="shared" si="1305"/>
        <v/>
      </c>
      <c r="AJ241" s="60"/>
      <c r="AK241" s="59" t="str">
        <f t="shared" si="1305"/>
        <v/>
      </c>
      <c r="AL241" s="60"/>
      <c r="AM241" s="59" t="str">
        <f t="shared" ref="AM241" si="1857">+IF(OR($F241="",AL241=""),"",$F241*AL241)</f>
        <v/>
      </c>
      <c r="AN241" s="60"/>
      <c r="AO241" s="59" t="str">
        <f t="shared" ref="AO241" si="1858">+IF(OR($F241="",AN241=""),"",$F241*AN241)</f>
        <v/>
      </c>
      <c r="AP241" s="60"/>
      <c r="AQ241" s="59" t="str">
        <f t="shared" ref="AQ241" si="1859">+IF(OR($F241="",AP241=""),"",$F241*AP241)</f>
        <v/>
      </c>
      <c r="AR241" s="60"/>
      <c r="AS241" s="59" t="str">
        <f t="shared" ref="AS241" si="1860">+IF(OR($F241="",AR241=""),"",$F241*AR241)</f>
        <v/>
      </c>
      <c r="AT241" s="60"/>
      <c r="AU241" s="59" t="str">
        <f t="shared" ref="AU241" si="1861">+IF(OR($F241="",AT241=""),"",$F241*AT241)</f>
        <v/>
      </c>
      <c r="AV241" s="60"/>
      <c r="AW241" s="59" t="str">
        <f t="shared" ref="AW241" si="1862">+IF(OR($F241="",AV241=""),"",$F241*AV241)</f>
        <v/>
      </c>
      <c r="AX241" s="60"/>
      <c r="AY241" s="59" t="str">
        <f t="shared" ref="AY241" si="1863">+IF(OR($F241="",AX241=""),"",$F241*AX241)</f>
        <v/>
      </c>
      <c r="AZ241" s="60"/>
      <c r="BA241" s="59" t="str">
        <f t="shared" ref="BA241" si="1864">+IF(OR($F241="",AZ241=""),"",$F241*AZ241)</f>
        <v/>
      </c>
      <c r="BB241" s="60"/>
      <c r="BC241" s="59" t="str">
        <f t="shared" ref="BC241" si="1865">+IF(OR($F241="",BB241=""),"",$F241*BB241)</f>
        <v/>
      </c>
      <c r="BD241" s="61">
        <f t="shared" si="1315"/>
        <v>1.5</v>
      </c>
      <c r="BE241" s="59">
        <f t="shared" si="1316"/>
        <v>1075.8000000000002</v>
      </c>
      <c r="BF241" s="61">
        <f t="shared" si="1317"/>
        <v>1.5</v>
      </c>
      <c r="BG241" s="59">
        <f t="shared" si="1318"/>
        <v>1075.8000000000002</v>
      </c>
      <c r="BH241" s="196"/>
      <c r="BI241" s="1">
        <f t="shared" si="1319"/>
        <v>0</v>
      </c>
      <c r="BJ241" s="1">
        <f t="shared" si="1320"/>
        <v>0</v>
      </c>
      <c r="BK241" s="1">
        <f t="shared" si="1321"/>
        <v>0</v>
      </c>
      <c r="BL241" s="1">
        <f t="shared" si="1322"/>
        <v>0</v>
      </c>
      <c r="BM241" s="1">
        <f t="shared" si="1323"/>
        <v>0</v>
      </c>
      <c r="BN241" s="1">
        <f t="shared" si="1324"/>
        <v>0</v>
      </c>
      <c r="BO241" s="1">
        <f t="shared" si="1325"/>
        <v>0</v>
      </c>
      <c r="BP241" s="1">
        <f t="shared" si="1326"/>
        <v>0</v>
      </c>
      <c r="BQ241" s="1">
        <f t="shared" si="1327"/>
        <v>0</v>
      </c>
      <c r="BR241" s="1">
        <f t="shared" si="1328"/>
        <v>0</v>
      </c>
      <c r="BS241" s="1">
        <f t="shared" si="1329"/>
        <v>1.5</v>
      </c>
      <c r="BT241" s="1">
        <f t="shared" si="1330"/>
        <v>0</v>
      </c>
      <c r="BU241" s="1">
        <f t="shared" si="1331"/>
        <v>0</v>
      </c>
      <c r="BV241" s="1">
        <f t="shared" si="1332"/>
        <v>0</v>
      </c>
      <c r="BW241" s="1">
        <f t="shared" si="1333"/>
        <v>0</v>
      </c>
      <c r="BX241" s="1">
        <f t="shared" si="1334"/>
        <v>0</v>
      </c>
      <c r="BY241" s="1">
        <f t="shared" si="1335"/>
        <v>0</v>
      </c>
      <c r="BZ241" s="1">
        <f t="shared" si="1336"/>
        <v>0</v>
      </c>
      <c r="CA241" s="1">
        <f t="shared" si="1337"/>
        <v>0</v>
      </c>
      <c r="CB241" s="1">
        <f t="shared" si="1338"/>
        <v>0</v>
      </c>
      <c r="CC241" s="1">
        <f t="shared" si="1339"/>
        <v>0</v>
      </c>
      <c r="CD241" s="1">
        <f t="shared" si="1340"/>
        <v>0</v>
      </c>
      <c r="CE241" s="1">
        <f t="shared" si="1341"/>
        <v>0</v>
      </c>
      <c r="CF241" s="1">
        <f t="shared" si="1342"/>
        <v>0</v>
      </c>
    </row>
    <row r="242" spans="3:84" ht="31.5" customHeight="1" outlineLevel="1">
      <c r="C242" s="27" t="s">
        <v>933</v>
      </c>
      <c r="D242" s="55">
        <v>3</v>
      </c>
      <c r="E242" s="88" t="s">
        <v>828</v>
      </c>
      <c r="F242" s="56">
        <v>132.55000000000001</v>
      </c>
      <c r="G242" s="57">
        <f t="shared" si="1291"/>
        <v>397.65000000000003</v>
      </c>
      <c r="H242" s="28"/>
      <c r="I242" s="59" t="str">
        <f t="shared" si="1292"/>
        <v/>
      </c>
      <c r="J242" s="60"/>
      <c r="K242" s="59" t="str">
        <f t="shared" si="1293"/>
        <v/>
      </c>
      <c r="L242" s="60"/>
      <c r="M242" s="59" t="str">
        <f t="shared" si="1294"/>
        <v/>
      </c>
      <c r="N242" s="60"/>
      <c r="O242" s="59" t="str">
        <f t="shared" si="1295"/>
        <v/>
      </c>
      <c r="P242" s="60"/>
      <c r="Q242" s="59" t="str">
        <f t="shared" si="1296"/>
        <v/>
      </c>
      <c r="R242" s="60"/>
      <c r="S242" s="59" t="str">
        <f t="shared" si="1297"/>
        <v/>
      </c>
      <c r="T242" s="60"/>
      <c r="U242" s="59" t="str">
        <f t="shared" si="1298"/>
        <v/>
      </c>
      <c r="V242" s="60"/>
      <c r="W242" s="59" t="str">
        <f t="shared" si="1299"/>
        <v/>
      </c>
      <c r="X242" s="95"/>
      <c r="Y242" s="59" t="str">
        <f t="shared" si="1300"/>
        <v/>
      </c>
      <c r="Z242" s="95"/>
      <c r="AA242" s="59" t="str">
        <f t="shared" si="1301"/>
        <v/>
      </c>
      <c r="AB242" s="95">
        <f t="shared" si="1675"/>
        <v>1.5</v>
      </c>
      <c r="AC242" s="59">
        <f t="shared" si="1302"/>
        <v>198.82500000000002</v>
      </c>
      <c r="AD242" s="60"/>
      <c r="AE242" s="59" t="str">
        <f t="shared" si="1303"/>
        <v/>
      </c>
      <c r="AF242" s="95"/>
      <c r="AG242" s="59" t="str">
        <f t="shared" ref="AG242" si="1866">+IF(OR($F242="",AF242=""),"",$F242*AF242)</f>
        <v/>
      </c>
      <c r="AH242" s="95"/>
      <c r="AI242" s="59" t="str">
        <f t="shared" si="1305"/>
        <v/>
      </c>
      <c r="AJ242" s="60"/>
      <c r="AK242" s="59" t="str">
        <f t="shared" si="1305"/>
        <v/>
      </c>
      <c r="AL242" s="60"/>
      <c r="AM242" s="59" t="str">
        <f t="shared" ref="AM242" si="1867">+IF(OR($F242="",AL242=""),"",$F242*AL242)</f>
        <v/>
      </c>
      <c r="AN242" s="60"/>
      <c r="AO242" s="59" t="str">
        <f t="shared" ref="AO242" si="1868">+IF(OR($F242="",AN242=""),"",$F242*AN242)</f>
        <v/>
      </c>
      <c r="AP242" s="60"/>
      <c r="AQ242" s="59" t="str">
        <f t="shared" ref="AQ242" si="1869">+IF(OR($F242="",AP242=""),"",$F242*AP242)</f>
        <v/>
      </c>
      <c r="AR242" s="60"/>
      <c r="AS242" s="59" t="str">
        <f t="shared" ref="AS242" si="1870">+IF(OR($F242="",AR242=""),"",$F242*AR242)</f>
        <v/>
      </c>
      <c r="AT242" s="60"/>
      <c r="AU242" s="59" t="str">
        <f t="shared" ref="AU242" si="1871">+IF(OR($F242="",AT242=""),"",$F242*AT242)</f>
        <v/>
      </c>
      <c r="AV242" s="60"/>
      <c r="AW242" s="59" t="str">
        <f t="shared" ref="AW242" si="1872">+IF(OR($F242="",AV242=""),"",$F242*AV242)</f>
        <v/>
      </c>
      <c r="AX242" s="60"/>
      <c r="AY242" s="59" t="str">
        <f t="shared" ref="AY242" si="1873">+IF(OR($F242="",AX242=""),"",$F242*AX242)</f>
        <v/>
      </c>
      <c r="AZ242" s="60"/>
      <c r="BA242" s="59" t="str">
        <f t="shared" ref="BA242" si="1874">+IF(OR($F242="",AZ242=""),"",$F242*AZ242)</f>
        <v/>
      </c>
      <c r="BB242" s="60"/>
      <c r="BC242" s="59" t="str">
        <f t="shared" ref="BC242" si="1875">+IF(OR($F242="",BB242=""),"",$F242*BB242)</f>
        <v/>
      </c>
      <c r="BD242" s="61">
        <f t="shared" si="1315"/>
        <v>1.5</v>
      </c>
      <c r="BE242" s="59">
        <f t="shared" si="1316"/>
        <v>198.82500000000002</v>
      </c>
      <c r="BF242" s="61">
        <f t="shared" si="1317"/>
        <v>1.5</v>
      </c>
      <c r="BG242" s="59">
        <f t="shared" si="1318"/>
        <v>198.82500000000002</v>
      </c>
      <c r="BH242" s="196"/>
      <c r="BI242" s="1">
        <f t="shared" si="1319"/>
        <v>0</v>
      </c>
      <c r="BJ242" s="1">
        <f t="shared" si="1320"/>
        <v>0</v>
      </c>
      <c r="BK242" s="1">
        <f t="shared" si="1321"/>
        <v>0</v>
      </c>
      <c r="BL242" s="1">
        <f t="shared" si="1322"/>
        <v>0</v>
      </c>
      <c r="BM242" s="1">
        <f t="shared" si="1323"/>
        <v>0</v>
      </c>
      <c r="BN242" s="1">
        <f t="shared" si="1324"/>
        <v>0</v>
      </c>
      <c r="BO242" s="1">
        <f t="shared" si="1325"/>
        <v>0</v>
      </c>
      <c r="BP242" s="1">
        <f t="shared" si="1326"/>
        <v>0</v>
      </c>
      <c r="BQ242" s="1">
        <f t="shared" si="1327"/>
        <v>0</v>
      </c>
      <c r="BR242" s="1">
        <f t="shared" si="1328"/>
        <v>0</v>
      </c>
      <c r="BS242" s="1">
        <f t="shared" si="1329"/>
        <v>1.5</v>
      </c>
      <c r="BT242" s="1">
        <f t="shared" si="1330"/>
        <v>0</v>
      </c>
      <c r="BU242" s="1">
        <f t="shared" si="1331"/>
        <v>0</v>
      </c>
      <c r="BV242" s="1">
        <f t="shared" si="1332"/>
        <v>0</v>
      </c>
      <c r="BW242" s="1">
        <f t="shared" si="1333"/>
        <v>0</v>
      </c>
      <c r="BX242" s="1">
        <f t="shared" si="1334"/>
        <v>0</v>
      </c>
      <c r="BY242" s="1">
        <f t="shared" si="1335"/>
        <v>0</v>
      </c>
      <c r="BZ242" s="1">
        <f t="shared" si="1336"/>
        <v>0</v>
      </c>
      <c r="CA242" s="1">
        <f t="shared" si="1337"/>
        <v>0</v>
      </c>
      <c r="CB242" s="1">
        <f t="shared" si="1338"/>
        <v>0</v>
      </c>
      <c r="CC242" s="1">
        <f t="shared" si="1339"/>
        <v>0</v>
      </c>
      <c r="CD242" s="1">
        <f t="shared" si="1340"/>
        <v>0</v>
      </c>
      <c r="CE242" s="1">
        <f t="shared" si="1341"/>
        <v>0</v>
      </c>
      <c r="CF242" s="1">
        <f t="shared" si="1342"/>
        <v>0</v>
      </c>
    </row>
    <row r="243" spans="3:84" ht="67.5" outlineLevel="1">
      <c r="C243" s="27" t="s">
        <v>969</v>
      </c>
      <c r="D243" s="55">
        <v>1</v>
      </c>
      <c r="E243" s="88" t="s">
        <v>828</v>
      </c>
      <c r="F243" s="56">
        <v>667.26</v>
      </c>
      <c r="G243" s="57">
        <f t="shared" si="1199"/>
        <v>667.26</v>
      </c>
      <c r="H243" s="28"/>
      <c r="I243" s="59" t="str">
        <f t="shared" ref="I243:I270" si="1876">+IF(OR($F243="",H243=""),"",$F243*H243)</f>
        <v/>
      </c>
      <c r="J243" s="60"/>
      <c r="K243" s="59" t="str">
        <f t="shared" ref="K243:K270" si="1877">+IF(OR($F243="",J243=""),"",$F243*J243)</f>
        <v/>
      </c>
      <c r="L243" s="60"/>
      <c r="M243" s="59" t="str">
        <f t="shared" ref="M243:M270" si="1878">+IF(OR($F243="",L243=""),"",$F243*L243)</f>
        <v/>
      </c>
      <c r="N243" s="60"/>
      <c r="O243" s="59" t="str">
        <f t="shared" ref="O243:O270" si="1879">+IF(OR($F243="",N243=""),"",$F243*N243)</f>
        <v/>
      </c>
      <c r="P243" s="60"/>
      <c r="Q243" s="59" t="str">
        <f t="shared" ref="Q243:Q270" si="1880">+IF(OR($F243="",P243=""),"",$F243*P243)</f>
        <v/>
      </c>
      <c r="R243" s="60"/>
      <c r="S243" s="59" t="str">
        <f t="shared" ref="S243:S270" si="1881">+IF(OR($F243="",R243=""),"",$F243*R243)</f>
        <v/>
      </c>
      <c r="T243" s="60"/>
      <c r="U243" s="59" t="str">
        <f t="shared" ref="U243:U270" si="1882">+IF(OR($F243="",T243=""),"",$F243*T243)</f>
        <v/>
      </c>
      <c r="V243" s="60"/>
      <c r="W243" s="59" t="str">
        <f t="shared" ref="W243:W270" si="1883">+IF(OR($F243="",V243=""),"",$F243*V243)</f>
        <v/>
      </c>
      <c r="X243" s="95"/>
      <c r="Y243" s="59" t="str">
        <f t="shared" ref="Y243:Y270" si="1884">+IF(OR($F243="",X243=""),"",$F243*X243)</f>
        <v/>
      </c>
      <c r="Z243" s="95"/>
      <c r="AA243" s="59" t="str">
        <f t="shared" ref="AA243:AA270" si="1885">+IF(OR($F243="",Z243=""),"",$F243*Z243)</f>
        <v/>
      </c>
      <c r="AB243" s="95">
        <f t="shared" si="1675"/>
        <v>0.5</v>
      </c>
      <c r="AC243" s="59">
        <f t="shared" ref="AC243:AC270" si="1886">+IF(OR($F243="",AB243=""),"",$F243*AB243)</f>
        <v>333.63</v>
      </c>
      <c r="AD243" s="60"/>
      <c r="AE243" s="59" t="str">
        <f t="shared" ref="AE243:AE270" si="1887">+IF(OR($F243="",AD243=""),"",$F243*AD243)</f>
        <v/>
      </c>
      <c r="AF243" s="95"/>
      <c r="AG243" s="59" t="str">
        <f t="shared" ref="AG243" si="1888">+IF(OR($F243="",AF243=""),"",$F243*AF243)</f>
        <v/>
      </c>
      <c r="AH243" s="95"/>
      <c r="AI243" s="59" t="str">
        <f t="shared" ref="AI243:AK270" si="1889">+IF(OR($F243="",AH243=""),"",$F243*AH243)</f>
        <v/>
      </c>
      <c r="AJ243" s="60"/>
      <c r="AK243" s="59" t="str">
        <f t="shared" si="1889"/>
        <v/>
      </c>
      <c r="AL243" s="60"/>
      <c r="AM243" s="59" t="str">
        <f t="shared" ref="AM243" si="1890">+IF(OR($F243="",AL243=""),"",$F243*AL243)</f>
        <v/>
      </c>
      <c r="AN243" s="60"/>
      <c r="AO243" s="59" t="str">
        <f t="shared" ref="AO243" si="1891">+IF(OR($F243="",AN243=""),"",$F243*AN243)</f>
        <v/>
      </c>
      <c r="AP243" s="60"/>
      <c r="AQ243" s="59" t="str">
        <f t="shared" ref="AQ243" si="1892">+IF(OR($F243="",AP243=""),"",$F243*AP243)</f>
        <v/>
      </c>
      <c r="AR243" s="60"/>
      <c r="AS243" s="59" t="str">
        <f t="shared" ref="AS243" si="1893">+IF(OR($F243="",AR243=""),"",$F243*AR243)</f>
        <v/>
      </c>
      <c r="AT243" s="60"/>
      <c r="AU243" s="59" t="str">
        <f t="shared" ref="AU243" si="1894">+IF(OR($F243="",AT243=""),"",$F243*AT243)</f>
        <v/>
      </c>
      <c r="AV243" s="60"/>
      <c r="AW243" s="59" t="str">
        <f t="shared" ref="AW243" si="1895">+IF(OR($F243="",AV243=""),"",$F243*AV243)</f>
        <v/>
      </c>
      <c r="AX243" s="60"/>
      <c r="AY243" s="59" t="str">
        <f t="shared" ref="AY243" si="1896">+IF(OR($F243="",AX243=""),"",$F243*AX243)</f>
        <v/>
      </c>
      <c r="AZ243" s="60"/>
      <c r="BA243" s="59" t="str">
        <f t="shared" ref="BA243" si="1897">+IF(OR($F243="",AZ243=""),"",$F243*AZ243)</f>
        <v/>
      </c>
      <c r="BB243" s="60"/>
      <c r="BC243" s="59" t="str">
        <f t="shared" ref="BC243" si="1898">+IF(OR($F243="",BB243=""),"",$F243*BB243)</f>
        <v/>
      </c>
      <c r="BD243" s="61">
        <f t="shared" si="1223"/>
        <v>0.5</v>
      </c>
      <c r="BE243" s="59">
        <f t="shared" ref="BE243:BE270" si="1899">+IF(OR($F243="",BD243=""),"",$F243*BD243)</f>
        <v>333.63</v>
      </c>
      <c r="BF243" s="61">
        <f t="shared" si="1225"/>
        <v>0.5</v>
      </c>
      <c r="BG243" s="59">
        <f t="shared" ref="BG243:BG270" si="1900">+IF(OR($F243="",BF243=""),"",$F243*BF243)</f>
        <v>333.63</v>
      </c>
      <c r="BH243" s="196"/>
      <c r="BI243" s="1">
        <f t="shared" si="1227"/>
        <v>0</v>
      </c>
      <c r="BJ243" s="1">
        <f t="shared" si="1228"/>
        <v>0</v>
      </c>
      <c r="BK243" s="1">
        <f t="shared" si="1229"/>
        <v>0</v>
      </c>
      <c r="BL243" s="1">
        <f t="shared" si="1230"/>
        <v>0</v>
      </c>
      <c r="BM243" s="1">
        <f t="shared" si="1231"/>
        <v>0</v>
      </c>
      <c r="BN243" s="1">
        <f t="shared" si="1232"/>
        <v>0</v>
      </c>
      <c r="BO243" s="1">
        <f t="shared" si="1233"/>
        <v>0</v>
      </c>
      <c r="BP243" s="1">
        <f t="shared" si="1234"/>
        <v>0</v>
      </c>
      <c r="BQ243" s="1">
        <f t="shared" si="1235"/>
        <v>0</v>
      </c>
      <c r="BR243" s="1">
        <f t="shared" si="1236"/>
        <v>0</v>
      </c>
      <c r="BS243" s="1">
        <f t="shared" si="1237"/>
        <v>0.5</v>
      </c>
      <c r="BT243" s="1">
        <f t="shared" si="1238"/>
        <v>0</v>
      </c>
      <c r="BU243" s="1">
        <f t="shared" si="1239"/>
        <v>0</v>
      </c>
      <c r="BV243" s="1">
        <f t="shared" si="1240"/>
        <v>0</v>
      </c>
      <c r="BW243" s="1">
        <f t="shared" si="1241"/>
        <v>0</v>
      </c>
      <c r="BX243" s="1">
        <f t="shared" si="1242"/>
        <v>0</v>
      </c>
      <c r="BY243" s="1">
        <f t="shared" si="1243"/>
        <v>0</v>
      </c>
      <c r="BZ243" s="1">
        <f t="shared" si="1244"/>
        <v>0</v>
      </c>
      <c r="CA243" s="1">
        <f t="shared" si="1245"/>
        <v>0</v>
      </c>
      <c r="CB243" s="1">
        <f t="shared" si="1246"/>
        <v>0</v>
      </c>
      <c r="CC243" s="1">
        <f t="shared" si="1247"/>
        <v>0</v>
      </c>
      <c r="CD243" s="1">
        <f t="shared" si="1248"/>
        <v>0</v>
      </c>
      <c r="CE243" s="1">
        <f t="shared" si="1249"/>
        <v>0</v>
      </c>
      <c r="CF243" s="1">
        <f t="shared" si="1250"/>
        <v>0</v>
      </c>
    </row>
    <row r="244" spans="3:84" ht="31.5" customHeight="1" outlineLevel="1">
      <c r="C244" s="27" t="s">
        <v>934</v>
      </c>
      <c r="D244" s="55">
        <v>1</v>
      </c>
      <c r="E244" s="88" t="s">
        <v>828</v>
      </c>
      <c r="F244" s="56">
        <v>119.3</v>
      </c>
      <c r="G244" s="57">
        <f t="shared" si="1199"/>
        <v>119.3</v>
      </c>
      <c r="H244" s="28"/>
      <c r="I244" s="59" t="str">
        <f t="shared" si="1876"/>
        <v/>
      </c>
      <c r="J244" s="60"/>
      <c r="K244" s="59" t="str">
        <f t="shared" si="1877"/>
        <v/>
      </c>
      <c r="L244" s="60"/>
      <c r="M244" s="59" t="str">
        <f t="shared" si="1878"/>
        <v/>
      </c>
      <c r="N244" s="60"/>
      <c r="O244" s="59" t="str">
        <f t="shared" si="1879"/>
        <v/>
      </c>
      <c r="P244" s="60"/>
      <c r="Q244" s="59" t="str">
        <f t="shared" si="1880"/>
        <v/>
      </c>
      <c r="R244" s="60"/>
      <c r="S244" s="59" t="str">
        <f t="shared" si="1881"/>
        <v/>
      </c>
      <c r="T244" s="60"/>
      <c r="U244" s="59" t="str">
        <f t="shared" si="1882"/>
        <v/>
      </c>
      <c r="V244" s="60"/>
      <c r="W244" s="59" t="str">
        <f t="shared" si="1883"/>
        <v/>
      </c>
      <c r="X244" s="95"/>
      <c r="Y244" s="59" t="str">
        <f t="shared" si="1884"/>
        <v/>
      </c>
      <c r="Z244" s="95"/>
      <c r="AA244" s="59" t="str">
        <f t="shared" si="1885"/>
        <v/>
      </c>
      <c r="AB244" s="95">
        <f t="shared" si="1675"/>
        <v>0.5</v>
      </c>
      <c r="AC244" s="59">
        <f t="shared" si="1886"/>
        <v>59.65</v>
      </c>
      <c r="AD244" s="60"/>
      <c r="AE244" s="59" t="str">
        <f t="shared" si="1887"/>
        <v/>
      </c>
      <c r="AF244" s="95"/>
      <c r="AG244" s="59" t="str">
        <f t="shared" ref="AG244" si="1901">+IF(OR($F244="",AF244=""),"",$F244*AF244)</f>
        <v/>
      </c>
      <c r="AH244" s="95"/>
      <c r="AI244" s="59" t="str">
        <f t="shared" si="1889"/>
        <v/>
      </c>
      <c r="AJ244" s="60"/>
      <c r="AK244" s="59" t="str">
        <f t="shared" si="1889"/>
        <v/>
      </c>
      <c r="AL244" s="60"/>
      <c r="AM244" s="59" t="str">
        <f t="shared" ref="AM244" si="1902">+IF(OR($F244="",AL244=""),"",$F244*AL244)</f>
        <v/>
      </c>
      <c r="AN244" s="60"/>
      <c r="AO244" s="59" t="str">
        <f t="shared" ref="AO244" si="1903">+IF(OR($F244="",AN244=""),"",$F244*AN244)</f>
        <v/>
      </c>
      <c r="AP244" s="60"/>
      <c r="AQ244" s="59" t="str">
        <f t="shared" ref="AQ244" si="1904">+IF(OR($F244="",AP244=""),"",$F244*AP244)</f>
        <v/>
      </c>
      <c r="AR244" s="60"/>
      <c r="AS244" s="59" t="str">
        <f t="shared" ref="AS244" si="1905">+IF(OR($F244="",AR244=""),"",$F244*AR244)</f>
        <v/>
      </c>
      <c r="AT244" s="60"/>
      <c r="AU244" s="59" t="str">
        <f t="shared" ref="AU244" si="1906">+IF(OR($F244="",AT244=""),"",$F244*AT244)</f>
        <v/>
      </c>
      <c r="AV244" s="60"/>
      <c r="AW244" s="59" t="str">
        <f t="shared" ref="AW244" si="1907">+IF(OR($F244="",AV244=""),"",$F244*AV244)</f>
        <v/>
      </c>
      <c r="AX244" s="60"/>
      <c r="AY244" s="59" t="str">
        <f t="shared" ref="AY244" si="1908">+IF(OR($F244="",AX244=""),"",$F244*AX244)</f>
        <v/>
      </c>
      <c r="AZ244" s="60"/>
      <c r="BA244" s="59" t="str">
        <f t="shared" ref="BA244" si="1909">+IF(OR($F244="",AZ244=""),"",$F244*AZ244)</f>
        <v/>
      </c>
      <c r="BB244" s="60"/>
      <c r="BC244" s="59" t="str">
        <f t="shared" ref="BC244" si="1910">+IF(OR($F244="",BB244=""),"",$F244*BB244)</f>
        <v/>
      </c>
      <c r="BD244" s="61">
        <f t="shared" si="1223"/>
        <v>0.5</v>
      </c>
      <c r="BE244" s="59">
        <f t="shared" si="1899"/>
        <v>59.65</v>
      </c>
      <c r="BF244" s="61">
        <f t="shared" si="1225"/>
        <v>0.5</v>
      </c>
      <c r="BG244" s="59">
        <f t="shared" si="1900"/>
        <v>59.65</v>
      </c>
      <c r="BH244" s="196"/>
      <c r="BI244" s="1">
        <f t="shared" si="1227"/>
        <v>0</v>
      </c>
      <c r="BJ244" s="1">
        <f t="shared" si="1228"/>
        <v>0</v>
      </c>
      <c r="BK244" s="1">
        <f t="shared" si="1229"/>
        <v>0</v>
      </c>
      <c r="BL244" s="1">
        <f t="shared" si="1230"/>
        <v>0</v>
      </c>
      <c r="BM244" s="1">
        <f t="shared" si="1231"/>
        <v>0</v>
      </c>
      <c r="BN244" s="1">
        <f t="shared" si="1232"/>
        <v>0</v>
      </c>
      <c r="BO244" s="1">
        <f t="shared" si="1233"/>
        <v>0</v>
      </c>
      <c r="BP244" s="1">
        <f t="shared" si="1234"/>
        <v>0</v>
      </c>
      <c r="BQ244" s="1">
        <f t="shared" si="1235"/>
        <v>0</v>
      </c>
      <c r="BR244" s="1">
        <f t="shared" si="1236"/>
        <v>0</v>
      </c>
      <c r="BS244" s="1">
        <f t="shared" si="1237"/>
        <v>0.5</v>
      </c>
      <c r="BT244" s="1">
        <f t="shared" si="1238"/>
        <v>0</v>
      </c>
      <c r="BU244" s="1">
        <f t="shared" si="1239"/>
        <v>0</v>
      </c>
      <c r="BV244" s="1">
        <f t="shared" si="1240"/>
        <v>0</v>
      </c>
      <c r="BW244" s="1">
        <f t="shared" si="1241"/>
        <v>0</v>
      </c>
      <c r="BX244" s="1">
        <f t="shared" si="1242"/>
        <v>0</v>
      </c>
      <c r="BY244" s="1">
        <f t="shared" si="1243"/>
        <v>0</v>
      </c>
      <c r="BZ244" s="1">
        <f t="shared" si="1244"/>
        <v>0</v>
      </c>
      <c r="CA244" s="1">
        <f t="shared" si="1245"/>
        <v>0</v>
      </c>
      <c r="CB244" s="1">
        <f t="shared" si="1246"/>
        <v>0</v>
      </c>
      <c r="CC244" s="1">
        <f t="shared" si="1247"/>
        <v>0</v>
      </c>
      <c r="CD244" s="1">
        <f t="shared" si="1248"/>
        <v>0</v>
      </c>
      <c r="CE244" s="1">
        <f t="shared" si="1249"/>
        <v>0</v>
      </c>
      <c r="CF244" s="1">
        <f t="shared" si="1250"/>
        <v>0</v>
      </c>
    </row>
    <row r="245" spans="3:84" ht="22.5" outlineLevel="1">
      <c r="C245" s="27" t="s">
        <v>966</v>
      </c>
      <c r="D245" s="55">
        <v>10.7</v>
      </c>
      <c r="E245" s="88" t="s">
        <v>874</v>
      </c>
      <c r="F245" s="56">
        <v>99</v>
      </c>
      <c r="G245" s="57">
        <f t="shared" si="1199"/>
        <v>1059.3</v>
      </c>
      <c r="H245" s="28"/>
      <c r="I245" s="59" t="str">
        <f t="shared" si="1876"/>
        <v/>
      </c>
      <c r="J245" s="60"/>
      <c r="K245" s="59" t="str">
        <f t="shared" si="1877"/>
        <v/>
      </c>
      <c r="L245" s="60"/>
      <c r="M245" s="59" t="str">
        <f t="shared" si="1878"/>
        <v/>
      </c>
      <c r="N245" s="60"/>
      <c r="O245" s="59" t="str">
        <f t="shared" si="1879"/>
        <v/>
      </c>
      <c r="P245" s="60"/>
      <c r="Q245" s="59" t="str">
        <f t="shared" si="1880"/>
        <v/>
      </c>
      <c r="R245" s="60"/>
      <c r="S245" s="59" t="str">
        <f t="shared" si="1881"/>
        <v/>
      </c>
      <c r="T245" s="60"/>
      <c r="U245" s="59" t="str">
        <f t="shared" si="1882"/>
        <v/>
      </c>
      <c r="V245" s="60"/>
      <c r="W245" s="59" t="str">
        <f t="shared" si="1883"/>
        <v/>
      </c>
      <c r="X245" s="95"/>
      <c r="Y245" s="59" t="str">
        <f t="shared" si="1884"/>
        <v/>
      </c>
      <c r="Z245" s="95"/>
      <c r="AA245" s="59" t="str">
        <f t="shared" si="1885"/>
        <v/>
      </c>
      <c r="AB245" s="95">
        <f t="shared" si="1675"/>
        <v>5.35</v>
      </c>
      <c r="AC245" s="59">
        <f t="shared" si="1886"/>
        <v>529.65</v>
      </c>
      <c r="AD245" s="60"/>
      <c r="AE245" s="59" t="str">
        <f t="shared" si="1887"/>
        <v/>
      </c>
      <c r="AF245" s="95"/>
      <c r="AG245" s="59" t="str">
        <f t="shared" ref="AG245" si="1911">+IF(OR($F245="",AF245=""),"",$F245*AF245)</f>
        <v/>
      </c>
      <c r="AH245" s="95"/>
      <c r="AI245" s="59" t="str">
        <f t="shared" si="1889"/>
        <v/>
      </c>
      <c r="AJ245" s="60"/>
      <c r="AK245" s="59" t="str">
        <f t="shared" si="1889"/>
        <v/>
      </c>
      <c r="AL245" s="60"/>
      <c r="AM245" s="59" t="str">
        <f t="shared" ref="AM245" si="1912">+IF(OR($F245="",AL245=""),"",$F245*AL245)</f>
        <v/>
      </c>
      <c r="AN245" s="60"/>
      <c r="AO245" s="59" t="str">
        <f t="shared" ref="AO245" si="1913">+IF(OR($F245="",AN245=""),"",$F245*AN245)</f>
        <v/>
      </c>
      <c r="AP245" s="60"/>
      <c r="AQ245" s="59" t="str">
        <f t="shared" ref="AQ245" si="1914">+IF(OR($F245="",AP245=""),"",$F245*AP245)</f>
        <v/>
      </c>
      <c r="AR245" s="60"/>
      <c r="AS245" s="59" t="str">
        <f t="shared" ref="AS245" si="1915">+IF(OR($F245="",AR245=""),"",$F245*AR245)</f>
        <v/>
      </c>
      <c r="AT245" s="60"/>
      <c r="AU245" s="59" t="str">
        <f t="shared" ref="AU245" si="1916">+IF(OR($F245="",AT245=""),"",$F245*AT245)</f>
        <v/>
      </c>
      <c r="AV245" s="60"/>
      <c r="AW245" s="59" t="str">
        <f t="shared" ref="AW245" si="1917">+IF(OR($F245="",AV245=""),"",$F245*AV245)</f>
        <v/>
      </c>
      <c r="AX245" s="60"/>
      <c r="AY245" s="59" t="str">
        <f t="shared" ref="AY245" si="1918">+IF(OR($F245="",AX245=""),"",$F245*AX245)</f>
        <v/>
      </c>
      <c r="AZ245" s="60"/>
      <c r="BA245" s="59" t="str">
        <f t="shared" ref="BA245" si="1919">+IF(OR($F245="",AZ245=""),"",$F245*AZ245)</f>
        <v/>
      </c>
      <c r="BB245" s="60"/>
      <c r="BC245" s="59" t="str">
        <f t="shared" ref="BC245" si="1920">+IF(OR($F245="",BB245=""),"",$F245*BB245)</f>
        <v/>
      </c>
      <c r="BD245" s="61">
        <f t="shared" si="1223"/>
        <v>5.35</v>
      </c>
      <c r="BE245" s="59">
        <f t="shared" si="1899"/>
        <v>529.65</v>
      </c>
      <c r="BF245" s="61">
        <f t="shared" si="1225"/>
        <v>5.35</v>
      </c>
      <c r="BG245" s="59">
        <f t="shared" si="1900"/>
        <v>529.65</v>
      </c>
      <c r="BH245" s="196"/>
      <c r="BI245" s="1">
        <f t="shared" si="1227"/>
        <v>0</v>
      </c>
      <c r="BJ245" s="1">
        <f t="shared" si="1228"/>
        <v>0</v>
      </c>
      <c r="BK245" s="1">
        <f t="shared" si="1229"/>
        <v>0</v>
      </c>
      <c r="BL245" s="1">
        <f t="shared" si="1230"/>
        <v>0</v>
      </c>
      <c r="BM245" s="1">
        <f t="shared" si="1231"/>
        <v>0</v>
      </c>
      <c r="BN245" s="1">
        <f t="shared" si="1232"/>
        <v>0</v>
      </c>
      <c r="BO245" s="1">
        <f t="shared" si="1233"/>
        <v>0</v>
      </c>
      <c r="BP245" s="1">
        <f t="shared" si="1234"/>
        <v>0</v>
      </c>
      <c r="BQ245" s="1">
        <f t="shared" si="1235"/>
        <v>0</v>
      </c>
      <c r="BR245" s="1">
        <f t="shared" si="1236"/>
        <v>0</v>
      </c>
      <c r="BS245" s="1">
        <f t="shared" si="1237"/>
        <v>5.35</v>
      </c>
      <c r="BT245" s="1">
        <f t="shared" si="1238"/>
        <v>0</v>
      </c>
      <c r="BU245" s="1">
        <f t="shared" si="1239"/>
        <v>0</v>
      </c>
      <c r="BV245" s="1">
        <f t="shared" si="1240"/>
        <v>0</v>
      </c>
      <c r="BW245" s="1">
        <f t="shared" si="1241"/>
        <v>0</v>
      </c>
      <c r="BX245" s="1">
        <f t="shared" si="1242"/>
        <v>0</v>
      </c>
      <c r="BY245" s="1">
        <f t="shared" si="1243"/>
        <v>0</v>
      </c>
      <c r="BZ245" s="1">
        <f t="shared" si="1244"/>
        <v>0</v>
      </c>
      <c r="CA245" s="1">
        <f t="shared" si="1245"/>
        <v>0</v>
      </c>
      <c r="CB245" s="1">
        <f t="shared" si="1246"/>
        <v>0</v>
      </c>
      <c r="CC245" s="1">
        <f t="shared" si="1247"/>
        <v>0</v>
      </c>
      <c r="CD245" s="1">
        <f t="shared" si="1248"/>
        <v>0</v>
      </c>
      <c r="CE245" s="1">
        <f t="shared" si="1249"/>
        <v>0</v>
      </c>
      <c r="CF245" s="1">
        <f t="shared" si="1250"/>
        <v>0</v>
      </c>
    </row>
    <row r="246" spans="3:84" ht="31.5" customHeight="1" outlineLevel="1">
      <c r="C246" s="27" t="s">
        <v>935</v>
      </c>
      <c r="D246" s="55">
        <v>1</v>
      </c>
      <c r="E246" s="88" t="s">
        <v>828</v>
      </c>
      <c r="F246" s="56">
        <v>412.05</v>
      </c>
      <c r="G246" s="57">
        <f t="shared" si="1199"/>
        <v>412.05</v>
      </c>
      <c r="H246" s="28"/>
      <c r="I246" s="59" t="str">
        <f t="shared" si="1876"/>
        <v/>
      </c>
      <c r="J246" s="60"/>
      <c r="K246" s="59" t="str">
        <f t="shared" si="1877"/>
        <v/>
      </c>
      <c r="L246" s="60"/>
      <c r="M246" s="59" t="str">
        <f t="shared" si="1878"/>
        <v/>
      </c>
      <c r="N246" s="60"/>
      <c r="O246" s="59" t="str">
        <f t="shared" si="1879"/>
        <v/>
      </c>
      <c r="P246" s="60"/>
      <c r="Q246" s="59" t="str">
        <f t="shared" si="1880"/>
        <v/>
      </c>
      <c r="R246" s="60"/>
      <c r="S246" s="59" t="str">
        <f t="shared" si="1881"/>
        <v/>
      </c>
      <c r="T246" s="60"/>
      <c r="U246" s="59" t="str">
        <f t="shared" si="1882"/>
        <v/>
      </c>
      <c r="V246" s="60"/>
      <c r="W246" s="59" t="str">
        <f t="shared" si="1883"/>
        <v/>
      </c>
      <c r="X246" s="95"/>
      <c r="Y246" s="59" t="str">
        <f t="shared" si="1884"/>
        <v/>
      </c>
      <c r="Z246" s="95"/>
      <c r="AA246" s="59" t="str">
        <f t="shared" si="1885"/>
        <v/>
      </c>
      <c r="AB246" s="95">
        <f t="shared" si="1675"/>
        <v>0.5</v>
      </c>
      <c r="AC246" s="59">
        <f t="shared" si="1886"/>
        <v>206.02500000000001</v>
      </c>
      <c r="AD246" s="60"/>
      <c r="AE246" s="59" t="str">
        <f t="shared" si="1887"/>
        <v/>
      </c>
      <c r="AF246" s="95"/>
      <c r="AG246" s="59" t="str">
        <f t="shared" ref="AG246" si="1921">+IF(OR($F246="",AF246=""),"",$F246*AF246)</f>
        <v/>
      </c>
      <c r="AH246" s="95"/>
      <c r="AI246" s="59" t="str">
        <f t="shared" si="1889"/>
        <v/>
      </c>
      <c r="AJ246" s="60"/>
      <c r="AK246" s="59" t="str">
        <f t="shared" si="1889"/>
        <v/>
      </c>
      <c r="AL246" s="60"/>
      <c r="AM246" s="59" t="str">
        <f t="shared" ref="AM246" si="1922">+IF(OR($F246="",AL246=""),"",$F246*AL246)</f>
        <v/>
      </c>
      <c r="AN246" s="60"/>
      <c r="AO246" s="59" t="str">
        <f t="shared" ref="AO246" si="1923">+IF(OR($F246="",AN246=""),"",$F246*AN246)</f>
        <v/>
      </c>
      <c r="AP246" s="60"/>
      <c r="AQ246" s="59" t="str">
        <f t="shared" ref="AQ246" si="1924">+IF(OR($F246="",AP246=""),"",$F246*AP246)</f>
        <v/>
      </c>
      <c r="AR246" s="60"/>
      <c r="AS246" s="59" t="str">
        <f t="shared" ref="AS246" si="1925">+IF(OR($F246="",AR246=""),"",$F246*AR246)</f>
        <v/>
      </c>
      <c r="AT246" s="60"/>
      <c r="AU246" s="59" t="str">
        <f t="shared" ref="AU246" si="1926">+IF(OR($F246="",AT246=""),"",$F246*AT246)</f>
        <v/>
      </c>
      <c r="AV246" s="60"/>
      <c r="AW246" s="59" t="str">
        <f t="shared" ref="AW246" si="1927">+IF(OR($F246="",AV246=""),"",$F246*AV246)</f>
        <v/>
      </c>
      <c r="AX246" s="60"/>
      <c r="AY246" s="59" t="str">
        <f t="shared" ref="AY246" si="1928">+IF(OR($F246="",AX246=""),"",$F246*AX246)</f>
        <v/>
      </c>
      <c r="AZ246" s="60"/>
      <c r="BA246" s="59" t="str">
        <f t="shared" ref="BA246" si="1929">+IF(OR($F246="",AZ246=""),"",$F246*AZ246)</f>
        <v/>
      </c>
      <c r="BB246" s="60"/>
      <c r="BC246" s="59" t="str">
        <f t="shared" ref="BC246" si="1930">+IF(OR($F246="",BB246=""),"",$F246*BB246)</f>
        <v/>
      </c>
      <c r="BD246" s="61">
        <f t="shared" si="1223"/>
        <v>0.5</v>
      </c>
      <c r="BE246" s="59">
        <f t="shared" si="1899"/>
        <v>206.02500000000001</v>
      </c>
      <c r="BF246" s="61">
        <f t="shared" si="1225"/>
        <v>0.5</v>
      </c>
      <c r="BG246" s="59">
        <f t="shared" si="1900"/>
        <v>206.02500000000001</v>
      </c>
      <c r="BH246" s="196"/>
      <c r="BI246" s="1">
        <f t="shared" si="1227"/>
        <v>0</v>
      </c>
      <c r="BJ246" s="1">
        <f t="shared" si="1228"/>
        <v>0</v>
      </c>
      <c r="BK246" s="1">
        <f t="shared" si="1229"/>
        <v>0</v>
      </c>
      <c r="BL246" s="1">
        <f t="shared" si="1230"/>
        <v>0</v>
      </c>
      <c r="BM246" s="1">
        <f t="shared" si="1231"/>
        <v>0</v>
      </c>
      <c r="BN246" s="1">
        <f t="shared" si="1232"/>
        <v>0</v>
      </c>
      <c r="BO246" s="1">
        <f t="shared" si="1233"/>
        <v>0</v>
      </c>
      <c r="BP246" s="1">
        <f t="shared" si="1234"/>
        <v>0</v>
      </c>
      <c r="BQ246" s="1">
        <f t="shared" si="1235"/>
        <v>0</v>
      </c>
      <c r="BR246" s="1">
        <f t="shared" si="1236"/>
        <v>0</v>
      </c>
      <c r="BS246" s="1">
        <f t="shared" si="1237"/>
        <v>0.5</v>
      </c>
      <c r="BT246" s="1">
        <f t="shared" si="1238"/>
        <v>0</v>
      </c>
      <c r="BU246" s="1">
        <f t="shared" si="1239"/>
        <v>0</v>
      </c>
      <c r="BV246" s="1">
        <f t="shared" si="1240"/>
        <v>0</v>
      </c>
      <c r="BW246" s="1">
        <f t="shared" si="1241"/>
        <v>0</v>
      </c>
      <c r="BX246" s="1">
        <f t="shared" si="1242"/>
        <v>0</v>
      </c>
      <c r="BY246" s="1">
        <f t="shared" si="1243"/>
        <v>0</v>
      </c>
      <c r="BZ246" s="1">
        <f t="shared" si="1244"/>
        <v>0</v>
      </c>
      <c r="CA246" s="1">
        <f t="shared" si="1245"/>
        <v>0</v>
      </c>
      <c r="CB246" s="1">
        <f t="shared" si="1246"/>
        <v>0</v>
      </c>
      <c r="CC246" s="1">
        <f t="shared" si="1247"/>
        <v>0</v>
      </c>
      <c r="CD246" s="1">
        <f t="shared" si="1248"/>
        <v>0</v>
      </c>
      <c r="CE246" s="1">
        <f t="shared" si="1249"/>
        <v>0</v>
      </c>
      <c r="CF246" s="1">
        <f t="shared" si="1250"/>
        <v>0</v>
      </c>
    </row>
    <row r="247" spans="3:84" ht="31.5" customHeight="1" outlineLevel="1">
      <c r="C247" s="27" t="s">
        <v>927</v>
      </c>
      <c r="D247" s="55">
        <v>1</v>
      </c>
      <c r="E247" s="88" t="s">
        <v>828</v>
      </c>
      <c r="F247" s="56">
        <v>32.47</v>
      </c>
      <c r="G247" s="57">
        <f t="shared" si="1199"/>
        <v>32.47</v>
      </c>
      <c r="H247" s="28"/>
      <c r="I247" s="59" t="str">
        <f t="shared" si="1876"/>
        <v/>
      </c>
      <c r="J247" s="60"/>
      <c r="K247" s="59" t="str">
        <f t="shared" si="1877"/>
        <v/>
      </c>
      <c r="L247" s="60"/>
      <c r="M247" s="59" t="str">
        <f t="shared" si="1878"/>
        <v/>
      </c>
      <c r="N247" s="60"/>
      <c r="O247" s="59" t="str">
        <f t="shared" si="1879"/>
        <v/>
      </c>
      <c r="P247" s="60"/>
      <c r="Q247" s="59" t="str">
        <f t="shared" si="1880"/>
        <v/>
      </c>
      <c r="R247" s="60"/>
      <c r="S247" s="59" t="str">
        <f t="shared" si="1881"/>
        <v/>
      </c>
      <c r="T247" s="60"/>
      <c r="U247" s="59" t="str">
        <f t="shared" si="1882"/>
        <v/>
      </c>
      <c r="V247" s="60"/>
      <c r="W247" s="59" t="str">
        <f t="shared" si="1883"/>
        <v/>
      </c>
      <c r="X247" s="95"/>
      <c r="Y247" s="59" t="str">
        <f t="shared" si="1884"/>
        <v/>
      </c>
      <c r="Z247" s="95"/>
      <c r="AA247" s="59" t="str">
        <f t="shared" si="1885"/>
        <v/>
      </c>
      <c r="AB247" s="95">
        <f t="shared" si="1675"/>
        <v>0.5</v>
      </c>
      <c r="AC247" s="59">
        <f t="shared" si="1886"/>
        <v>16.234999999999999</v>
      </c>
      <c r="AD247" s="60"/>
      <c r="AE247" s="59" t="str">
        <f t="shared" si="1887"/>
        <v/>
      </c>
      <c r="AF247" s="95"/>
      <c r="AG247" s="59" t="str">
        <f t="shared" ref="AG247" si="1931">+IF(OR($F247="",AF247=""),"",$F247*AF247)</f>
        <v/>
      </c>
      <c r="AH247" s="95"/>
      <c r="AI247" s="59" t="str">
        <f t="shared" si="1889"/>
        <v/>
      </c>
      <c r="AJ247" s="60"/>
      <c r="AK247" s="59" t="str">
        <f t="shared" si="1889"/>
        <v/>
      </c>
      <c r="AL247" s="60"/>
      <c r="AM247" s="59" t="str">
        <f t="shared" ref="AM247" si="1932">+IF(OR($F247="",AL247=""),"",$F247*AL247)</f>
        <v/>
      </c>
      <c r="AN247" s="60"/>
      <c r="AO247" s="59" t="str">
        <f t="shared" ref="AO247" si="1933">+IF(OR($F247="",AN247=""),"",$F247*AN247)</f>
        <v/>
      </c>
      <c r="AP247" s="60"/>
      <c r="AQ247" s="59" t="str">
        <f t="shared" ref="AQ247" si="1934">+IF(OR($F247="",AP247=""),"",$F247*AP247)</f>
        <v/>
      </c>
      <c r="AR247" s="60"/>
      <c r="AS247" s="59" t="str">
        <f t="shared" ref="AS247" si="1935">+IF(OR($F247="",AR247=""),"",$F247*AR247)</f>
        <v/>
      </c>
      <c r="AT247" s="60"/>
      <c r="AU247" s="59" t="str">
        <f t="shared" ref="AU247" si="1936">+IF(OR($F247="",AT247=""),"",$F247*AT247)</f>
        <v/>
      </c>
      <c r="AV247" s="60"/>
      <c r="AW247" s="59" t="str">
        <f t="shared" ref="AW247" si="1937">+IF(OR($F247="",AV247=""),"",$F247*AV247)</f>
        <v/>
      </c>
      <c r="AX247" s="60"/>
      <c r="AY247" s="59" t="str">
        <f t="shared" ref="AY247" si="1938">+IF(OR($F247="",AX247=""),"",$F247*AX247)</f>
        <v/>
      </c>
      <c r="AZ247" s="60"/>
      <c r="BA247" s="59" t="str">
        <f t="shared" ref="BA247" si="1939">+IF(OR($F247="",AZ247=""),"",$F247*AZ247)</f>
        <v/>
      </c>
      <c r="BB247" s="60"/>
      <c r="BC247" s="59" t="str">
        <f t="shared" ref="BC247" si="1940">+IF(OR($F247="",BB247=""),"",$F247*BB247)</f>
        <v/>
      </c>
      <c r="BD247" s="61">
        <f t="shared" si="1223"/>
        <v>0.5</v>
      </c>
      <c r="BE247" s="59">
        <f t="shared" si="1899"/>
        <v>16.234999999999999</v>
      </c>
      <c r="BF247" s="61">
        <f t="shared" si="1225"/>
        <v>0.5</v>
      </c>
      <c r="BG247" s="59">
        <f t="shared" si="1900"/>
        <v>16.234999999999999</v>
      </c>
      <c r="BH247" s="196"/>
      <c r="BI247" s="1">
        <f t="shared" si="1227"/>
        <v>0</v>
      </c>
      <c r="BJ247" s="1">
        <f t="shared" si="1228"/>
        <v>0</v>
      </c>
      <c r="BK247" s="1">
        <f t="shared" si="1229"/>
        <v>0</v>
      </c>
      <c r="BL247" s="1">
        <f t="shared" si="1230"/>
        <v>0</v>
      </c>
      <c r="BM247" s="1">
        <f t="shared" si="1231"/>
        <v>0</v>
      </c>
      <c r="BN247" s="1">
        <f t="shared" si="1232"/>
        <v>0</v>
      </c>
      <c r="BO247" s="1">
        <f t="shared" si="1233"/>
        <v>0</v>
      </c>
      <c r="BP247" s="1">
        <f t="shared" si="1234"/>
        <v>0</v>
      </c>
      <c r="BQ247" s="1">
        <f t="shared" si="1235"/>
        <v>0</v>
      </c>
      <c r="BR247" s="1">
        <f t="shared" si="1236"/>
        <v>0</v>
      </c>
      <c r="BS247" s="1">
        <f t="shared" si="1237"/>
        <v>0.5</v>
      </c>
      <c r="BT247" s="1">
        <f t="shared" si="1238"/>
        <v>0</v>
      </c>
      <c r="BU247" s="1">
        <f t="shared" si="1239"/>
        <v>0</v>
      </c>
      <c r="BV247" s="1">
        <f t="shared" si="1240"/>
        <v>0</v>
      </c>
      <c r="BW247" s="1">
        <f t="shared" si="1241"/>
        <v>0</v>
      </c>
      <c r="BX247" s="1">
        <f t="shared" si="1242"/>
        <v>0</v>
      </c>
      <c r="BY247" s="1">
        <f t="shared" si="1243"/>
        <v>0</v>
      </c>
      <c r="BZ247" s="1">
        <f t="shared" si="1244"/>
        <v>0</v>
      </c>
      <c r="CA247" s="1">
        <f t="shared" si="1245"/>
        <v>0</v>
      </c>
      <c r="CB247" s="1">
        <f t="shared" si="1246"/>
        <v>0</v>
      </c>
      <c r="CC247" s="1">
        <f t="shared" si="1247"/>
        <v>0</v>
      </c>
      <c r="CD247" s="1">
        <f t="shared" si="1248"/>
        <v>0</v>
      </c>
      <c r="CE247" s="1">
        <f t="shared" si="1249"/>
        <v>0</v>
      </c>
      <c r="CF247" s="1">
        <f t="shared" si="1250"/>
        <v>0</v>
      </c>
    </row>
    <row r="248" spans="3:84" ht="31.5" customHeight="1" outlineLevel="1">
      <c r="C248" s="27" t="s">
        <v>930</v>
      </c>
      <c r="D248" s="55">
        <v>2</v>
      </c>
      <c r="E248" s="88" t="s">
        <v>828</v>
      </c>
      <c r="F248" s="56">
        <v>80.78</v>
      </c>
      <c r="G248" s="57">
        <f t="shared" si="1199"/>
        <v>161.56</v>
      </c>
      <c r="H248" s="28"/>
      <c r="I248" s="59" t="str">
        <f t="shared" si="1876"/>
        <v/>
      </c>
      <c r="J248" s="60"/>
      <c r="K248" s="59" t="str">
        <f t="shared" si="1877"/>
        <v/>
      </c>
      <c r="L248" s="60"/>
      <c r="M248" s="59" t="str">
        <f t="shared" si="1878"/>
        <v/>
      </c>
      <c r="N248" s="60"/>
      <c r="O248" s="59" t="str">
        <f t="shared" si="1879"/>
        <v/>
      </c>
      <c r="P248" s="60"/>
      <c r="Q248" s="59" t="str">
        <f t="shared" si="1880"/>
        <v/>
      </c>
      <c r="R248" s="60"/>
      <c r="S248" s="59" t="str">
        <f t="shared" si="1881"/>
        <v/>
      </c>
      <c r="T248" s="60"/>
      <c r="U248" s="59" t="str">
        <f t="shared" si="1882"/>
        <v/>
      </c>
      <c r="V248" s="60"/>
      <c r="W248" s="59" t="str">
        <f t="shared" si="1883"/>
        <v/>
      </c>
      <c r="X248" s="95"/>
      <c r="Y248" s="59" t="str">
        <f t="shared" si="1884"/>
        <v/>
      </c>
      <c r="Z248" s="95"/>
      <c r="AA248" s="59" t="str">
        <f t="shared" si="1885"/>
        <v/>
      </c>
      <c r="AB248" s="95">
        <f t="shared" si="1675"/>
        <v>1</v>
      </c>
      <c r="AC248" s="59">
        <f t="shared" si="1886"/>
        <v>80.78</v>
      </c>
      <c r="AD248" s="60"/>
      <c r="AE248" s="59" t="str">
        <f t="shared" si="1887"/>
        <v/>
      </c>
      <c r="AF248" s="95"/>
      <c r="AG248" s="59" t="str">
        <f t="shared" ref="AG248" si="1941">+IF(OR($F248="",AF248=""),"",$F248*AF248)</f>
        <v/>
      </c>
      <c r="AH248" s="95"/>
      <c r="AI248" s="59" t="str">
        <f t="shared" si="1889"/>
        <v/>
      </c>
      <c r="AJ248" s="60"/>
      <c r="AK248" s="59" t="str">
        <f t="shared" si="1889"/>
        <v/>
      </c>
      <c r="AL248" s="60"/>
      <c r="AM248" s="59" t="str">
        <f t="shared" ref="AM248" si="1942">+IF(OR($F248="",AL248=""),"",$F248*AL248)</f>
        <v/>
      </c>
      <c r="AN248" s="60"/>
      <c r="AO248" s="59" t="str">
        <f t="shared" ref="AO248" si="1943">+IF(OR($F248="",AN248=""),"",$F248*AN248)</f>
        <v/>
      </c>
      <c r="AP248" s="60"/>
      <c r="AQ248" s="59" t="str">
        <f t="shared" ref="AQ248" si="1944">+IF(OR($F248="",AP248=""),"",$F248*AP248)</f>
        <v/>
      </c>
      <c r="AR248" s="60"/>
      <c r="AS248" s="59" t="str">
        <f t="shared" ref="AS248" si="1945">+IF(OR($F248="",AR248=""),"",$F248*AR248)</f>
        <v/>
      </c>
      <c r="AT248" s="60"/>
      <c r="AU248" s="59" t="str">
        <f t="shared" ref="AU248" si="1946">+IF(OR($F248="",AT248=""),"",$F248*AT248)</f>
        <v/>
      </c>
      <c r="AV248" s="60"/>
      <c r="AW248" s="59" t="str">
        <f t="shared" ref="AW248" si="1947">+IF(OR($F248="",AV248=""),"",$F248*AV248)</f>
        <v/>
      </c>
      <c r="AX248" s="60"/>
      <c r="AY248" s="59" t="str">
        <f t="shared" ref="AY248" si="1948">+IF(OR($F248="",AX248=""),"",$F248*AX248)</f>
        <v/>
      </c>
      <c r="AZ248" s="60"/>
      <c r="BA248" s="59" t="str">
        <f t="shared" ref="BA248" si="1949">+IF(OR($F248="",AZ248=""),"",$F248*AZ248)</f>
        <v/>
      </c>
      <c r="BB248" s="60"/>
      <c r="BC248" s="59" t="str">
        <f t="shared" ref="BC248" si="1950">+IF(OR($F248="",BB248=""),"",$F248*BB248)</f>
        <v/>
      </c>
      <c r="BD248" s="61">
        <f t="shared" si="1223"/>
        <v>1</v>
      </c>
      <c r="BE248" s="59">
        <f t="shared" si="1899"/>
        <v>80.78</v>
      </c>
      <c r="BF248" s="61">
        <f t="shared" si="1225"/>
        <v>1</v>
      </c>
      <c r="BG248" s="59">
        <f t="shared" si="1900"/>
        <v>80.78</v>
      </c>
      <c r="BH248" s="196"/>
      <c r="BI248" s="1">
        <f t="shared" si="1227"/>
        <v>0</v>
      </c>
      <c r="BJ248" s="1">
        <f t="shared" si="1228"/>
        <v>0</v>
      </c>
      <c r="BK248" s="1">
        <f t="shared" si="1229"/>
        <v>0</v>
      </c>
      <c r="BL248" s="1">
        <f t="shared" si="1230"/>
        <v>0</v>
      </c>
      <c r="BM248" s="1">
        <f t="shared" si="1231"/>
        <v>0</v>
      </c>
      <c r="BN248" s="1">
        <f t="shared" si="1232"/>
        <v>0</v>
      </c>
      <c r="BO248" s="1">
        <f t="shared" si="1233"/>
        <v>0</v>
      </c>
      <c r="BP248" s="1">
        <f t="shared" si="1234"/>
        <v>0</v>
      </c>
      <c r="BQ248" s="1">
        <f t="shared" si="1235"/>
        <v>0</v>
      </c>
      <c r="BR248" s="1">
        <f t="shared" si="1236"/>
        <v>0</v>
      </c>
      <c r="BS248" s="1">
        <f t="shared" si="1237"/>
        <v>1</v>
      </c>
      <c r="BT248" s="1">
        <f t="shared" si="1238"/>
        <v>0</v>
      </c>
      <c r="BU248" s="1">
        <f t="shared" si="1239"/>
        <v>0</v>
      </c>
      <c r="BV248" s="1">
        <f t="shared" si="1240"/>
        <v>0</v>
      </c>
      <c r="BW248" s="1">
        <f t="shared" si="1241"/>
        <v>0</v>
      </c>
      <c r="BX248" s="1">
        <f t="shared" si="1242"/>
        <v>0</v>
      </c>
      <c r="BY248" s="1">
        <f t="shared" si="1243"/>
        <v>0</v>
      </c>
      <c r="BZ248" s="1">
        <f t="shared" si="1244"/>
        <v>0</v>
      </c>
      <c r="CA248" s="1">
        <f t="shared" si="1245"/>
        <v>0</v>
      </c>
      <c r="CB248" s="1">
        <f t="shared" si="1246"/>
        <v>0</v>
      </c>
      <c r="CC248" s="1">
        <f t="shared" si="1247"/>
        <v>0</v>
      </c>
      <c r="CD248" s="1">
        <f t="shared" si="1248"/>
        <v>0</v>
      </c>
      <c r="CE248" s="1">
        <f t="shared" si="1249"/>
        <v>0</v>
      </c>
      <c r="CF248" s="1">
        <f t="shared" si="1250"/>
        <v>0</v>
      </c>
    </row>
    <row r="249" spans="3:84" ht="31.5" customHeight="1" outlineLevel="1">
      <c r="C249" s="27" t="s">
        <v>936</v>
      </c>
      <c r="D249" s="55">
        <v>1</v>
      </c>
      <c r="E249" s="88" t="s">
        <v>828</v>
      </c>
      <c r="F249" s="56">
        <v>177.1</v>
      </c>
      <c r="G249" s="57">
        <f t="shared" si="1199"/>
        <v>177.1</v>
      </c>
      <c r="H249" s="28"/>
      <c r="I249" s="59" t="str">
        <f t="shared" si="1876"/>
        <v/>
      </c>
      <c r="J249" s="60"/>
      <c r="K249" s="59" t="str">
        <f t="shared" si="1877"/>
        <v/>
      </c>
      <c r="L249" s="60"/>
      <c r="M249" s="59" t="str">
        <f t="shared" si="1878"/>
        <v/>
      </c>
      <c r="N249" s="60"/>
      <c r="O249" s="59" t="str">
        <f t="shared" si="1879"/>
        <v/>
      </c>
      <c r="P249" s="60"/>
      <c r="Q249" s="59" t="str">
        <f t="shared" si="1880"/>
        <v/>
      </c>
      <c r="R249" s="60"/>
      <c r="S249" s="59" t="str">
        <f t="shared" si="1881"/>
        <v/>
      </c>
      <c r="T249" s="60"/>
      <c r="U249" s="59" t="str">
        <f t="shared" si="1882"/>
        <v/>
      </c>
      <c r="V249" s="60"/>
      <c r="W249" s="59" t="str">
        <f t="shared" si="1883"/>
        <v/>
      </c>
      <c r="X249" s="95"/>
      <c r="Y249" s="59" t="str">
        <f t="shared" si="1884"/>
        <v/>
      </c>
      <c r="Z249" s="95"/>
      <c r="AA249" s="59" t="str">
        <f t="shared" si="1885"/>
        <v/>
      </c>
      <c r="AB249" s="95">
        <f t="shared" si="1675"/>
        <v>0.5</v>
      </c>
      <c r="AC249" s="59">
        <f t="shared" si="1886"/>
        <v>88.55</v>
      </c>
      <c r="AD249" s="60"/>
      <c r="AE249" s="59" t="str">
        <f t="shared" si="1887"/>
        <v/>
      </c>
      <c r="AF249" s="95"/>
      <c r="AG249" s="59" t="str">
        <f t="shared" ref="AG249" si="1951">+IF(OR($F249="",AF249=""),"",$F249*AF249)</f>
        <v/>
      </c>
      <c r="AH249" s="95"/>
      <c r="AI249" s="59" t="str">
        <f t="shared" si="1889"/>
        <v/>
      </c>
      <c r="AJ249" s="60"/>
      <c r="AK249" s="59" t="str">
        <f t="shared" si="1889"/>
        <v/>
      </c>
      <c r="AL249" s="60"/>
      <c r="AM249" s="59" t="str">
        <f t="shared" ref="AM249" si="1952">+IF(OR($F249="",AL249=""),"",$F249*AL249)</f>
        <v/>
      </c>
      <c r="AN249" s="60"/>
      <c r="AO249" s="59" t="str">
        <f t="shared" ref="AO249" si="1953">+IF(OR($F249="",AN249=""),"",$F249*AN249)</f>
        <v/>
      </c>
      <c r="AP249" s="60"/>
      <c r="AQ249" s="59" t="str">
        <f t="shared" ref="AQ249" si="1954">+IF(OR($F249="",AP249=""),"",$F249*AP249)</f>
        <v/>
      </c>
      <c r="AR249" s="60"/>
      <c r="AS249" s="59" t="str">
        <f t="shared" ref="AS249" si="1955">+IF(OR($F249="",AR249=""),"",$F249*AR249)</f>
        <v/>
      </c>
      <c r="AT249" s="60"/>
      <c r="AU249" s="59" t="str">
        <f t="shared" ref="AU249" si="1956">+IF(OR($F249="",AT249=""),"",$F249*AT249)</f>
        <v/>
      </c>
      <c r="AV249" s="60"/>
      <c r="AW249" s="59" t="str">
        <f t="shared" ref="AW249" si="1957">+IF(OR($F249="",AV249=""),"",$F249*AV249)</f>
        <v/>
      </c>
      <c r="AX249" s="60"/>
      <c r="AY249" s="59" t="str">
        <f t="shared" ref="AY249" si="1958">+IF(OR($F249="",AX249=""),"",$F249*AX249)</f>
        <v/>
      </c>
      <c r="AZ249" s="60"/>
      <c r="BA249" s="59" t="str">
        <f t="shared" ref="BA249" si="1959">+IF(OR($F249="",AZ249=""),"",$F249*AZ249)</f>
        <v/>
      </c>
      <c r="BB249" s="60"/>
      <c r="BC249" s="59" t="str">
        <f t="shared" ref="BC249" si="1960">+IF(OR($F249="",BB249=""),"",$F249*BB249)</f>
        <v/>
      </c>
      <c r="BD249" s="61">
        <f t="shared" si="1223"/>
        <v>0.5</v>
      </c>
      <c r="BE249" s="59">
        <f t="shared" si="1899"/>
        <v>88.55</v>
      </c>
      <c r="BF249" s="61">
        <f t="shared" si="1225"/>
        <v>0.5</v>
      </c>
      <c r="BG249" s="59">
        <f t="shared" si="1900"/>
        <v>88.55</v>
      </c>
      <c r="BH249" s="196"/>
      <c r="BI249" s="1">
        <f t="shared" si="1227"/>
        <v>0</v>
      </c>
      <c r="BJ249" s="1">
        <f t="shared" si="1228"/>
        <v>0</v>
      </c>
      <c r="BK249" s="1">
        <f t="shared" si="1229"/>
        <v>0</v>
      </c>
      <c r="BL249" s="1">
        <f t="shared" si="1230"/>
        <v>0</v>
      </c>
      <c r="BM249" s="1">
        <f t="shared" si="1231"/>
        <v>0</v>
      </c>
      <c r="BN249" s="1">
        <f t="shared" si="1232"/>
        <v>0</v>
      </c>
      <c r="BO249" s="1">
        <f t="shared" si="1233"/>
        <v>0</v>
      </c>
      <c r="BP249" s="1">
        <f t="shared" si="1234"/>
        <v>0</v>
      </c>
      <c r="BQ249" s="1">
        <f t="shared" si="1235"/>
        <v>0</v>
      </c>
      <c r="BR249" s="1">
        <f t="shared" si="1236"/>
        <v>0</v>
      </c>
      <c r="BS249" s="1">
        <f t="shared" si="1237"/>
        <v>0.5</v>
      </c>
      <c r="BT249" s="1">
        <f t="shared" si="1238"/>
        <v>0</v>
      </c>
      <c r="BU249" s="1">
        <f t="shared" si="1239"/>
        <v>0</v>
      </c>
      <c r="BV249" s="1">
        <f t="shared" si="1240"/>
        <v>0</v>
      </c>
      <c r="BW249" s="1">
        <f t="shared" si="1241"/>
        <v>0</v>
      </c>
      <c r="BX249" s="1">
        <f t="shared" si="1242"/>
        <v>0</v>
      </c>
      <c r="BY249" s="1">
        <f t="shared" si="1243"/>
        <v>0</v>
      </c>
      <c r="BZ249" s="1">
        <f t="shared" si="1244"/>
        <v>0</v>
      </c>
      <c r="CA249" s="1">
        <f t="shared" si="1245"/>
        <v>0</v>
      </c>
      <c r="CB249" s="1">
        <f t="shared" si="1246"/>
        <v>0</v>
      </c>
      <c r="CC249" s="1">
        <f t="shared" si="1247"/>
        <v>0</v>
      </c>
      <c r="CD249" s="1">
        <f t="shared" si="1248"/>
        <v>0</v>
      </c>
      <c r="CE249" s="1">
        <f t="shared" si="1249"/>
        <v>0</v>
      </c>
      <c r="CF249" s="1">
        <f t="shared" si="1250"/>
        <v>0</v>
      </c>
    </row>
    <row r="250" spans="3:84" ht="67.5" outlineLevel="1">
      <c r="C250" s="27" t="s">
        <v>970</v>
      </c>
      <c r="D250" s="55">
        <v>1</v>
      </c>
      <c r="E250" s="88" t="s">
        <v>828</v>
      </c>
      <c r="F250" s="56">
        <v>759.11</v>
      </c>
      <c r="G250" s="57">
        <f t="shared" si="1199"/>
        <v>759.11</v>
      </c>
      <c r="H250" s="28"/>
      <c r="I250" s="59" t="str">
        <f t="shared" si="1876"/>
        <v/>
      </c>
      <c r="J250" s="60"/>
      <c r="K250" s="59" t="str">
        <f t="shared" si="1877"/>
        <v/>
      </c>
      <c r="L250" s="60"/>
      <c r="M250" s="59" t="str">
        <f t="shared" si="1878"/>
        <v/>
      </c>
      <c r="N250" s="60"/>
      <c r="O250" s="59" t="str">
        <f t="shared" si="1879"/>
        <v/>
      </c>
      <c r="P250" s="60"/>
      <c r="Q250" s="59" t="str">
        <f t="shared" si="1880"/>
        <v/>
      </c>
      <c r="R250" s="60"/>
      <c r="S250" s="59" t="str">
        <f t="shared" si="1881"/>
        <v/>
      </c>
      <c r="T250" s="60"/>
      <c r="U250" s="59" t="str">
        <f t="shared" si="1882"/>
        <v/>
      </c>
      <c r="V250" s="60"/>
      <c r="W250" s="59" t="str">
        <f t="shared" si="1883"/>
        <v/>
      </c>
      <c r="X250" s="95"/>
      <c r="Y250" s="59" t="str">
        <f t="shared" si="1884"/>
        <v/>
      </c>
      <c r="Z250" s="95"/>
      <c r="AA250" s="59" t="str">
        <f t="shared" si="1885"/>
        <v/>
      </c>
      <c r="AB250" s="95">
        <f t="shared" si="1675"/>
        <v>0.5</v>
      </c>
      <c r="AC250" s="59">
        <f t="shared" si="1886"/>
        <v>379.55500000000001</v>
      </c>
      <c r="AD250" s="60"/>
      <c r="AE250" s="59" t="str">
        <f t="shared" si="1887"/>
        <v/>
      </c>
      <c r="AF250" s="95"/>
      <c r="AG250" s="59" t="str">
        <f t="shared" ref="AG250" si="1961">+IF(OR($F250="",AF250=""),"",$F250*AF250)</f>
        <v/>
      </c>
      <c r="AH250" s="95"/>
      <c r="AI250" s="59" t="str">
        <f t="shared" si="1889"/>
        <v/>
      </c>
      <c r="AJ250" s="60"/>
      <c r="AK250" s="59" t="str">
        <f t="shared" si="1889"/>
        <v/>
      </c>
      <c r="AL250" s="60"/>
      <c r="AM250" s="59" t="str">
        <f t="shared" ref="AM250" si="1962">+IF(OR($F250="",AL250=""),"",$F250*AL250)</f>
        <v/>
      </c>
      <c r="AN250" s="60"/>
      <c r="AO250" s="59" t="str">
        <f t="shared" ref="AO250" si="1963">+IF(OR($F250="",AN250=""),"",$F250*AN250)</f>
        <v/>
      </c>
      <c r="AP250" s="60"/>
      <c r="AQ250" s="59" t="str">
        <f t="shared" ref="AQ250" si="1964">+IF(OR($F250="",AP250=""),"",$F250*AP250)</f>
        <v/>
      </c>
      <c r="AR250" s="60"/>
      <c r="AS250" s="59" t="str">
        <f t="shared" ref="AS250" si="1965">+IF(OR($F250="",AR250=""),"",$F250*AR250)</f>
        <v/>
      </c>
      <c r="AT250" s="60"/>
      <c r="AU250" s="59" t="str">
        <f t="shared" ref="AU250" si="1966">+IF(OR($F250="",AT250=""),"",$F250*AT250)</f>
        <v/>
      </c>
      <c r="AV250" s="60"/>
      <c r="AW250" s="59" t="str">
        <f t="shared" ref="AW250" si="1967">+IF(OR($F250="",AV250=""),"",$F250*AV250)</f>
        <v/>
      </c>
      <c r="AX250" s="60"/>
      <c r="AY250" s="59" t="str">
        <f t="shared" ref="AY250" si="1968">+IF(OR($F250="",AX250=""),"",$F250*AX250)</f>
        <v/>
      </c>
      <c r="AZ250" s="60"/>
      <c r="BA250" s="59" t="str">
        <f t="shared" ref="BA250" si="1969">+IF(OR($F250="",AZ250=""),"",$F250*AZ250)</f>
        <v/>
      </c>
      <c r="BB250" s="60"/>
      <c r="BC250" s="59" t="str">
        <f t="shared" ref="BC250" si="1970">+IF(OR($F250="",BB250=""),"",$F250*BB250)</f>
        <v/>
      </c>
      <c r="BD250" s="61">
        <f t="shared" si="1223"/>
        <v>0.5</v>
      </c>
      <c r="BE250" s="59">
        <f t="shared" si="1899"/>
        <v>379.55500000000001</v>
      </c>
      <c r="BF250" s="61">
        <f t="shared" si="1225"/>
        <v>0.5</v>
      </c>
      <c r="BG250" s="59">
        <f t="shared" si="1900"/>
        <v>379.55500000000001</v>
      </c>
      <c r="BH250" s="196"/>
      <c r="BI250" s="1">
        <f t="shared" si="1227"/>
        <v>0</v>
      </c>
      <c r="BJ250" s="1">
        <f t="shared" si="1228"/>
        <v>0</v>
      </c>
      <c r="BK250" s="1">
        <f t="shared" si="1229"/>
        <v>0</v>
      </c>
      <c r="BL250" s="1">
        <f t="shared" si="1230"/>
        <v>0</v>
      </c>
      <c r="BM250" s="1">
        <f t="shared" si="1231"/>
        <v>0</v>
      </c>
      <c r="BN250" s="1">
        <f t="shared" si="1232"/>
        <v>0</v>
      </c>
      <c r="BO250" s="1">
        <f t="shared" si="1233"/>
        <v>0</v>
      </c>
      <c r="BP250" s="1">
        <f t="shared" si="1234"/>
        <v>0</v>
      </c>
      <c r="BQ250" s="1">
        <f t="shared" si="1235"/>
        <v>0</v>
      </c>
      <c r="BR250" s="1">
        <f t="shared" si="1236"/>
        <v>0</v>
      </c>
      <c r="BS250" s="1">
        <f t="shared" si="1237"/>
        <v>0.5</v>
      </c>
      <c r="BT250" s="1">
        <f t="shared" si="1238"/>
        <v>0</v>
      </c>
      <c r="BU250" s="1">
        <f t="shared" si="1239"/>
        <v>0</v>
      </c>
      <c r="BV250" s="1">
        <f t="shared" si="1240"/>
        <v>0</v>
      </c>
      <c r="BW250" s="1">
        <f t="shared" si="1241"/>
        <v>0</v>
      </c>
      <c r="BX250" s="1">
        <f t="shared" si="1242"/>
        <v>0</v>
      </c>
      <c r="BY250" s="1">
        <f t="shared" si="1243"/>
        <v>0</v>
      </c>
      <c r="BZ250" s="1">
        <f t="shared" si="1244"/>
        <v>0</v>
      </c>
      <c r="CA250" s="1">
        <f t="shared" si="1245"/>
        <v>0</v>
      </c>
      <c r="CB250" s="1">
        <f t="shared" si="1246"/>
        <v>0</v>
      </c>
      <c r="CC250" s="1">
        <f t="shared" si="1247"/>
        <v>0</v>
      </c>
      <c r="CD250" s="1">
        <f t="shared" si="1248"/>
        <v>0</v>
      </c>
      <c r="CE250" s="1">
        <f t="shared" si="1249"/>
        <v>0</v>
      </c>
      <c r="CF250" s="1">
        <f t="shared" si="1250"/>
        <v>0</v>
      </c>
    </row>
    <row r="251" spans="3:84" ht="31.5" customHeight="1" outlineLevel="1">
      <c r="C251" s="27" t="s">
        <v>937</v>
      </c>
      <c r="D251" s="55">
        <v>1</v>
      </c>
      <c r="E251" s="88" t="s">
        <v>828</v>
      </c>
      <c r="F251" s="56">
        <v>152.44</v>
      </c>
      <c r="G251" s="57">
        <f t="shared" si="1199"/>
        <v>152.44</v>
      </c>
      <c r="H251" s="28"/>
      <c r="I251" s="59" t="str">
        <f t="shared" si="1876"/>
        <v/>
      </c>
      <c r="J251" s="60"/>
      <c r="K251" s="59" t="str">
        <f t="shared" si="1877"/>
        <v/>
      </c>
      <c r="L251" s="60"/>
      <c r="M251" s="59" t="str">
        <f t="shared" si="1878"/>
        <v/>
      </c>
      <c r="N251" s="60"/>
      <c r="O251" s="59" t="str">
        <f t="shared" si="1879"/>
        <v/>
      </c>
      <c r="P251" s="60"/>
      <c r="Q251" s="59" t="str">
        <f t="shared" si="1880"/>
        <v/>
      </c>
      <c r="R251" s="60"/>
      <c r="S251" s="59" t="str">
        <f t="shared" si="1881"/>
        <v/>
      </c>
      <c r="T251" s="60"/>
      <c r="U251" s="59" t="str">
        <f t="shared" si="1882"/>
        <v/>
      </c>
      <c r="V251" s="60"/>
      <c r="W251" s="59" t="str">
        <f t="shared" si="1883"/>
        <v/>
      </c>
      <c r="X251" s="95"/>
      <c r="Y251" s="59" t="str">
        <f t="shared" si="1884"/>
        <v/>
      </c>
      <c r="Z251" s="95"/>
      <c r="AA251" s="59" t="str">
        <f t="shared" si="1885"/>
        <v/>
      </c>
      <c r="AB251" s="95">
        <f t="shared" si="1675"/>
        <v>0.5</v>
      </c>
      <c r="AC251" s="59">
        <f t="shared" si="1886"/>
        <v>76.22</v>
      </c>
      <c r="AD251" s="60"/>
      <c r="AE251" s="59" t="str">
        <f t="shared" si="1887"/>
        <v/>
      </c>
      <c r="AF251" s="95"/>
      <c r="AG251" s="59" t="str">
        <f t="shared" ref="AG251" si="1971">+IF(OR($F251="",AF251=""),"",$F251*AF251)</f>
        <v/>
      </c>
      <c r="AH251" s="95"/>
      <c r="AI251" s="59" t="str">
        <f t="shared" si="1889"/>
        <v/>
      </c>
      <c r="AJ251" s="60"/>
      <c r="AK251" s="59" t="str">
        <f t="shared" si="1889"/>
        <v/>
      </c>
      <c r="AL251" s="60"/>
      <c r="AM251" s="59" t="str">
        <f t="shared" ref="AM251" si="1972">+IF(OR($F251="",AL251=""),"",$F251*AL251)</f>
        <v/>
      </c>
      <c r="AN251" s="60"/>
      <c r="AO251" s="59" t="str">
        <f t="shared" ref="AO251" si="1973">+IF(OR($F251="",AN251=""),"",$F251*AN251)</f>
        <v/>
      </c>
      <c r="AP251" s="60"/>
      <c r="AQ251" s="59" t="str">
        <f t="shared" ref="AQ251" si="1974">+IF(OR($F251="",AP251=""),"",$F251*AP251)</f>
        <v/>
      </c>
      <c r="AR251" s="60"/>
      <c r="AS251" s="59" t="str">
        <f t="shared" ref="AS251" si="1975">+IF(OR($F251="",AR251=""),"",$F251*AR251)</f>
        <v/>
      </c>
      <c r="AT251" s="60"/>
      <c r="AU251" s="59" t="str">
        <f t="shared" ref="AU251" si="1976">+IF(OR($F251="",AT251=""),"",$F251*AT251)</f>
        <v/>
      </c>
      <c r="AV251" s="60"/>
      <c r="AW251" s="59" t="str">
        <f t="shared" ref="AW251" si="1977">+IF(OR($F251="",AV251=""),"",$F251*AV251)</f>
        <v/>
      </c>
      <c r="AX251" s="60"/>
      <c r="AY251" s="59" t="str">
        <f t="shared" ref="AY251" si="1978">+IF(OR($F251="",AX251=""),"",$F251*AX251)</f>
        <v/>
      </c>
      <c r="AZ251" s="60"/>
      <c r="BA251" s="59" t="str">
        <f t="shared" ref="BA251" si="1979">+IF(OR($F251="",AZ251=""),"",$F251*AZ251)</f>
        <v/>
      </c>
      <c r="BB251" s="60"/>
      <c r="BC251" s="59" t="str">
        <f t="shared" ref="BC251" si="1980">+IF(OR($F251="",BB251=""),"",$F251*BB251)</f>
        <v/>
      </c>
      <c r="BD251" s="61">
        <f t="shared" si="1223"/>
        <v>0.5</v>
      </c>
      <c r="BE251" s="59">
        <f t="shared" si="1899"/>
        <v>76.22</v>
      </c>
      <c r="BF251" s="61">
        <f t="shared" si="1225"/>
        <v>0.5</v>
      </c>
      <c r="BG251" s="59">
        <f t="shared" si="1900"/>
        <v>76.22</v>
      </c>
      <c r="BH251" s="196"/>
      <c r="BI251" s="1">
        <f t="shared" si="1227"/>
        <v>0</v>
      </c>
      <c r="BJ251" s="1">
        <f t="shared" si="1228"/>
        <v>0</v>
      </c>
      <c r="BK251" s="1">
        <f t="shared" si="1229"/>
        <v>0</v>
      </c>
      <c r="BL251" s="1">
        <f t="shared" si="1230"/>
        <v>0</v>
      </c>
      <c r="BM251" s="1">
        <f t="shared" si="1231"/>
        <v>0</v>
      </c>
      <c r="BN251" s="1">
        <f t="shared" si="1232"/>
        <v>0</v>
      </c>
      <c r="BO251" s="1">
        <f t="shared" si="1233"/>
        <v>0</v>
      </c>
      <c r="BP251" s="1">
        <f t="shared" si="1234"/>
        <v>0</v>
      </c>
      <c r="BQ251" s="1">
        <f t="shared" si="1235"/>
        <v>0</v>
      </c>
      <c r="BR251" s="1">
        <f t="shared" si="1236"/>
        <v>0</v>
      </c>
      <c r="BS251" s="1">
        <f t="shared" si="1237"/>
        <v>0.5</v>
      </c>
      <c r="BT251" s="1">
        <f t="shared" si="1238"/>
        <v>0</v>
      </c>
      <c r="BU251" s="1">
        <f t="shared" si="1239"/>
        <v>0</v>
      </c>
      <c r="BV251" s="1">
        <f t="shared" si="1240"/>
        <v>0</v>
      </c>
      <c r="BW251" s="1">
        <f t="shared" si="1241"/>
        <v>0</v>
      </c>
      <c r="BX251" s="1">
        <f t="shared" si="1242"/>
        <v>0</v>
      </c>
      <c r="BY251" s="1">
        <f t="shared" si="1243"/>
        <v>0</v>
      </c>
      <c r="BZ251" s="1">
        <f t="shared" si="1244"/>
        <v>0</v>
      </c>
      <c r="CA251" s="1">
        <f t="shared" si="1245"/>
        <v>0</v>
      </c>
      <c r="CB251" s="1">
        <f t="shared" si="1246"/>
        <v>0</v>
      </c>
      <c r="CC251" s="1">
        <f t="shared" si="1247"/>
        <v>0</v>
      </c>
      <c r="CD251" s="1">
        <f t="shared" si="1248"/>
        <v>0</v>
      </c>
      <c r="CE251" s="1">
        <f t="shared" si="1249"/>
        <v>0</v>
      </c>
      <c r="CF251" s="1">
        <f t="shared" si="1250"/>
        <v>0</v>
      </c>
    </row>
    <row r="252" spans="3:84" ht="22.5" outlineLevel="1">
      <c r="C252" s="27" t="s">
        <v>966</v>
      </c>
      <c r="D252" s="55">
        <v>8.02</v>
      </c>
      <c r="E252" s="88" t="s">
        <v>874</v>
      </c>
      <c r="F252" s="56">
        <v>99</v>
      </c>
      <c r="G252" s="57">
        <f t="shared" si="1199"/>
        <v>793.9799999999999</v>
      </c>
      <c r="H252" s="28"/>
      <c r="I252" s="59" t="str">
        <f t="shared" si="1876"/>
        <v/>
      </c>
      <c r="J252" s="60"/>
      <c r="K252" s="59" t="str">
        <f t="shared" si="1877"/>
        <v/>
      </c>
      <c r="L252" s="60"/>
      <c r="M252" s="59" t="str">
        <f t="shared" si="1878"/>
        <v/>
      </c>
      <c r="N252" s="60"/>
      <c r="O252" s="59" t="str">
        <f t="shared" si="1879"/>
        <v/>
      </c>
      <c r="P252" s="60"/>
      <c r="Q252" s="59" t="str">
        <f t="shared" si="1880"/>
        <v/>
      </c>
      <c r="R252" s="60"/>
      <c r="S252" s="59" t="str">
        <f t="shared" si="1881"/>
        <v/>
      </c>
      <c r="T252" s="60"/>
      <c r="U252" s="59" t="str">
        <f t="shared" si="1882"/>
        <v/>
      </c>
      <c r="V252" s="60"/>
      <c r="W252" s="59" t="str">
        <f t="shared" si="1883"/>
        <v/>
      </c>
      <c r="X252" s="95"/>
      <c r="Y252" s="59" t="str">
        <f t="shared" si="1884"/>
        <v/>
      </c>
      <c r="Z252" s="95"/>
      <c r="AA252" s="59" t="str">
        <f t="shared" si="1885"/>
        <v/>
      </c>
      <c r="AB252" s="95">
        <f t="shared" si="1675"/>
        <v>4.01</v>
      </c>
      <c r="AC252" s="59">
        <f t="shared" si="1886"/>
        <v>396.98999999999995</v>
      </c>
      <c r="AD252" s="60"/>
      <c r="AE252" s="59" t="str">
        <f t="shared" si="1887"/>
        <v/>
      </c>
      <c r="AF252" s="95"/>
      <c r="AG252" s="59" t="str">
        <f t="shared" ref="AG252" si="1981">+IF(OR($F252="",AF252=""),"",$F252*AF252)</f>
        <v/>
      </c>
      <c r="AH252" s="95"/>
      <c r="AI252" s="59" t="str">
        <f t="shared" si="1889"/>
        <v/>
      </c>
      <c r="AJ252" s="60"/>
      <c r="AK252" s="59" t="str">
        <f t="shared" si="1889"/>
        <v/>
      </c>
      <c r="AL252" s="60"/>
      <c r="AM252" s="59" t="str">
        <f t="shared" ref="AM252" si="1982">+IF(OR($F252="",AL252=""),"",$F252*AL252)</f>
        <v/>
      </c>
      <c r="AN252" s="60"/>
      <c r="AO252" s="59" t="str">
        <f t="shared" ref="AO252" si="1983">+IF(OR($F252="",AN252=""),"",$F252*AN252)</f>
        <v/>
      </c>
      <c r="AP252" s="60"/>
      <c r="AQ252" s="59" t="str">
        <f t="shared" ref="AQ252" si="1984">+IF(OR($F252="",AP252=""),"",$F252*AP252)</f>
        <v/>
      </c>
      <c r="AR252" s="60"/>
      <c r="AS252" s="59" t="str">
        <f t="shared" ref="AS252" si="1985">+IF(OR($F252="",AR252=""),"",$F252*AR252)</f>
        <v/>
      </c>
      <c r="AT252" s="60"/>
      <c r="AU252" s="59" t="str">
        <f t="shared" ref="AU252" si="1986">+IF(OR($F252="",AT252=""),"",$F252*AT252)</f>
        <v/>
      </c>
      <c r="AV252" s="60"/>
      <c r="AW252" s="59" t="str">
        <f t="shared" ref="AW252" si="1987">+IF(OR($F252="",AV252=""),"",$F252*AV252)</f>
        <v/>
      </c>
      <c r="AX252" s="60"/>
      <c r="AY252" s="59" t="str">
        <f t="shared" ref="AY252" si="1988">+IF(OR($F252="",AX252=""),"",$F252*AX252)</f>
        <v/>
      </c>
      <c r="AZ252" s="60"/>
      <c r="BA252" s="59" t="str">
        <f t="shared" ref="BA252" si="1989">+IF(OR($F252="",AZ252=""),"",$F252*AZ252)</f>
        <v/>
      </c>
      <c r="BB252" s="60"/>
      <c r="BC252" s="59" t="str">
        <f t="shared" ref="BC252" si="1990">+IF(OR($F252="",BB252=""),"",$F252*BB252)</f>
        <v/>
      </c>
      <c r="BD252" s="61">
        <f t="shared" si="1223"/>
        <v>4.01</v>
      </c>
      <c r="BE252" s="59">
        <f t="shared" si="1899"/>
        <v>396.98999999999995</v>
      </c>
      <c r="BF252" s="61">
        <f t="shared" si="1225"/>
        <v>4.01</v>
      </c>
      <c r="BG252" s="59">
        <f t="shared" si="1900"/>
        <v>396.98999999999995</v>
      </c>
      <c r="BH252" s="196"/>
      <c r="BI252" s="1">
        <f t="shared" si="1227"/>
        <v>0</v>
      </c>
      <c r="BJ252" s="1">
        <f t="shared" si="1228"/>
        <v>0</v>
      </c>
      <c r="BK252" s="1">
        <f t="shared" si="1229"/>
        <v>0</v>
      </c>
      <c r="BL252" s="1">
        <f t="shared" si="1230"/>
        <v>0</v>
      </c>
      <c r="BM252" s="1">
        <f t="shared" si="1231"/>
        <v>0</v>
      </c>
      <c r="BN252" s="1">
        <f t="shared" si="1232"/>
        <v>0</v>
      </c>
      <c r="BO252" s="1">
        <f t="shared" si="1233"/>
        <v>0</v>
      </c>
      <c r="BP252" s="1">
        <f t="shared" si="1234"/>
        <v>0</v>
      </c>
      <c r="BQ252" s="1">
        <f t="shared" si="1235"/>
        <v>0</v>
      </c>
      <c r="BR252" s="1">
        <f t="shared" si="1236"/>
        <v>0</v>
      </c>
      <c r="BS252" s="1">
        <f t="shared" si="1237"/>
        <v>4.01</v>
      </c>
      <c r="BT252" s="1">
        <f t="shared" si="1238"/>
        <v>0</v>
      </c>
      <c r="BU252" s="1">
        <f t="shared" si="1239"/>
        <v>0</v>
      </c>
      <c r="BV252" s="1">
        <f t="shared" si="1240"/>
        <v>0</v>
      </c>
      <c r="BW252" s="1">
        <f t="shared" si="1241"/>
        <v>0</v>
      </c>
      <c r="BX252" s="1">
        <f t="shared" si="1242"/>
        <v>0</v>
      </c>
      <c r="BY252" s="1">
        <f t="shared" si="1243"/>
        <v>0</v>
      </c>
      <c r="BZ252" s="1">
        <f t="shared" si="1244"/>
        <v>0</v>
      </c>
      <c r="CA252" s="1">
        <f t="shared" si="1245"/>
        <v>0</v>
      </c>
      <c r="CB252" s="1">
        <f t="shared" si="1246"/>
        <v>0</v>
      </c>
      <c r="CC252" s="1">
        <f t="shared" si="1247"/>
        <v>0</v>
      </c>
      <c r="CD252" s="1">
        <f t="shared" si="1248"/>
        <v>0</v>
      </c>
      <c r="CE252" s="1">
        <f t="shared" si="1249"/>
        <v>0</v>
      </c>
      <c r="CF252" s="1">
        <f t="shared" si="1250"/>
        <v>0</v>
      </c>
    </row>
    <row r="253" spans="3:84" ht="31.5" customHeight="1" outlineLevel="1">
      <c r="C253" s="27" t="s">
        <v>938</v>
      </c>
      <c r="D253" s="55">
        <v>1</v>
      </c>
      <c r="E253" s="88" t="s">
        <v>828</v>
      </c>
      <c r="F253" s="56">
        <v>199.98</v>
      </c>
      <c r="G253" s="57">
        <f t="shared" si="1199"/>
        <v>199.98</v>
      </c>
      <c r="H253" s="28"/>
      <c r="I253" s="59" t="str">
        <f t="shared" si="1876"/>
        <v/>
      </c>
      <c r="J253" s="60"/>
      <c r="K253" s="59" t="str">
        <f t="shared" si="1877"/>
        <v/>
      </c>
      <c r="L253" s="60"/>
      <c r="M253" s="59" t="str">
        <f t="shared" si="1878"/>
        <v/>
      </c>
      <c r="N253" s="60"/>
      <c r="O253" s="59" t="str">
        <f t="shared" si="1879"/>
        <v/>
      </c>
      <c r="P253" s="60"/>
      <c r="Q253" s="59" t="str">
        <f t="shared" si="1880"/>
        <v/>
      </c>
      <c r="R253" s="60"/>
      <c r="S253" s="59" t="str">
        <f t="shared" si="1881"/>
        <v/>
      </c>
      <c r="T253" s="60"/>
      <c r="U253" s="59" t="str">
        <f t="shared" si="1882"/>
        <v/>
      </c>
      <c r="V253" s="60"/>
      <c r="W253" s="59" t="str">
        <f t="shared" si="1883"/>
        <v/>
      </c>
      <c r="X253" s="95"/>
      <c r="Y253" s="59" t="str">
        <f t="shared" si="1884"/>
        <v/>
      </c>
      <c r="Z253" s="95"/>
      <c r="AA253" s="59" t="str">
        <f t="shared" si="1885"/>
        <v/>
      </c>
      <c r="AB253" s="95">
        <f t="shared" si="1675"/>
        <v>0.5</v>
      </c>
      <c r="AC253" s="59">
        <f t="shared" si="1886"/>
        <v>99.99</v>
      </c>
      <c r="AD253" s="60"/>
      <c r="AE253" s="59" t="str">
        <f t="shared" si="1887"/>
        <v/>
      </c>
      <c r="AF253" s="95"/>
      <c r="AG253" s="59" t="str">
        <f t="shared" ref="AG253" si="1991">+IF(OR($F253="",AF253=""),"",$F253*AF253)</f>
        <v/>
      </c>
      <c r="AH253" s="95"/>
      <c r="AI253" s="59" t="str">
        <f t="shared" si="1889"/>
        <v/>
      </c>
      <c r="AJ253" s="60"/>
      <c r="AK253" s="59" t="str">
        <f t="shared" si="1889"/>
        <v/>
      </c>
      <c r="AL253" s="60"/>
      <c r="AM253" s="59" t="str">
        <f t="shared" ref="AM253" si="1992">+IF(OR($F253="",AL253=""),"",$F253*AL253)</f>
        <v/>
      </c>
      <c r="AN253" s="60"/>
      <c r="AO253" s="59" t="str">
        <f t="shared" ref="AO253" si="1993">+IF(OR($F253="",AN253=""),"",$F253*AN253)</f>
        <v/>
      </c>
      <c r="AP253" s="60"/>
      <c r="AQ253" s="59" t="str">
        <f t="shared" ref="AQ253" si="1994">+IF(OR($F253="",AP253=""),"",$F253*AP253)</f>
        <v/>
      </c>
      <c r="AR253" s="60"/>
      <c r="AS253" s="59" t="str">
        <f t="shared" ref="AS253" si="1995">+IF(OR($F253="",AR253=""),"",$F253*AR253)</f>
        <v/>
      </c>
      <c r="AT253" s="60"/>
      <c r="AU253" s="59" t="str">
        <f t="shared" ref="AU253" si="1996">+IF(OR($F253="",AT253=""),"",$F253*AT253)</f>
        <v/>
      </c>
      <c r="AV253" s="60"/>
      <c r="AW253" s="59" t="str">
        <f t="shared" ref="AW253" si="1997">+IF(OR($F253="",AV253=""),"",$F253*AV253)</f>
        <v/>
      </c>
      <c r="AX253" s="60"/>
      <c r="AY253" s="59" t="str">
        <f t="shared" ref="AY253" si="1998">+IF(OR($F253="",AX253=""),"",$F253*AX253)</f>
        <v/>
      </c>
      <c r="AZ253" s="60"/>
      <c r="BA253" s="59" t="str">
        <f t="shared" ref="BA253" si="1999">+IF(OR($F253="",AZ253=""),"",$F253*AZ253)</f>
        <v/>
      </c>
      <c r="BB253" s="60"/>
      <c r="BC253" s="59" t="str">
        <f t="shared" ref="BC253" si="2000">+IF(OR($F253="",BB253=""),"",$F253*BB253)</f>
        <v/>
      </c>
      <c r="BD253" s="61">
        <f t="shared" si="1223"/>
        <v>0.5</v>
      </c>
      <c r="BE253" s="59">
        <f t="shared" si="1899"/>
        <v>99.99</v>
      </c>
      <c r="BF253" s="61">
        <f t="shared" si="1225"/>
        <v>0.5</v>
      </c>
      <c r="BG253" s="59">
        <f t="shared" si="1900"/>
        <v>99.99</v>
      </c>
      <c r="BH253" s="196"/>
      <c r="BI253" s="1">
        <f t="shared" si="1227"/>
        <v>0</v>
      </c>
      <c r="BJ253" s="1">
        <f t="shared" si="1228"/>
        <v>0</v>
      </c>
      <c r="BK253" s="1">
        <f t="shared" si="1229"/>
        <v>0</v>
      </c>
      <c r="BL253" s="1">
        <f t="shared" si="1230"/>
        <v>0</v>
      </c>
      <c r="BM253" s="1">
        <f t="shared" si="1231"/>
        <v>0</v>
      </c>
      <c r="BN253" s="1">
        <f t="shared" si="1232"/>
        <v>0</v>
      </c>
      <c r="BO253" s="1">
        <f t="shared" si="1233"/>
        <v>0</v>
      </c>
      <c r="BP253" s="1">
        <f t="shared" si="1234"/>
        <v>0</v>
      </c>
      <c r="BQ253" s="1">
        <f t="shared" si="1235"/>
        <v>0</v>
      </c>
      <c r="BR253" s="1">
        <f t="shared" si="1236"/>
        <v>0</v>
      </c>
      <c r="BS253" s="1">
        <f t="shared" si="1237"/>
        <v>0.5</v>
      </c>
      <c r="BT253" s="1">
        <f t="shared" si="1238"/>
        <v>0</v>
      </c>
      <c r="BU253" s="1">
        <f t="shared" si="1239"/>
        <v>0</v>
      </c>
      <c r="BV253" s="1">
        <f t="shared" si="1240"/>
        <v>0</v>
      </c>
      <c r="BW253" s="1">
        <f t="shared" si="1241"/>
        <v>0</v>
      </c>
      <c r="BX253" s="1">
        <f t="shared" si="1242"/>
        <v>0</v>
      </c>
      <c r="BY253" s="1">
        <f t="shared" si="1243"/>
        <v>0</v>
      </c>
      <c r="BZ253" s="1">
        <f t="shared" si="1244"/>
        <v>0</v>
      </c>
      <c r="CA253" s="1">
        <f t="shared" si="1245"/>
        <v>0</v>
      </c>
      <c r="CB253" s="1">
        <f t="shared" si="1246"/>
        <v>0</v>
      </c>
      <c r="CC253" s="1">
        <f t="shared" si="1247"/>
        <v>0</v>
      </c>
      <c r="CD253" s="1">
        <f t="shared" si="1248"/>
        <v>0</v>
      </c>
      <c r="CE253" s="1">
        <f t="shared" si="1249"/>
        <v>0</v>
      </c>
      <c r="CF253" s="1">
        <f t="shared" si="1250"/>
        <v>0</v>
      </c>
    </row>
    <row r="254" spans="3:84" ht="31.5" customHeight="1" outlineLevel="1">
      <c r="C254" s="27" t="s">
        <v>927</v>
      </c>
      <c r="D254" s="55">
        <v>1</v>
      </c>
      <c r="E254" s="88" t="s">
        <v>828</v>
      </c>
      <c r="F254" s="56">
        <v>32.47</v>
      </c>
      <c r="G254" s="57">
        <f t="shared" si="1199"/>
        <v>32.47</v>
      </c>
      <c r="H254" s="28"/>
      <c r="I254" s="59" t="str">
        <f t="shared" si="1876"/>
        <v/>
      </c>
      <c r="J254" s="60"/>
      <c r="K254" s="59" t="str">
        <f t="shared" si="1877"/>
        <v/>
      </c>
      <c r="L254" s="60"/>
      <c r="M254" s="59" t="str">
        <f t="shared" si="1878"/>
        <v/>
      </c>
      <c r="N254" s="60"/>
      <c r="O254" s="59" t="str">
        <f t="shared" si="1879"/>
        <v/>
      </c>
      <c r="P254" s="60"/>
      <c r="Q254" s="59" t="str">
        <f t="shared" si="1880"/>
        <v/>
      </c>
      <c r="R254" s="60"/>
      <c r="S254" s="59" t="str">
        <f t="shared" si="1881"/>
        <v/>
      </c>
      <c r="T254" s="60"/>
      <c r="U254" s="59" t="str">
        <f t="shared" si="1882"/>
        <v/>
      </c>
      <c r="V254" s="60"/>
      <c r="W254" s="59" t="str">
        <f t="shared" si="1883"/>
        <v/>
      </c>
      <c r="X254" s="95"/>
      <c r="Y254" s="59" t="str">
        <f t="shared" si="1884"/>
        <v/>
      </c>
      <c r="Z254" s="95"/>
      <c r="AA254" s="59" t="str">
        <f t="shared" si="1885"/>
        <v/>
      </c>
      <c r="AB254" s="95">
        <f t="shared" si="1675"/>
        <v>0.5</v>
      </c>
      <c r="AC254" s="59">
        <f t="shared" si="1886"/>
        <v>16.234999999999999</v>
      </c>
      <c r="AD254" s="60"/>
      <c r="AE254" s="59" t="str">
        <f t="shared" si="1887"/>
        <v/>
      </c>
      <c r="AF254" s="95"/>
      <c r="AG254" s="59" t="str">
        <f t="shared" ref="AG254" si="2001">+IF(OR($F254="",AF254=""),"",$F254*AF254)</f>
        <v/>
      </c>
      <c r="AH254" s="95"/>
      <c r="AI254" s="59" t="str">
        <f t="shared" si="1889"/>
        <v/>
      </c>
      <c r="AJ254" s="60"/>
      <c r="AK254" s="59" t="str">
        <f t="shared" si="1889"/>
        <v/>
      </c>
      <c r="AL254" s="60"/>
      <c r="AM254" s="59" t="str">
        <f t="shared" ref="AM254" si="2002">+IF(OR($F254="",AL254=""),"",$F254*AL254)</f>
        <v/>
      </c>
      <c r="AN254" s="60"/>
      <c r="AO254" s="59" t="str">
        <f t="shared" ref="AO254" si="2003">+IF(OR($F254="",AN254=""),"",$F254*AN254)</f>
        <v/>
      </c>
      <c r="AP254" s="60"/>
      <c r="AQ254" s="59" t="str">
        <f t="shared" ref="AQ254" si="2004">+IF(OR($F254="",AP254=""),"",$F254*AP254)</f>
        <v/>
      </c>
      <c r="AR254" s="60"/>
      <c r="AS254" s="59" t="str">
        <f t="shared" ref="AS254" si="2005">+IF(OR($F254="",AR254=""),"",$F254*AR254)</f>
        <v/>
      </c>
      <c r="AT254" s="60"/>
      <c r="AU254" s="59" t="str">
        <f t="shared" ref="AU254" si="2006">+IF(OR($F254="",AT254=""),"",$F254*AT254)</f>
        <v/>
      </c>
      <c r="AV254" s="60"/>
      <c r="AW254" s="59" t="str">
        <f t="shared" ref="AW254" si="2007">+IF(OR($F254="",AV254=""),"",$F254*AV254)</f>
        <v/>
      </c>
      <c r="AX254" s="60"/>
      <c r="AY254" s="59" t="str">
        <f t="shared" ref="AY254" si="2008">+IF(OR($F254="",AX254=""),"",$F254*AX254)</f>
        <v/>
      </c>
      <c r="AZ254" s="60"/>
      <c r="BA254" s="59" t="str">
        <f t="shared" ref="BA254" si="2009">+IF(OR($F254="",AZ254=""),"",$F254*AZ254)</f>
        <v/>
      </c>
      <c r="BB254" s="60"/>
      <c r="BC254" s="59" t="str">
        <f t="shared" ref="BC254" si="2010">+IF(OR($F254="",BB254=""),"",$F254*BB254)</f>
        <v/>
      </c>
      <c r="BD254" s="61">
        <f t="shared" si="1223"/>
        <v>0.5</v>
      </c>
      <c r="BE254" s="59">
        <f t="shared" si="1899"/>
        <v>16.234999999999999</v>
      </c>
      <c r="BF254" s="61">
        <f t="shared" si="1225"/>
        <v>0.5</v>
      </c>
      <c r="BG254" s="59">
        <f t="shared" si="1900"/>
        <v>16.234999999999999</v>
      </c>
      <c r="BH254" s="196"/>
      <c r="BI254" s="1">
        <f t="shared" si="1227"/>
        <v>0</v>
      </c>
      <c r="BJ254" s="1">
        <f t="shared" si="1228"/>
        <v>0</v>
      </c>
      <c r="BK254" s="1">
        <f t="shared" si="1229"/>
        <v>0</v>
      </c>
      <c r="BL254" s="1">
        <f t="shared" si="1230"/>
        <v>0</v>
      </c>
      <c r="BM254" s="1">
        <f t="shared" si="1231"/>
        <v>0</v>
      </c>
      <c r="BN254" s="1">
        <f t="shared" si="1232"/>
        <v>0</v>
      </c>
      <c r="BO254" s="1">
        <f t="shared" si="1233"/>
        <v>0</v>
      </c>
      <c r="BP254" s="1">
        <f t="shared" si="1234"/>
        <v>0</v>
      </c>
      <c r="BQ254" s="1">
        <f t="shared" si="1235"/>
        <v>0</v>
      </c>
      <c r="BR254" s="1">
        <f t="shared" si="1236"/>
        <v>0</v>
      </c>
      <c r="BS254" s="1">
        <f t="shared" si="1237"/>
        <v>0.5</v>
      </c>
      <c r="BT254" s="1">
        <f t="shared" si="1238"/>
        <v>0</v>
      </c>
      <c r="BU254" s="1">
        <f t="shared" si="1239"/>
        <v>0</v>
      </c>
      <c r="BV254" s="1">
        <f t="shared" si="1240"/>
        <v>0</v>
      </c>
      <c r="BW254" s="1">
        <f t="shared" si="1241"/>
        <v>0</v>
      </c>
      <c r="BX254" s="1">
        <f t="shared" si="1242"/>
        <v>0</v>
      </c>
      <c r="BY254" s="1">
        <f t="shared" si="1243"/>
        <v>0</v>
      </c>
      <c r="BZ254" s="1">
        <f t="shared" si="1244"/>
        <v>0</v>
      </c>
      <c r="CA254" s="1">
        <f t="shared" si="1245"/>
        <v>0</v>
      </c>
      <c r="CB254" s="1">
        <f t="shared" si="1246"/>
        <v>0</v>
      </c>
      <c r="CC254" s="1">
        <f t="shared" si="1247"/>
        <v>0</v>
      </c>
      <c r="CD254" s="1">
        <f t="shared" si="1248"/>
        <v>0</v>
      </c>
      <c r="CE254" s="1">
        <f t="shared" si="1249"/>
        <v>0</v>
      </c>
      <c r="CF254" s="1">
        <f t="shared" si="1250"/>
        <v>0</v>
      </c>
    </row>
    <row r="255" spans="3:84" ht="31.5" customHeight="1" outlineLevel="1">
      <c r="C255" s="27" t="s">
        <v>930</v>
      </c>
      <c r="D255" s="55">
        <v>2</v>
      </c>
      <c r="E255" s="88" t="s">
        <v>828</v>
      </c>
      <c r="F255" s="56">
        <v>80.78</v>
      </c>
      <c r="G255" s="57">
        <f t="shared" si="1199"/>
        <v>161.56</v>
      </c>
      <c r="H255" s="28"/>
      <c r="I255" s="59" t="str">
        <f t="shared" si="1876"/>
        <v/>
      </c>
      <c r="J255" s="60"/>
      <c r="K255" s="59" t="str">
        <f t="shared" si="1877"/>
        <v/>
      </c>
      <c r="L255" s="60"/>
      <c r="M255" s="59" t="str">
        <f t="shared" si="1878"/>
        <v/>
      </c>
      <c r="N255" s="60"/>
      <c r="O255" s="59" t="str">
        <f t="shared" si="1879"/>
        <v/>
      </c>
      <c r="P255" s="60"/>
      <c r="Q255" s="59" t="str">
        <f t="shared" si="1880"/>
        <v/>
      </c>
      <c r="R255" s="60"/>
      <c r="S255" s="59" t="str">
        <f t="shared" si="1881"/>
        <v/>
      </c>
      <c r="T255" s="60"/>
      <c r="U255" s="59" t="str">
        <f t="shared" si="1882"/>
        <v/>
      </c>
      <c r="V255" s="60"/>
      <c r="W255" s="59" t="str">
        <f t="shared" si="1883"/>
        <v/>
      </c>
      <c r="X255" s="95"/>
      <c r="Y255" s="59" t="str">
        <f t="shared" si="1884"/>
        <v/>
      </c>
      <c r="Z255" s="95"/>
      <c r="AA255" s="59" t="str">
        <f t="shared" si="1885"/>
        <v/>
      </c>
      <c r="AB255" s="95">
        <f t="shared" si="1675"/>
        <v>1</v>
      </c>
      <c r="AC255" s="59">
        <f t="shared" si="1886"/>
        <v>80.78</v>
      </c>
      <c r="AD255" s="60"/>
      <c r="AE255" s="59" t="str">
        <f t="shared" si="1887"/>
        <v/>
      </c>
      <c r="AF255" s="95"/>
      <c r="AG255" s="59" t="str">
        <f t="shared" ref="AG255" si="2011">+IF(OR($F255="",AF255=""),"",$F255*AF255)</f>
        <v/>
      </c>
      <c r="AH255" s="95"/>
      <c r="AI255" s="59" t="str">
        <f t="shared" si="1889"/>
        <v/>
      </c>
      <c r="AJ255" s="60"/>
      <c r="AK255" s="59" t="str">
        <f t="shared" si="1889"/>
        <v/>
      </c>
      <c r="AL255" s="60"/>
      <c r="AM255" s="59" t="str">
        <f t="shared" ref="AM255" si="2012">+IF(OR($F255="",AL255=""),"",$F255*AL255)</f>
        <v/>
      </c>
      <c r="AN255" s="60"/>
      <c r="AO255" s="59" t="str">
        <f t="shared" ref="AO255" si="2013">+IF(OR($F255="",AN255=""),"",$F255*AN255)</f>
        <v/>
      </c>
      <c r="AP255" s="60"/>
      <c r="AQ255" s="59" t="str">
        <f t="shared" ref="AQ255" si="2014">+IF(OR($F255="",AP255=""),"",$F255*AP255)</f>
        <v/>
      </c>
      <c r="AR255" s="60"/>
      <c r="AS255" s="59" t="str">
        <f t="shared" ref="AS255" si="2015">+IF(OR($F255="",AR255=""),"",$F255*AR255)</f>
        <v/>
      </c>
      <c r="AT255" s="60"/>
      <c r="AU255" s="59" t="str">
        <f t="shared" ref="AU255" si="2016">+IF(OR($F255="",AT255=""),"",$F255*AT255)</f>
        <v/>
      </c>
      <c r="AV255" s="60"/>
      <c r="AW255" s="59" t="str">
        <f t="shared" ref="AW255" si="2017">+IF(OR($F255="",AV255=""),"",$F255*AV255)</f>
        <v/>
      </c>
      <c r="AX255" s="60"/>
      <c r="AY255" s="59" t="str">
        <f t="shared" ref="AY255" si="2018">+IF(OR($F255="",AX255=""),"",$F255*AX255)</f>
        <v/>
      </c>
      <c r="AZ255" s="60"/>
      <c r="BA255" s="59" t="str">
        <f t="shared" ref="BA255" si="2019">+IF(OR($F255="",AZ255=""),"",$F255*AZ255)</f>
        <v/>
      </c>
      <c r="BB255" s="60"/>
      <c r="BC255" s="59" t="str">
        <f t="shared" ref="BC255" si="2020">+IF(OR($F255="",BB255=""),"",$F255*BB255)</f>
        <v/>
      </c>
      <c r="BD255" s="61">
        <f t="shared" si="1223"/>
        <v>1</v>
      </c>
      <c r="BE255" s="59">
        <f t="shared" si="1899"/>
        <v>80.78</v>
      </c>
      <c r="BF255" s="61">
        <f t="shared" si="1225"/>
        <v>1</v>
      </c>
      <c r="BG255" s="59">
        <f t="shared" si="1900"/>
        <v>80.78</v>
      </c>
      <c r="BH255" s="196"/>
      <c r="BI255" s="1">
        <f t="shared" si="1227"/>
        <v>0</v>
      </c>
      <c r="BJ255" s="1">
        <f t="shared" si="1228"/>
        <v>0</v>
      </c>
      <c r="BK255" s="1">
        <f t="shared" si="1229"/>
        <v>0</v>
      </c>
      <c r="BL255" s="1">
        <f t="shared" si="1230"/>
        <v>0</v>
      </c>
      <c r="BM255" s="1">
        <f t="shared" si="1231"/>
        <v>0</v>
      </c>
      <c r="BN255" s="1">
        <f t="shared" si="1232"/>
        <v>0</v>
      </c>
      <c r="BO255" s="1">
        <f t="shared" si="1233"/>
        <v>0</v>
      </c>
      <c r="BP255" s="1">
        <f t="shared" si="1234"/>
        <v>0</v>
      </c>
      <c r="BQ255" s="1">
        <f t="shared" si="1235"/>
        <v>0</v>
      </c>
      <c r="BR255" s="1">
        <f t="shared" si="1236"/>
        <v>0</v>
      </c>
      <c r="BS255" s="1">
        <f t="shared" si="1237"/>
        <v>1</v>
      </c>
      <c r="BT255" s="1">
        <f t="shared" si="1238"/>
        <v>0</v>
      </c>
      <c r="BU255" s="1">
        <f t="shared" si="1239"/>
        <v>0</v>
      </c>
      <c r="BV255" s="1">
        <f t="shared" si="1240"/>
        <v>0</v>
      </c>
      <c r="BW255" s="1">
        <f t="shared" si="1241"/>
        <v>0</v>
      </c>
      <c r="BX255" s="1">
        <f t="shared" si="1242"/>
        <v>0</v>
      </c>
      <c r="BY255" s="1">
        <f t="shared" si="1243"/>
        <v>0</v>
      </c>
      <c r="BZ255" s="1">
        <f t="shared" si="1244"/>
        <v>0</v>
      </c>
      <c r="CA255" s="1">
        <f t="shared" si="1245"/>
        <v>0</v>
      </c>
      <c r="CB255" s="1">
        <f t="shared" si="1246"/>
        <v>0</v>
      </c>
      <c r="CC255" s="1">
        <f t="shared" si="1247"/>
        <v>0</v>
      </c>
      <c r="CD255" s="1">
        <f t="shared" si="1248"/>
        <v>0</v>
      </c>
      <c r="CE255" s="1">
        <f t="shared" si="1249"/>
        <v>0</v>
      </c>
      <c r="CF255" s="1">
        <f t="shared" si="1250"/>
        <v>0</v>
      </c>
    </row>
    <row r="256" spans="3:84" ht="31.5" customHeight="1" outlineLevel="1">
      <c r="C256" s="27" t="s">
        <v>939</v>
      </c>
      <c r="D256" s="55">
        <v>1</v>
      </c>
      <c r="E256" s="88" t="s">
        <v>828</v>
      </c>
      <c r="F256" s="56">
        <v>115.5</v>
      </c>
      <c r="G256" s="57">
        <f t="shared" si="1199"/>
        <v>115.5</v>
      </c>
      <c r="H256" s="28"/>
      <c r="I256" s="59" t="str">
        <f t="shared" si="1876"/>
        <v/>
      </c>
      <c r="J256" s="60"/>
      <c r="K256" s="59" t="str">
        <f t="shared" si="1877"/>
        <v/>
      </c>
      <c r="L256" s="60"/>
      <c r="M256" s="59" t="str">
        <f t="shared" si="1878"/>
        <v/>
      </c>
      <c r="N256" s="60"/>
      <c r="O256" s="59" t="str">
        <f t="shared" si="1879"/>
        <v/>
      </c>
      <c r="P256" s="60"/>
      <c r="Q256" s="59" t="str">
        <f t="shared" si="1880"/>
        <v/>
      </c>
      <c r="R256" s="60"/>
      <c r="S256" s="59" t="str">
        <f t="shared" si="1881"/>
        <v/>
      </c>
      <c r="T256" s="60"/>
      <c r="U256" s="59" t="str">
        <f t="shared" si="1882"/>
        <v/>
      </c>
      <c r="V256" s="60"/>
      <c r="W256" s="59" t="str">
        <f t="shared" si="1883"/>
        <v/>
      </c>
      <c r="X256" s="95"/>
      <c r="Y256" s="59" t="str">
        <f t="shared" si="1884"/>
        <v/>
      </c>
      <c r="Z256" s="95"/>
      <c r="AA256" s="59" t="str">
        <f t="shared" si="1885"/>
        <v/>
      </c>
      <c r="AB256" s="95">
        <f t="shared" si="1675"/>
        <v>0.5</v>
      </c>
      <c r="AC256" s="59">
        <f t="shared" si="1886"/>
        <v>57.75</v>
      </c>
      <c r="AD256" s="60"/>
      <c r="AE256" s="59" t="str">
        <f t="shared" si="1887"/>
        <v/>
      </c>
      <c r="AF256" s="95"/>
      <c r="AG256" s="59" t="str">
        <f t="shared" ref="AG256" si="2021">+IF(OR($F256="",AF256=""),"",$F256*AF256)</f>
        <v/>
      </c>
      <c r="AH256" s="95"/>
      <c r="AI256" s="59" t="str">
        <f t="shared" si="1889"/>
        <v/>
      </c>
      <c r="AJ256" s="60"/>
      <c r="AK256" s="59" t="str">
        <f t="shared" si="1889"/>
        <v/>
      </c>
      <c r="AL256" s="60"/>
      <c r="AM256" s="59" t="str">
        <f t="shared" ref="AM256" si="2022">+IF(OR($F256="",AL256=""),"",$F256*AL256)</f>
        <v/>
      </c>
      <c r="AN256" s="60"/>
      <c r="AO256" s="59" t="str">
        <f t="shared" ref="AO256" si="2023">+IF(OR($F256="",AN256=""),"",$F256*AN256)</f>
        <v/>
      </c>
      <c r="AP256" s="60"/>
      <c r="AQ256" s="59" t="str">
        <f t="shared" ref="AQ256" si="2024">+IF(OR($F256="",AP256=""),"",$F256*AP256)</f>
        <v/>
      </c>
      <c r="AR256" s="60"/>
      <c r="AS256" s="59" t="str">
        <f t="shared" ref="AS256" si="2025">+IF(OR($F256="",AR256=""),"",$F256*AR256)</f>
        <v/>
      </c>
      <c r="AT256" s="60"/>
      <c r="AU256" s="59" t="str">
        <f t="shared" ref="AU256" si="2026">+IF(OR($F256="",AT256=""),"",$F256*AT256)</f>
        <v/>
      </c>
      <c r="AV256" s="60"/>
      <c r="AW256" s="59" t="str">
        <f t="shared" ref="AW256" si="2027">+IF(OR($F256="",AV256=""),"",$F256*AV256)</f>
        <v/>
      </c>
      <c r="AX256" s="60"/>
      <c r="AY256" s="59" t="str">
        <f t="shared" ref="AY256" si="2028">+IF(OR($F256="",AX256=""),"",$F256*AX256)</f>
        <v/>
      </c>
      <c r="AZ256" s="60"/>
      <c r="BA256" s="59" t="str">
        <f t="shared" ref="BA256" si="2029">+IF(OR($F256="",AZ256=""),"",$F256*AZ256)</f>
        <v/>
      </c>
      <c r="BB256" s="60"/>
      <c r="BC256" s="59" t="str">
        <f t="shared" ref="BC256" si="2030">+IF(OR($F256="",BB256=""),"",$F256*BB256)</f>
        <v/>
      </c>
      <c r="BD256" s="61">
        <f t="shared" si="1223"/>
        <v>0.5</v>
      </c>
      <c r="BE256" s="59">
        <f t="shared" si="1899"/>
        <v>57.75</v>
      </c>
      <c r="BF256" s="61">
        <f t="shared" si="1225"/>
        <v>0.5</v>
      </c>
      <c r="BG256" s="59">
        <f t="shared" si="1900"/>
        <v>57.75</v>
      </c>
      <c r="BH256" s="196"/>
      <c r="BI256" s="1">
        <f t="shared" si="1227"/>
        <v>0</v>
      </c>
      <c r="BJ256" s="1">
        <f t="shared" si="1228"/>
        <v>0</v>
      </c>
      <c r="BK256" s="1">
        <f t="shared" si="1229"/>
        <v>0</v>
      </c>
      <c r="BL256" s="1">
        <f t="shared" si="1230"/>
        <v>0</v>
      </c>
      <c r="BM256" s="1">
        <f t="shared" si="1231"/>
        <v>0</v>
      </c>
      <c r="BN256" s="1">
        <f t="shared" si="1232"/>
        <v>0</v>
      </c>
      <c r="BO256" s="1">
        <f t="shared" si="1233"/>
        <v>0</v>
      </c>
      <c r="BP256" s="1">
        <f t="shared" si="1234"/>
        <v>0</v>
      </c>
      <c r="BQ256" s="1">
        <f t="shared" si="1235"/>
        <v>0</v>
      </c>
      <c r="BR256" s="1">
        <f t="shared" si="1236"/>
        <v>0</v>
      </c>
      <c r="BS256" s="1">
        <f t="shared" si="1237"/>
        <v>0.5</v>
      </c>
      <c r="BT256" s="1">
        <f t="shared" si="1238"/>
        <v>0</v>
      </c>
      <c r="BU256" s="1">
        <f t="shared" si="1239"/>
        <v>0</v>
      </c>
      <c r="BV256" s="1">
        <f t="shared" si="1240"/>
        <v>0</v>
      </c>
      <c r="BW256" s="1">
        <f t="shared" si="1241"/>
        <v>0</v>
      </c>
      <c r="BX256" s="1">
        <f t="shared" si="1242"/>
        <v>0</v>
      </c>
      <c r="BY256" s="1">
        <f t="shared" si="1243"/>
        <v>0</v>
      </c>
      <c r="BZ256" s="1">
        <f t="shared" si="1244"/>
        <v>0</v>
      </c>
      <c r="CA256" s="1">
        <f t="shared" si="1245"/>
        <v>0</v>
      </c>
      <c r="CB256" s="1">
        <f t="shared" si="1246"/>
        <v>0</v>
      </c>
      <c r="CC256" s="1">
        <f t="shared" si="1247"/>
        <v>0</v>
      </c>
      <c r="CD256" s="1">
        <f t="shared" si="1248"/>
        <v>0</v>
      </c>
      <c r="CE256" s="1">
        <f t="shared" si="1249"/>
        <v>0</v>
      </c>
      <c r="CF256" s="1">
        <f t="shared" si="1250"/>
        <v>0</v>
      </c>
    </row>
    <row r="257" spans="2:85" ht="31.5" customHeight="1" outlineLevel="1">
      <c r="C257" s="27" t="s">
        <v>940</v>
      </c>
      <c r="D257" s="55">
        <v>1</v>
      </c>
      <c r="E257" s="88" t="s">
        <v>828</v>
      </c>
      <c r="F257" s="56">
        <v>667.26</v>
      </c>
      <c r="G257" s="57">
        <f t="shared" si="1199"/>
        <v>667.26</v>
      </c>
      <c r="H257" s="28"/>
      <c r="I257" s="59" t="str">
        <f t="shared" si="1876"/>
        <v/>
      </c>
      <c r="J257" s="60"/>
      <c r="K257" s="59" t="str">
        <f t="shared" si="1877"/>
        <v/>
      </c>
      <c r="L257" s="60"/>
      <c r="M257" s="59" t="str">
        <f t="shared" si="1878"/>
        <v/>
      </c>
      <c r="N257" s="60"/>
      <c r="O257" s="59" t="str">
        <f t="shared" si="1879"/>
        <v/>
      </c>
      <c r="P257" s="60"/>
      <c r="Q257" s="59" t="str">
        <f t="shared" si="1880"/>
        <v/>
      </c>
      <c r="R257" s="60"/>
      <c r="S257" s="59" t="str">
        <f t="shared" si="1881"/>
        <v/>
      </c>
      <c r="T257" s="60"/>
      <c r="U257" s="59" t="str">
        <f t="shared" si="1882"/>
        <v/>
      </c>
      <c r="V257" s="60"/>
      <c r="W257" s="59" t="str">
        <f t="shared" si="1883"/>
        <v/>
      </c>
      <c r="X257" s="95"/>
      <c r="Y257" s="59" t="str">
        <f t="shared" si="1884"/>
        <v/>
      </c>
      <c r="Z257" s="95"/>
      <c r="AA257" s="59" t="str">
        <f t="shared" si="1885"/>
        <v/>
      </c>
      <c r="AB257" s="95">
        <f t="shared" si="1675"/>
        <v>0.5</v>
      </c>
      <c r="AC257" s="59">
        <f t="shared" si="1886"/>
        <v>333.63</v>
      </c>
      <c r="AD257" s="60"/>
      <c r="AE257" s="59" t="str">
        <f t="shared" si="1887"/>
        <v/>
      </c>
      <c r="AF257" s="95"/>
      <c r="AG257" s="59" t="str">
        <f t="shared" ref="AG257" si="2031">+IF(OR($F257="",AF257=""),"",$F257*AF257)</f>
        <v/>
      </c>
      <c r="AH257" s="95"/>
      <c r="AI257" s="59" t="str">
        <f t="shared" si="1889"/>
        <v/>
      </c>
      <c r="AJ257" s="60"/>
      <c r="AK257" s="59" t="str">
        <f t="shared" si="1889"/>
        <v/>
      </c>
      <c r="AL257" s="60"/>
      <c r="AM257" s="59" t="str">
        <f t="shared" ref="AM257" si="2032">+IF(OR($F257="",AL257=""),"",$F257*AL257)</f>
        <v/>
      </c>
      <c r="AN257" s="60"/>
      <c r="AO257" s="59" t="str">
        <f t="shared" ref="AO257" si="2033">+IF(OR($F257="",AN257=""),"",$F257*AN257)</f>
        <v/>
      </c>
      <c r="AP257" s="60"/>
      <c r="AQ257" s="59" t="str">
        <f t="shared" ref="AQ257" si="2034">+IF(OR($F257="",AP257=""),"",$F257*AP257)</f>
        <v/>
      </c>
      <c r="AR257" s="60"/>
      <c r="AS257" s="59" t="str">
        <f t="shared" ref="AS257" si="2035">+IF(OR($F257="",AR257=""),"",$F257*AR257)</f>
        <v/>
      </c>
      <c r="AT257" s="60"/>
      <c r="AU257" s="59" t="str">
        <f t="shared" ref="AU257" si="2036">+IF(OR($F257="",AT257=""),"",$F257*AT257)</f>
        <v/>
      </c>
      <c r="AV257" s="60"/>
      <c r="AW257" s="59" t="str">
        <f t="shared" ref="AW257" si="2037">+IF(OR($F257="",AV257=""),"",$F257*AV257)</f>
        <v/>
      </c>
      <c r="AX257" s="60"/>
      <c r="AY257" s="59" t="str">
        <f t="shared" ref="AY257" si="2038">+IF(OR($F257="",AX257=""),"",$F257*AX257)</f>
        <v/>
      </c>
      <c r="AZ257" s="60"/>
      <c r="BA257" s="59" t="str">
        <f t="shared" ref="BA257" si="2039">+IF(OR($F257="",AZ257=""),"",$F257*AZ257)</f>
        <v/>
      </c>
      <c r="BB257" s="60"/>
      <c r="BC257" s="59" t="str">
        <f t="shared" ref="BC257" si="2040">+IF(OR($F257="",BB257=""),"",$F257*BB257)</f>
        <v/>
      </c>
      <c r="BD257" s="61">
        <f t="shared" si="1223"/>
        <v>0.5</v>
      </c>
      <c r="BE257" s="59">
        <f t="shared" si="1899"/>
        <v>333.63</v>
      </c>
      <c r="BF257" s="61">
        <f t="shared" si="1225"/>
        <v>0.5</v>
      </c>
      <c r="BG257" s="59">
        <f t="shared" si="1900"/>
        <v>333.63</v>
      </c>
      <c r="BH257" s="196"/>
      <c r="BI257" s="1">
        <f t="shared" si="1227"/>
        <v>0</v>
      </c>
      <c r="BJ257" s="1">
        <f t="shared" si="1228"/>
        <v>0</v>
      </c>
      <c r="BK257" s="1">
        <f t="shared" si="1229"/>
        <v>0</v>
      </c>
      <c r="BL257" s="1">
        <f t="shared" si="1230"/>
        <v>0</v>
      </c>
      <c r="BM257" s="1">
        <f t="shared" si="1231"/>
        <v>0</v>
      </c>
      <c r="BN257" s="1">
        <f t="shared" si="1232"/>
        <v>0</v>
      </c>
      <c r="BO257" s="1">
        <f t="shared" si="1233"/>
        <v>0</v>
      </c>
      <c r="BP257" s="1">
        <f t="shared" si="1234"/>
        <v>0</v>
      </c>
      <c r="BQ257" s="1">
        <f t="shared" si="1235"/>
        <v>0</v>
      </c>
      <c r="BR257" s="1">
        <f t="shared" si="1236"/>
        <v>0</v>
      </c>
      <c r="BS257" s="1">
        <f t="shared" si="1237"/>
        <v>0.5</v>
      </c>
      <c r="BT257" s="1">
        <f t="shared" si="1238"/>
        <v>0</v>
      </c>
      <c r="BU257" s="1">
        <f t="shared" si="1239"/>
        <v>0</v>
      </c>
      <c r="BV257" s="1">
        <f t="shared" si="1240"/>
        <v>0</v>
      </c>
      <c r="BW257" s="1">
        <f t="shared" si="1241"/>
        <v>0</v>
      </c>
      <c r="BX257" s="1">
        <f t="shared" si="1242"/>
        <v>0</v>
      </c>
      <c r="BY257" s="1">
        <f t="shared" si="1243"/>
        <v>0</v>
      </c>
      <c r="BZ257" s="1">
        <f t="shared" si="1244"/>
        <v>0</v>
      </c>
      <c r="CA257" s="1">
        <f t="shared" si="1245"/>
        <v>0</v>
      </c>
      <c r="CB257" s="1">
        <f t="shared" si="1246"/>
        <v>0</v>
      </c>
      <c r="CC257" s="1">
        <f t="shared" si="1247"/>
        <v>0</v>
      </c>
      <c r="CD257" s="1">
        <f t="shared" si="1248"/>
        <v>0</v>
      </c>
      <c r="CE257" s="1">
        <f t="shared" si="1249"/>
        <v>0</v>
      </c>
      <c r="CF257" s="1">
        <f t="shared" si="1250"/>
        <v>0</v>
      </c>
    </row>
    <row r="258" spans="2:85" ht="31.5" customHeight="1" outlineLevel="1">
      <c r="C258" s="27" t="s">
        <v>934</v>
      </c>
      <c r="D258" s="55">
        <v>1</v>
      </c>
      <c r="E258" s="88" t="s">
        <v>828</v>
      </c>
      <c r="F258" s="56">
        <v>119.3</v>
      </c>
      <c r="G258" s="57">
        <f t="shared" si="1199"/>
        <v>119.3</v>
      </c>
      <c r="H258" s="28"/>
      <c r="I258" s="59" t="str">
        <f t="shared" si="1876"/>
        <v/>
      </c>
      <c r="J258" s="60"/>
      <c r="K258" s="59" t="str">
        <f t="shared" si="1877"/>
        <v/>
      </c>
      <c r="L258" s="60"/>
      <c r="M258" s="59" t="str">
        <f t="shared" si="1878"/>
        <v/>
      </c>
      <c r="N258" s="60"/>
      <c r="O258" s="59" t="str">
        <f t="shared" si="1879"/>
        <v/>
      </c>
      <c r="P258" s="60"/>
      <c r="Q258" s="59" t="str">
        <f t="shared" si="1880"/>
        <v/>
      </c>
      <c r="R258" s="60"/>
      <c r="S258" s="59" t="str">
        <f t="shared" si="1881"/>
        <v/>
      </c>
      <c r="T258" s="60"/>
      <c r="U258" s="59" t="str">
        <f t="shared" si="1882"/>
        <v/>
      </c>
      <c r="V258" s="60"/>
      <c r="W258" s="59" t="str">
        <f t="shared" si="1883"/>
        <v/>
      </c>
      <c r="X258" s="95"/>
      <c r="Y258" s="59" t="str">
        <f t="shared" si="1884"/>
        <v/>
      </c>
      <c r="Z258" s="95"/>
      <c r="AA258" s="59" t="str">
        <f t="shared" si="1885"/>
        <v/>
      </c>
      <c r="AB258" s="95">
        <f t="shared" si="1675"/>
        <v>0.5</v>
      </c>
      <c r="AC258" s="59">
        <f t="shared" si="1886"/>
        <v>59.65</v>
      </c>
      <c r="AD258" s="60"/>
      <c r="AE258" s="59" t="str">
        <f t="shared" si="1887"/>
        <v/>
      </c>
      <c r="AF258" s="95"/>
      <c r="AG258" s="59" t="str">
        <f t="shared" ref="AG258" si="2041">+IF(OR($F258="",AF258=""),"",$F258*AF258)</f>
        <v/>
      </c>
      <c r="AH258" s="95"/>
      <c r="AI258" s="59" t="str">
        <f t="shared" si="1889"/>
        <v/>
      </c>
      <c r="AJ258" s="60"/>
      <c r="AK258" s="59" t="str">
        <f t="shared" si="1889"/>
        <v/>
      </c>
      <c r="AL258" s="60"/>
      <c r="AM258" s="59" t="str">
        <f t="shared" ref="AM258" si="2042">+IF(OR($F258="",AL258=""),"",$F258*AL258)</f>
        <v/>
      </c>
      <c r="AN258" s="60"/>
      <c r="AO258" s="59" t="str">
        <f t="shared" ref="AO258" si="2043">+IF(OR($F258="",AN258=""),"",$F258*AN258)</f>
        <v/>
      </c>
      <c r="AP258" s="60"/>
      <c r="AQ258" s="59" t="str">
        <f t="shared" ref="AQ258" si="2044">+IF(OR($F258="",AP258=""),"",$F258*AP258)</f>
        <v/>
      </c>
      <c r="AR258" s="60"/>
      <c r="AS258" s="59" t="str">
        <f t="shared" ref="AS258" si="2045">+IF(OR($F258="",AR258=""),"",$F258*AR258)</f>
        <v/>
      </c>
      <c r="AT258" s="60"/>
      <c r="AU258" s="59" t="str">
        <f t="shared" ref="AU258" si="2046">+IF(OR($F258="",AT258=""),"",$F258*AT258)</f>
        <v/>
      </c>
      <c r="AV258" s="60"/>
      <c r="AW258" s="59" t="str">
        <f t="shared" ref="AW258" si="2047">+IF(OR($F258="",AV258=""),"",$F258*AV258)</f>
        <v/>
      </c>
      <c r="AX258" s="60"/>
      <c r="AY258" s="59" t="str">
        <f t="shared" ref="AY258" si="2048">+IF(OR($F258="",AX258=""),"",$F258*AX258)</f>
        <v/>
      </c>
      <c r="AZ258" s="60"/>
      <c r="BA258" s="59" t="str">
        <f t="shared" ref="BA258" si="2049">+IF(OR($F258="",AZ258=""),"",$F258*AZ258)</f>
        <v/>
      </c>
      <c r="BB258" s="60"/>
      <c r="BC258" s="59" t="str">
        <f t="shared" ref="BC258" si="2050">+IF(OR($F258="",BB258=""),"",$F258*BB258)</f>
        <v/>
      </c>
      <c r="BD258" s="61">
        <f t="shared" si="1223"/>
        <v>0.5</v>
      </c>
      <c r="BE258" s="59">
        <f t="shared" si="1899"/>
        <v>59.65</v>
      </c>
      <c r="BF258" s="61">
        <f t="shared" si="1225"/>
        <v>0.5</v>
      </c>
      <c r="BG258" s="59">
        <f t="shared" si="1900"/>
        <v>59.65</v>
      </c>
      <c r="BH258" s="196"/>
      <c r="BI258" s="1">
        <f t="shared" si="1227"/>
        <v>0</v>
      </c>
      <c r="BJ258" s="1">
        <f t="shared" si="1228"/>
        <v>0</v>
      </c>
      <c r="BK258" s="1">
        <f t="shared" si="1229"/>
        <v>0</v>
      </c>
      <c r="BL258" s="1">
        <f t="shared" si="1230"/>
        <v>0</v>
      </c>
      <c r="BM258" s="1">
        <f t="shared" si="1231"/>
        <v>0</v>
      </c>
      <c r="BN258" s="1">
        <f t="shared" si="1232"/>
        <v>0</v>
      </c>
      <c r="BO258" s="1">
        <f t="shared" si="1233"/>
        <v>0</v>
      </c>
      <c r="BP258" s="1">
        <f t="shared" si="1234"/>
        <v>0</v>
      </c>
      <c r="BQ258" s="1">
        <f t="shared" si="1235"/>
        <v>0</v>
      </c>
      <c r="BR258" s="1">
        <f t="shared" si="1236"/>
        <v>0</v>
      </c>
      <c r="BS258" s="1">
        <f t="shared" si="1237"/>
        <v>0.5</v>
      </c>
      <c r="BT258" s="1">
        <f t="shared" si="1238"/>
        <v>0</v>
      </c>
      <c r="BU258" s="1">
        <f t="shared" si="1239"/>
        <v>0</v>
      </c>
      <c r="BV258" s="1">
        <f t="shared" si="1240"/>
        <v>0</v>
      </c>
      <c r="BW258" s="1">
        <f t="shared" si="1241"/>
        <v>0</v>
      </c>
      <c r="BX258" s="1">
        <f t="shared" si="1242"/>
        <v>0</v>
      </c>
      <c r="BY258" s="1">
        <f t="shared" si="1243"/>
        <v>0</v>
      </c>
      <c r="BZ258" s="1">
        <f t="shared" si="1244"/>
        <v>0</v>
      </c>
      <c r="CA258" s="1">
        <f t="shared" si="1245"/>
        <v>0</v>
      </c>
      <c r="CB258" s="1">
        <f t="shared" si="1246"/>
        <v>0</v>
      </c>
      <c r="CC258" s="1">
        <f t="shared" si="1247"/>
        <v>0</v>
      </c>
      <c r="CD258" s="1">
        <f t="shared" si="1248"/>
        <v>0</v>
      </c>
      <c r="CE258" s="1">
        <f t="shared" si="1249"/>
        <v>0</v>
      </c>
      <c r="CF258" s="1">
        <f t="shared" si="1250"/>
        <v>0</v>
      </c>
    </row>
    <row r="259" spans="2:85" ht="56.25" outlineLevel="1">
      <c r="C259" s="27" t="s">
        <v>971</v>
      </c>
      <c r="D259" s="55">
        <v>5</v>
      </c>
      <c r="E259" s="88" t="s">
        <v>828</v>
      </c>
      <c r="F259" s="56">
        <v>732.93</v>
      </c>
      <c r="G259" s="57">
        <f t="shared" si="1199"/>
        <v>3664.6499999999996</v>
      </c>
      <c r="H259" s="28"/>
      <c r="I259" s="59" t="str">
        <f t="shared" si="1876"/>
        <v/>
      </c>
      <c r="J259" s="60"/>
      <c r="K259" s="59" t="str">
        <f t="shared" si="1877"/>
        <v/>
      </c>
      <c r="L259" s="60"/>
      <c r="M259" s="59" t="str">
        <f t="shared" si="1878"/>
        <v/>
      </c>
      <c r="N259" s="60"/>
      <c r="O259" s="59" t="str">
        <f t="shared" si="1879"/>
        <v/>
      </c>
      <c r="P259" s="60"/>
      <c r="Q259" s="59" t="str">
        <f t="shared" si="1880"/>
        <v/>
      </c>
      <c r="R259" s="60"/>
      <c r="S259" s="59" t="str">
        <f t="shared" si="1881"/>
        <v/>
      </c>
      <c r="T259" s="60"/>
      <c r="U259" s="59" t="str">
        <f t="shared" si="1882"/>
        <v/>
      </c>
      <c r="V259" s="60"/>
      <c r="W259" s="59" t="str">
        <f t="shared" si="1883"/>
        <v/>
      </c>
      <c r="X259" s="95"/>
      <c r="Y259" s="59" t="str">
        <f t="shared" si="1884"/>
        <v/>
      </c>
      <c r="Z259" s="95"/>
      <c r="AA259" s="59" t="str">
        <f t="shared" si="1885"/>
        <v/>
      </c>
      <c r="AB259" s="95">
        <f t="shared" si="1675"/>
        <v>2.5</v>
      </c>
      <c r="AC259" s="59">
        <f t="shared" si="1886"/>
        <v>1832.3249999999998</v>
      </c>
      <c r="AD259" s="60"/>
      <c r="AE259" s="59" t="str">
        <f t="shared" si="1887"/>
        <v/>
      </c>
      <c r="AF259" s="95"/>
      <c r="AG259" s="59" t="str">
        <f t="shared" ref="AG259" si="2051">+IF(OR($F259="",AF259=""),"",$F259*AF259)</f>
        <v/>
      </c>
      <c r="AH259" s="95"/>
      <c r="AI259" s="59" t="str">
        <f t="shared" si="1889"/>
        <v/>
      </c>
      <c r="AJ259" s="60"/>
      <c r="AK259" s="59" t="str">
        <f t="shared" si="1889"/>
        <v/>
      </c>
      <c r="AL259" s="60"/>
      <c r="AM259" s="59" t="str">
        <f t="shared" ref="AM259" si="2052">+IF(OR($F259="",AL259=""),"",$F259*AL259)</f>
        <v/>
      </c>
      <c r="AN259" s="60"/>
      <c r="AO259" s="59" t="str">
        <f t="shared" ref="AO259" si="2053">+IF(OR($F259="",AN259=""),"",$F259*AN259)</f>
        <v/>
      </c>
      <c r="AP259" s="60"/>
      <c r="AQ259" s="59" t="str">
        <f t="shared" ref="AQ259" si="2054">+IF(OR($F259="",AP259=""),"",$F259*AP259)</f>
        <v/>
      </c>
      <c r="AR259" s="60"/>
      <c r="AS259" s="59" t="str">
        <f t="shared" ref="AS259" si="2055">+IF(OR($F259="",AR259=""),"",$F259*AR259)</f>
        <v/>
      </c>
      <c r="AT259" s="60"/>
      <c r="AU259" s="59" t="str">
        <f t="shared" ref="AU259" si="2056">+IF(OR($F259="",AT259=""),"",$F259*AT259)</f>
        <v/>
      </c>
      <c r="AV259" s="60"/>
      <c r="AW259" s="59" t="str">
        <f t="shared" ref="AW259" si="2057">+IF(OR($F259="",AV259=""),"",$F259*AV259)</f>
        <v/>
      </c>
      <c r="AX259" s="60"/>
      <c r="AY259" s="59" t="str">
        <f t="shared" ref="AY259" si="2058">+IF(OR($F259="",AX259=""),"",$F259*AX259)</f>
        <v/>
      </c>
      <c r="AZ259" s="60"/>
      <c r="BA259" s="59" t="str">
        <f t="shared" ref="BA259" si="2059">+IF(OR($F259="",AZ259=""),"",$F259*AZ259)</f>
        <v/>
      </c>
      <c r="BB259" s="60"/>
      <c r="BC259" s="59" t="str">
        <f t="shared" ref="BC259" si="2060">+IF(OR($F259="",BB259=""),"",$F259*BB259)</f>
        <v/>
      </c>
      <c r="BD259" s="61">
        <f t="shared" si="1223"/>
        <v>2.5</v>
      </c>
      <c r="BE259" s="59">
        <f t="shared" si="1899"/>
        <v>1832.3249999999998</v>
      </c>
      <c r="BF259" s="61">
        <f t="shared" si="1225"/>
        <v>2.5</v>
      </c>
      <c r="BG259" s="59">
        <f t="shared" si="1900"/>
        <v>1832.3249999999998</v>
      </c>
      <c r="BH259" s="196"/>
      <c r="BI259" s="1">
        <f t="shared" si="1227"/>
        <v>0</v>
      </c>
      <c r="BJ259" s="1">
        <f t="shared" si="1228"/>
        <v>0</v>
      </c>
      <c r="BK259" s="1">
        <f t="shared" si="1229"/>
        <v>0</v>
      </c>
      <c r="BL259" s="1">
        <f t="shared" si="1230"/>
        <v>0</v>
      </c>
      <c r="BM259" s="1">
        <f t="shared" si="1231"/>
        <v>0</v>
      </c>
      <c r="BN259" s="1">
        <f t="shared" si="1232"/>
        <v>0</v>
      </c>
      <c r="BO259" s="1">
        <f t="shared" si="1233"/>
        <v>0</v>
      </c>
      <c r="BP259" s="1">
        <f t="shared" si="1234"/>
        <v>0</v>
      </c>
      <c r="BQ259" s="1">
        <f t="shared" si="1235"/>
        <v>0</v>
      </c>
      <c r="BR259" s="1">
        <f t="shared" si="1236"/>
        <v>0</v>
      </c>
      <c r="BS259" s="1">
        <f t="shared" si="1237"/>
        <v>2.5</v>
      </c>
      <c r="BT259" s="1">
        <f t="shared" si="1238"/>
        <v>0</v>
      </c>
      <c r="BU259" s="1">
        <f t="shared" si="1239"/>
        <v>0</v>
      </c>
      <c r="BV259" s="1">
        <f t="shared" si="1240"/>
        <v>0</v>
      </c>
      <c r="BW259" s="1">
        <f t="shared" si="1241"/>
        <v>0</v>
      </c>
      <c r="BX259" s="1">
        <f t="shared" si="1242"/>
        <v>0</v>
      </c>
      <c r="BY259" s="1">
        <f t="shared" si="1243"/>
        <v>0</v>
      </c>
      <c r="BZ259" s="1">
        <f t="shared" si="1244"/>
        <v>0</v>
      </c>
      <c r="CA259" s="1">
        <f t="shared" si="1245"/>
        <v>0</v>
      </c>
      <c r="CB259" s="1">
        <f t="shared" si="1246"/>
        <v>0</v>
      </c>
      <c r="CC259" s="1">
        <f t="shared" si="1247"/>
        <v>0</v>
      </c>
      <c r="CD259" s="1">
        <f t="shared" si="1248"/>
        <v>0</v>
      </c>
      <c r="CE259" s="1">
        <f t="shared" si="1249"/>
        <v>0</v>
      </c>
      <c r="CF259" s="1">
        <f t="shared" si="1250"/>
        <v>0</v>
      </c>
    </row>
    <row r="260" spans="2:85" ht="56.25" outlineLevel="1">
      <c r="C260" s="27" t="s">
        <v>972</v>
      </c>
      <c r="D260" s="55">
        <v>1</v>
      </c>
      <c r="E260" s="88" t="s">
        <v>828</v>
      </c>
      <c r="F260" s="56">
        <v>624.36</v>
      </c>
      <c r="G260" s="57">
        <f t="shared" si="1199"/>
        <v>624.36</v>
      </c>
      <c r="H260" s="28"/>
      <c r="I260" s="59" t="str">
        <f t="shared" si="1876"/>
        <v/>
      </c>
      <c r="J260" s="60"/>
      <c r="K260" s="59" t="str">
        <f t="shared" si="1877"/>
        <v/>
      </c>
      <c r="L260" s="60"/>
      <c r="M260" s="59" t="str">
        <f t="shared" si="1878"/>
        <v/>
      </c>
      <c r="N260" s="60"/>
      <c r="O260" s="59" t="str">
        <f t="shared" si="1879"/>
        <v/>
      </c>
      <c r="P260" s="60"/>
      <c r="Q260" s="59" t="str">
        <f t="shared" si="1880"/>
        <v/>
      </c>
      <c r="R260" s="60"/>
      <c r="S260" s="59" t="str">
        <f t="shared" si="1881"/>
        <v/>
      </c>
      <c r="T260" s="60"/>
      <c r="U260" s="59" t="str">
        <f t="shared" si="1882"/>
        <v/>
      </c>
      <c r="V260" s="60"/>
      <c r="W260" s="59" t="str">
        <f t="shared" si="1883"/>
        <v/>
      </c>
      <c r="X260" s="95"/>
      <c r="Y260" s="59" t="str">
        <f t="shared" si="1884"/>
        <v/>
      </c>
      <c r="Z260" s="95"/>
      <c r="AA260" s="59" t="str">
        <f t="shared" si="1885"/>
        <v/>
      </c>
      <c r="AB260" s="95">
        <f t="shared" si="1675"/>
        <v>0.5</v>
      </c>
      <c r="AC260" s="59">
        <f t="shared" si="1886"/>
        <v>312.18</v>
      </c>
      <c r="AD260" s="60"/>
      <c r="AE260" s="59" t="str">
        <f t="shared" si="1887"/>
        <v/>
      </c>
      <c r="AF260" s="95"/>
      <c r="AG260" s="59" t="str">
        <f t="shared" ref="AG260" si="2061">+IF(OR($F260="",AF260=""),"",$F260*AF260)</f>
        <v/>
      </c>
      <c r="AH260" s="95"/>
      <c r="AI260" s="59" t="str">
        <f t="shared" si="1889"/>
        <v/>
      </c>
      <c r="AJ260" s="60"/>
      <c r="AK260" s="59" t="str">
        <f t="shared" si="1889"/>
        <v/>
      </c>
      <c r="AL260" s="60"/>
      <c r="AM260" s="59" t="str">
        <f t="shared" ref="AM260" si="2062">+IF(OR($F260="",AL260=""),"",$F260*AL260)</f>
        <v/>
      </c>
      <c r="AN260" s="60"/>
      <c r="AO260" s="59" t="str">
        <f t="shared" ref="AO260" si="2063">+IF(OR($F260="",AN260=""),"",$F260*AN260)</f>
        <v/>
      </c>
      <c r="AP260" s="60"/>
      <c r="AQ260" s="59" t="str">
        <f t="shared" ref="AQ260" si="2064">+IF(OR($F260="",AP260=""),"",$F260*AP260)</f>
        <v/>
      </c>
      <c r="AR260" s="60"/>
      <c r="AS260" s="59" t="str">
        <f t="shared" ref="AS260" si="2065">+IF(OR($F260="",AR260=""),"",$F260*AR260)</f>
        <v/>
      </c>
      <c r="AT260" s="60"/>
      <c r="AU260" s="59" t="str">
        <f t="shared" ref="AU260" si="2066">+IF(OR($F260="",AT260=""),"",$F260*AT260)</f>
        <v/>
      </c>
      <c r="AV260" s="60"/>
      <c r="AW260" s="59" t="str">
        <f t="shared" ref="AW260" si="2067">+IF(OR($F260="",AV260=""),"",$F260*AV260)</f>
        <v/>
      </c>
      <c r="AX260" s="60"/>
      <c r="AY260" s="59" t="str">
        <f t="shared" ref="AY260" si="2068">+IF(OR($F260="",AX260=""),"",$F260*AX260)</f>
        <v/>
      </c>
      <c r="AZ260" s="60"/>
      <c r="BA260" s="59" t="str">
        <f t="shared" ref="BA260" si="2069">+IF(OR($F260="",AZ260=""),"",$F260*AZ260)</f>
        <v/>
      </c>
      <c r="BB260" s="60"/>
      <c r="BC260" s="59" t="str">
        <f t="shared" ref="BC260" si="2070">+IF(OR($F260="",BB260=""),"",$F260*BB260)</f>
        <v/>
      </c>
      <c r="BD260" s="61">
        <f t="shared" si="1223"/>
        <v>0.5</v>
      </c>
      <c r="BE260" s="59">
        <f t="shared" si="1899"/>
        <v>312.18</v>
      </c>
      <c r="BF260" s="61">
        <f t="shared" si="1225"/>
        <v>0.5</v>
      </c>
      <c r="BG260" s="59">
        <f t="shared" si="1900"/>
        <v>312.18</v>
      </c>
      <c r="BH260" s="196"/>
      <c r="BI260" s="1">
        <f t="shared" si="1227"/>
        <v>0</v>
      </c>
      <c r="BJ260" s="1">
        <f t="shared" si="1228"/>
        <v>0</v>
      </c>
      <c r="BK260" s="1">
        <f t="shared" si="1229"/>
        <v>0</v>
      </c>
      <c r="BL260" s="1">
        <f t="shared" si="1230"/>
        <v>0</v>
      </c>
      <c r="BM260" s="1">
        <f t="shared" si="1231"/>
        <v>0</v>
      </c>
      <c r="BN260" s="1">
        <f t="shared" si="1232"/>
        <v>0</v>
      </c>
      <c r="BO260" s="1">
        <f t="shared" si="1233"/>
        <v>0</v>
      </c>
      <c r="BP260" s="1">
        <f t="shared" si="1234"/>
        <v>0</v>
      </c>
      <c r="BQ260" s="1">
        <f t="shared" si="1235"/>
        <v>0</v>
      </c>
      <c r="BR260" s="1">
        <f t="shared" si="1236"/>
        <v>0</v>
      </c>
      <c r="BS260" s="1">
        <f t="shared" si="1237"/>
        <v>0.5</v>
      </c>
      <c r="BT260" s="1">
        <f t="shared" si="1238"/>
        <v>0</v>
      </c>
      <c r="BU260" s="1">
        <f t="shared" si="1239"/>
        <v>0</v>
      </c>
      <c r="BV260" s="1">
        <f t="shared" si="1240"/>
        <v>0</v>
      </c>
      <c r="BW260" s="1">
        <f t="shared" si="1241"/>
        <v>0</v>
      </c>
      <c r="BX260" s="1">
        <f t="shared" si="1242"/>
        <v>0</v>
      </c>
      <c r="BY260" s="1">
        <f t="shared" si="1243"/>
        <v>0</v>
      </c>
      <c r="BZ260" s="1">
        <f t="shared" si="1244"/>
        <v>0</v>
      </c>
      <c r="CA260" s="1">
        <f t="shared" si="1245"/>
        <v>0</v>
      </c>
      <c r="CB260" s="1">
        <f t="shared" si="1246"/>
        <v>0</v>
      </c>
      <c r="CC260" s="1">
        <f t="shared" si="1247"/>
        <v>0</v>
      </c>
      <c r="CD260" s="1">
        <f t="shared" si="1248"/>
        <v>0</v>
      </c>
      <c r="CE260" s="1">
        <f t="shared" si="1249"/>
        <v>0</v>
      </c>
      <c r="CF260" s="1">
        <f t="shared" si="1250"/>
        <v>0</v>
      </c>
    </row>
    <row r="261" spans="2:85" ht="56.25" outlineLevel="1">
      <c r="C261" s="27" t="s">
        <v>973</v>
      </c>
      <c r="D261" s="55">
        <v>1</v>
      </c>
      <c r="E261" s="88" t="s">
        <v>828</v>
      </c>
      <c r="F261" s="56">
        <v>655.38</v>
      </c>
      <c r="G261" s="57">
        <f t="shared" si="1199"/>
        <v>655.38</v>
      </c>
      <c r="H261" s="28"/>
      <c r="I261" s="59" t="str">
        <f t="shared" si="1876"/>
        <v/>
      </c>
      <c r="J261" s="60"/>
      <c r="K261" s="59" t="str">
        <f t="shared" si="1877"/>
        <v/>
      </c>
      <c r="L261" s="60"/>
      <c r="M261" s="59" t="str">
        <f t="shared" si="1878"/>
        <v/>
      </c>
      <c r="N261" s="60"/>
      <c r="O261" s="59" t="str">
        <f t="shared" si="1879"/>
        <v/>
      </c>
      <c r="P261" s="60"/>
      <c r="Q261" s="59" t="str">
        <f t="shared" si="1880"/>
        <v/>
      </c>
      <c r="R261" s="60"/>
      <c r="S261" s="59" t="str">
        <f t="shared" si="1881"/>
        <v/>
      </c>
      <c r="T261" s="60"/>
      <c r="U261" s="59" t="str">
        <f t="shared" si="1882"/>
        <v/>
      </c>
      <c r="V261" s="60"/>
      <c r="W261" s="59" t="str">
        <f t="shared" si="1883"/>
        <v/>
      </c>
      <c r="X261" s="95"/>
      <c r="Y261" s="59" t="str">
        <f t="shared" si="1884"/>
        <v/>
      </c>
      <c r="Z261" s="95"/>
      <c r="AA261" s="59" t="str">
        <f t="shared" si="1885"/>
        <v/>
      </c>
      <c r="AB261" s="95">
        <f t="shared" si="1675"/>
        <v>0.5</v>
      </c>
      <c r="AC261" s="59">
        <f t="shared" si="1886"/>
        <v>327.69</v>
      </c>
      <c r="AD261" s="60"/>
      <c r="AE261" s="59" t="str">
        <f t="shared" si="1887"/>
        <v/>
      </c>
      <c r="AF261" s="95"/>
      <c r="AG261" s="59" t="str">
        <f t="shared" ref="AG261" si="2071">+IF(OR($F261="",AF261=""),"",$F261*AF261)</f>
        <v/>
      </c>
      <c r="AH261" s="95"/>
      <c r="AI261" s="59" t="str">
        <f t="shared" si="1889"/>
        <v/>
      </c>
      <c r="AJ261" s="60"/>
      <c r="AK261" s="59" t="str">
        <f t="shared" si="1889"/>
        <v/>
      </c>
      <c r="AL261" s="60"/>
      <c r="AM261" s="59" t="str">
        <f t="shared" ref="AM261" si="2072">+IF(OR($F261="",AL261=""),"",$F261*AL261)</f>
        <v/>
      </c>
      <c r="AN261" s="60"/>
      <c r="AO261" s="59" t="str">
        <f t="shared" ref="AO261" si="2073">+IF(OR($F261="",AN261=""),"",$F261*AN261)</f>
        <v/>
      </c>
      <c r="AP261" s="60"/>
      <c r="AQ261" s="59" t="str">
        <f t="shared" ref="AQ261" si="2074">+IF(OR($F261="",AP261=""),"",$F261*AP261)</f>
        <v/>
      </c>
      <c r="AR261" s="60"/>
      <c r="AS261" s="59" t="str">
        <f t="shared" ref="AS261" si="2075">+IF(OR($F261="",AR261=""),"",$F261*AR261)</f>
        <v/>
      </c>
      <c r="AT261" s="60"/>
      <c r="AU261" s="59" t="str">
        <f t="shared" ref="AU261" si="2076">+IF(OR($F261="",AT261=""),"",$F261*AT261)</f>
        <v/>
      </c>
      <c r="AV261" s="60"/>
      <c r="AW261" s="59" t="str">
        <f t="shared" ref="AW261" si="2077">+IF(OR($F261="",AV261=""),"",$F261*AV261)</f>
        <v/>
      </c>
      <c r="AX261" s="60"/>
      <c r="AY261" s="59" t="str">
        <f t="shared" ref="AY261" si="2078">+IF(OR($F261="",AX261=""),"",$F261*AX261)</f>
        <v/>
      </c>
      <c r="AZ261" s="60"/>
      <c r="BA261" s="59" t="str">
        <f t="shared" ref="BA261" si="2079">+IF(OR($F261="",AZ261=""),"",$F261*AZ261)</f>
        <v/>
      </c>
      <c r="BB261" s="60"/>
      <c r="BC261" s="59" t="str">
        <f t="shared" ref="BC261" si="2080">+IF(OR($F261="",BB261=""),"",$F261*BB261)</f>
        <v/>
      </c>
      <c r="BD261" s="61">
        <f t="shared" si="1223"/>
        <v>0.5</v>
      </c>
      <c r="BE261" s="59">
        <f t="shared" si="1899"/>
        <v>327.69</v>
      </c>
      <c r="BF261" s="61">
        <f t="shared" si="1225"/>
        <v>0.5</v>
      </c>
      <c r="BG261" s="59">
        <f t="shared" si="1900"/>
        <v>327.69</v>
      </c>
      <c r="BH261" s="196"/>
      <c r="BI261" s="1">
        <f t="shared" si="1227"/>
        <v>0</v>
      </c>
      <c r="BJ261" s="1">
        <f t="shared" si="1228"/>
        <v>0</v>
      </c>
      <c r="BK261" s="1">
        <f t="shared" si="1229"/>
        <v>0</v>
      </c>
      <c r="BL261" s="1">
        <f t="shared" si="1230"/>
        <v>0</v>
      </c>
      <c r="BM261" s="1">
        <f t="shared" si="1231"/>
        <v>0</v>
      </c>
      <c r="BN261" s="1">
        <f t="shared" si="1232"/>
        <v>0</v>
      </c>
      <c r="BO261" s="1">
        <f t="shared" si="1233"/>
        <v>0</v>
      </c>
      <c r="BP261" s="1">
        <f t="shared" si="1234"/>
        <v>0</v>
      </c>
      <c r="BQ261" s="1">
        <f t="shared" si="1235"/>
        <v>0</v>
      </c>
      <c r="BR261" s="1">
        <f t="shared" si="1236"/>
        <v>0</v>
      </c>
      <c r="BS261" s="1">
        <f t="shared" si="1237"/>
        <v>0.5</v>
      </c>
      <c r="BT261" s="1">
        <f t="shared" si="1238"/>
        <v>0</v>
      </c>
      <c r="BU261" s="1">
        <f t="shared" si="1239"/>
        <v>0</v>
      </c>
      <c r="BV261" s="1">
        <f t="shared" si="1240"/>
        <v>0</v>
      </c>
      <c r="BW261" s="1">
        <f t="shared" si="1241"/>
        <v>0</v>
      </c>
      <c r="BX261" s="1">
        <f t="shared" si="1242"/>
        <v>0</v>
      </c>
      <c r="BY261" s="1">
        <f t="shared" si="1243"/>
        <v>0</v>
      </c>
      <c r="BZ261" s="1">
        <f t="shared" si="1244"/>
        <v>0</v>
      </c>
      <c r="CA261" s="1">
        <f t="shared" si="1245"/>
        <v>0</v>
      </c>
      <c r="CB261" s="1">
        <f t="shared" si="1246"/>
        <v>0</v>
      </c>
      <c r="CC261" s="1">
        <f t="shared" si="1247"/>
        <v>0</v>
      </c>
      <c r="CD261" s="1">
        <f t="shared" si="1248"/>
        <v>0</v>
      </c>
      <c r="CE261" s="1">
        <f t="shared" si="1249"/>
        <v>0</v>
      </c>
      <c r="CF261" s="1">
        <f t="shared" si="1250"/>
        <v>0</v>
      </c>
    </row>
    <row r="262" spans="2:85" ht="56.25" outlineLevel="1">
      <c r="C262" s="27" t="s">
        <v>974</v>
      </c>
      <c r="D262" s="55">
        <v>3</v>
      </c>
      <c r="E262" s="88" t="s">
        <v>828</v>
      </c>
      <c r="F262" s="56">
        <v>686.4</v>
      </c>
      <c r="G262" s="57">
        <f t="shared" si="1199"/>
        <v>2059.1999999999998</v>
      </c>
      <c r="H262" s="28"/>
      <c r="I262" s="59" t="str">
        <f t="shared" si="1876"/>
        <v/>
      </c>
      <c r="J262" s="60"/>
      <c r="K262" s="59" t="str">
        <f t="shared" si="1877"/>
        <v/>
      </c>
      <c r="L262" s="60"/>
      <c r="M262" s="59" t="str">
        <f t="shared" si="1878"/>
        <v/>
      </c>
      <c r="N262" s="60"/>
      <c r="O262" s="59" t="str">
        <f t="shared" si="1879"/>
        <v/>
      </c>
      <c r="P262" s="60"/>
      <c r="Q262" s="59" t="str">
        <f t="shared" si="1880"/>
        <v/>
      </c>
      <c r="R262" s="60"/>
      <c r="S262" s="59" t="str">
        <f t="shared" si="1881"/>
        <v/>
      </c>
      <c r="T262" s="60"/>
      <c r="U262" s="59" t="str">
        <f t="shared" si="1882"/>
        <v/>
      </c>
      <c r="V262" s="60"/>
      <c r="W262" s="59" t="str">
        <f t="shared" si="1883"/>
        <v/>
      </c>
      <c r="X262" s="95"/>
      <c r="Y262" s="59" t="str">
        <f t="shared" si="1884"/>
        <v/>
      </c>
      <c r="Z262" s="95"/>
      <c r="AA262" s="59" t="str">
        <f t="shared" si="1885"/>
        <v/>
      </c>
      <c r="AB262" s="95">
        <f t="shared" si="1675"/>
        <v>1.5</v>
      </c>
      <c r="AC262" s="59">
        <f t="shared" si="1886"/>
        <v>1029.5999999999999</v>
      </c>
      <c r="AD262" s="60"/>
      <c r="AE262" s="59" t="str">
        <f t="shared" si="1887"/>
        <v/>
      </c>
      <c r="AF262" s="95"/>
      <c r="AG262" s="59" t="str">
        <f t="shared" ref="AG262" si="2081">+IF(OR($F262="",AF262=""),"",$F262*AF262)</f>
        <v/>
      </c>
      <c r="AH262" s="95"/>
      <c r="AI262" s="59" t="str">
        <f t="shared" si="1889"/>
        <v/>
      </c>
      <c r="AJ262" s="60"/>
      <c r="AK262" s="59" t="str">
        <f t="shared" si="1889"/>
        <v/>
      </c>
      <c r="AL262" s="60"/>
      <c r="AM262" s="59" t="str">
        <f t="shared" ref="AM262" si="2082">+IF(OR($F262="",AL262=""),"",$F262*AL262)</f>
        <v/>
      </c>
      <c r="AN262" s="60"/>
      <c r="AO262" s="59" t="str">
        <f t="shared" ref="AO262" si="2083">+IF(OR($F262="",AN262=""),"",$F262*AN262)</f>
        <v/>
      </c>
      <c r="AP262" s="60"/>
      <c r="AQ262" s="59" t="str">
        <f t="shared" ref="AQ262" si="2084">+IF(OR($F262="",AP262=""),"",$F262*AP262)</f>
        <v/>
      </c>
      <c r="AR262" s="60"/>
      <c r="AS262" s="59" t="str">
        <f t="shared" ref="AS262" si="2085">+IF(OR($F262="",AR262=""),"",$F262*AR262)</f>
        <v/>
      </c>
      <c r="AT262" s="60"/>
      <c r="AU262" s="59" t="str">
        <f t="shared" ref="AU262" si="2086">+IF(OR($F262="",AT262=""),"",$F262*AT262)</f>
        <v/>
      </c>
      <c r="AV262" s="60"/>
      <c r="AW262" s="59" t="str">
        <f t="shared" ref="AW262" si="2087">+IF(OR($F262="",AV262=""),"",$F262*AV262)</f>
        <v/>
      </c>
      <c r="AX262" s="60"/>
      <c r="AY262" s="59" t="str">
        <f t="shared" ref="AY262" si="2088">+IF(OR($F262="",AX262=""),"",$F262*AX262)</f>
        <v/>
      </c>
      <c r="AZ262" s="60"/>
      <c r="BA262" s="59" t="str">
        <f t="shared" ref="BA262" si="2089">+IF(OR($F262="",AZ262=""),"",$F262*AZ262)</f>
        <v/>
      </c>
      <c r="BB262" s="60"/>
      <c r="BC262" s="59" t="str">
        <f t="shared" ref="BC262" si="2090">+IF(OR($F262="",BB262=""),"",$F262*BB262)</f>
        <v/>
      </c>
      <c r="BD262" s="61">
        <f t="shared" si="1223"/>
        <v>1.5</v>
      </c>
      <c r="BE262" s="59">
        <f t="shared" si="1899"/>
        <v>1029.5999999999999</v>
      </c>
      <c r="BF262" s="61">
        <f t="shared" si="1225"/>
        <v>1.5</v>
      </c>
      <c r="BG262" s="59">
        <f t="shared" si="1900"/>
        <v>1029.5999999999999</v>
      </c>
      <c r="BH262" s="196"/>
      <c r="BI262" s="1">
        <f t="shared" si="1227"/>
        <v>0</v>
      </c>
      <c r="BJ262" s="1">
        <f t="shared" si="1228"/>
        <v>0</v>
      </c>
      <c r="BK262" s="1">
        <f t="shared" si="1229"/>
        <v>0</v>
      </c>
      <c r="BL262" s="1">
        <f t="shared" si="1230"/>
        <v>0</v>
      </c>
      <c r="BM262" s="1">
        <f t="shared" si="1231"/>
        <v>0</v>
      </c>
      <c r="BN262" s="1">
        <f t="shared" si="1232"/>
        <v>0</v>
      </c>
      <c r="BO262" s="1">
        <f t="shared" si="1233"/>
        <v>0</v>
      </c>
      <c r="BP262" s="1">
        <f t="shared" si="1234"/>
        <v>0</v>
      </c>
      <c r="BQ262" s="1">
        <f t="shared" si="1235"/>
        <v>0</v>
      </c>
      <c r="BR262" s="1">
        <f t="shared" si="1236"/>
        <v>0</v>
      </c>
      <c r="BS262" s="1">
        <f t="shared" si="1237"/>
        <v>1.5</v>
      </c>
      <c r="BT262" s="1">
        <f t="shared" si="1238"/>
        <v>0</v>
      </c>
      <c r="BU262" s="1">
        <f t="shared" si="1239"/>
        <v>0</v>
      </c>
      <c r="BV262" s="1">
        <f t="shared" si="1240"/>
        <v>0</v>
      </c>
      <c r="BW262" s="1">
        <f t="shared" si="1241"/>
        <v>0</v>
      </c>
      <c r="BX262" s="1">
        <f t="shared" si="1242"/>
        <v>0</v>
      </c>
      <c r="BY262" s="1">
        <f t="shared" si="1243"/>
        <v>0</v>
      </c>
      <c r="BZ262" s="1">
        <f t="shared" si="1244"/>
        <v>0</v>
      </c>
      <c r="CA262" s="1">
        <f t="shared" si="1245"/>
        <v>0</v>
      </c>
      <c r="CB262" s="1">
        <f t="shared" si="1246"/>
        <v>0</v>
      </c>
      <c r="CC262" s="1">
        <f t="shared" si="1247"/>
        <v>0</v>
      </c>
      <c r="CD262" s="1">
        <f t="shared" si="1248"/>
        <v>0</v>
      </c>
      <c r="CE262" s="1">
        <f t="shared" si="1249"/>
        <v>0</v>
      </c>
      <c r="CF262" s="1">
        <f t="shared" si="1250"/>
        <v>0</v>
      </c>
    </row>
    <row r="263" spans="2:85" ht="22.5" outlineLevel="1">
      <c r="C263" s="27" t="s">
        <v>941</v>
      </c>
      <c r="D263" s="55">
        <v>306.82</v>
      </c>
      <c r="E263" s="88" t="s">
        <v>874</v>
      </c>
      <c r="F263" s="56">
        <v>52.25</v>
      </c>
      <c r="G263" s="57">
        <f t="shared" si="1199"/>
        <v>16031.344999999999</v>
      </c>
      <c r="H263" s="28"/>
      <c r="I263" s="59" t="str">
        <f t="shared" si="1876"/>
        <v/>
      </c>
      <c r="J263" s="60"/>
      <c r="K263" s="59" t="str">
        <f t="shared" si="1877"/>
        <v/>
      </c>
      <c r="L263" s="60"/>
      <c r="M263" s="59" t="str">
        <f t="shared" si="1878"/>
        <v/>
      </c>
      <c r="N263" s="60"/>
      <c r="O263" s="59" t="str">
        <f t="shared" si="1879"/>
        <v/>
      </c>
      <c r="P263" s="60"/>
      <c r="Q263" s="59" t="str">
        <f t="shared" si="1880"/>
        <v/>
      </c>
      <c r="R263" s="60"/>
      <c r="S263" s="59" t="str">
        <f t="shared" si="1881"/>
        <v/>
      </c>
      <c r="T263" s="60"/>
      <c r="U263" s="59" t="str">
        <f t="shared" si="1882"/>
        <v/>
      </c>
      <c r="V263" s="60"/>
      <c r="W263" s="59" t="str">
        <f t="shared" si="1883"/>
        <v/>
      </c>
      <c r="X263" s="95"/>
      <c r="Y263" s="59" t="str">
        <f t="shared" si="1884"/>
        <v/>
      </c>
      <c r="Z263" s="95"/>
      <c r="AA263" s="59" t="str">
        <f t="shared" si="1885"/>
        <v/>
      </c>
      <c r="AB263" s="95">
        <f t="shared" si="1675"/>
        <v>153.41</v>
      </c>
      <c r="AC263" s="59">
        <f t="shared" si="1886"/>
        <v>8015.6724999999997</v>
      </c>
      <c r="AD263" s="60"/>
      <c r="AE263" s="59" t="str">
        <f t="shared" si="1887"/>
        <v/>
      </c>
      <c r="AF263" s="95"/>
      <c r="AG263" s="59" t="str">
        <f t="shared" ref="AG263" si="2091">+IF(OR($F263="",AF263=""),"",$F263*AF263)</f>
        <v/>
      </c>
      <c r="AH263" s="95"/>
      <c r="AI263" s="59" t="str">
        <f t="shared" si="1889"/>
        <v/>
      </c>
      <c r="AJ263" s="60"/>
      <c r="AK263" s="59" t="str">
        <f t="shared" si="1889"/>
        <v/>
      </c>
      <c r="AL263" s="60"/>
      <c r="AM263" s="59" t="str">
        <f t="shared" ref="AM263" si="2092">+IF(OR($F263="",AL263=""),"",$F263*AL263)</f>
        <v/>
      </c>
      <c r="AN263" s="60"/>
      <c r="AO263" s="59" t="str">
        <f t="shared" ref="AO263" si="2093">+IF(OR($F263="",AN263=""),"",$F263*AN263)</f>
        <v/>
      </c>
      <c r="AP263" s="60"/>
      <c r="AQ263" s="59" t="str">
        <f t="shared" ref="AQ263" si="2094">+IF(OR($F263="",AP263=""),"",$F263*AP263)</f>
        <v/>
      </c>
      <c r="AR263" s="60"/>
      <c r="AS263" s="59" t="str">
        <f t="shared" ref="AS263" si="2095">+IF(OR($F263="",AR263=""),"",$F263*AR263)</f>
        <v/>
      </c>
      <c r="AT263" s="60"/>
      <c r="AU263" s="59" t="str">
        <f t="shared" ref="AU263" si="2096">+IF(OR($F263="",AT263=""),"",$F263*AT263)</f>
        <v/>
      </c>
      <c r="AV263" s="60"/>
      <c r="AW263" s="59" t="str">
        <f t="shared" ref="AW263" si="2097">+IF(OR($F263="",AV263=""),"",$F263*AV263)</f>
        <v/>
      </c>
      <c r="AX263" s="60"/>
      <c r="AY263" s="59" t="str">
        <f t="shared" ref="AY263" si="2098">+IF(OR($F263="",AX263=""),"",$F263*AX263)</f>
        <v/>
      </c>
      <c r="AZ263" s="60"/>
      <c r="BA263" s="59" t="str">
        <f t="shared" ref="BA263" si="2099">+IF(OR($F263="",AZ263=""),"",$F263*AZ263)</f>
        <v/>
      </c>
      <c r="BB263" s="60"/>
      <c r="BC263" s="59" t="str">
        <f t="shared" ref="BC263" si="2100">+IF(OR($F263="",BB263=""),"",$F263*BB263)</f>
        <v/>
      </c>
      <c r="BD263" s="61">
        <f t="shared" si="1223"/>
        <v>153.41</v>
      </c>
      <c r="BE263" s="59">
        <f t="shared" si="1899"/>
        <v>8015.6724999999997</v>
      </c>
      <c r="BF263" s="61">
        <f t="shared" si="1225"/>
        <v>153.41</v>
      </c>
      <c r="BG263" s="59">
        <f t="shared" si="1900"/>
        <v>8015.6724999999997</v>
      </c>
      <c r="BH263" s="196"/>
      <c r="BI263" s="1">
        <f t="shared" si="1227"/>
        <v>0</v>
      </c>
      <c r="BJ263" s="1">
        <f t="shared" si="1228"/>
        <v>0</v>
      </c>
      <c r="BK263" s="1">
        <f t="shared" si="1229"/>
        <v>0</v>
      </c>
      <c r="BL263" s="1">
        <f t="shared" si="1230"/>
        <v>0</v>
      </c>
      <c r="BM263" s="1">
        <f t="shared" si="1231"/>
        <v>0</v>
      </c>
      <c r="BN263" s="1">
        <f t="shared" si="1232"/>
        <v>0</v>
      </c>
      <c r="BO263" s="1">
        <f t="shared" si="1233"/>
        <v>0</v>
      </c>
      <c r="BP263" s="1">
        <f t="shared" si="1234"/>
        <v>0</v>
      </c>
      <c r="BQ263" s="1">
        <f t="shared" si="1235"/>
        <v>0</v>
      </c>
      <c r="BR263" s="1">
        <f t="shared" si="1236"/>
        <v>0</v>
      </c>
      <c r="BS263" s="1">
        <f t="shared" si="1237"/>
        <v>153.41</v>
      </c>
      <c r="BT263" s="1">
        <f t="shared" si="1238"/>
        <v>0</v>
      </c>
      <c r="BU263" s="1">
        <f t="shared" si="1239"/>
        <v>0</v>
      </c>
      <c r="BV263" s="1">
        <f t="shared" si="1240"/>
        <v>0</v>
      </c>
      <c r="BW263" s="1">
        <f t="shared" si="1241"/>
        <v>0</v>
      </c>
      <c r="BX263" s="1">
        <f t="shared" si="1242"/>
        <v>0</v>
      </c>
      <c r="BY263" s="1">
        <f t="shared" si="1243"/>
        <v>0</v>
      </c>
      <c r="BZ263" s="1">
        <f t="shared" si="1244"/>
        <v>0</v>
      </c>
      <c r="CA263" s="1">
        <f t="shared" si="1245"/>
        <v>0</v>
      </c>
      <c r="CB263" s="1">
        <f t="shared" si="1246"/>
        <v>0</v>
      </c>
      <c r="CC263" s="1">
        <f t="shared" si="1247"/>
        <v>0</v>
      </c>
      <c r="CD263" s="1">
        <f t="shared" si="1248"/>
        <v>0</v>
      </c>
      <c r="CE263" s="1">
        <f t="shared" si="1249"/>
        <v>0</v>
      </c>
      <c r="CF263" s="1">
        <f t="shared" si="1250"/>
        <v>0</v>
      </c>
    </row>
    <row r="264" spans="2:85" ht="31.5" customHeight="1" outlineLevel="1">
      <c r="C264" s="27" t="s">
        <v>942</v>
      </c>
      <c r="D264" s="55">
        <v>10</v>
      </c>
      <c r="E264" s="88" t="s">
        <v>828</v>
      </c>
      <c r="F264" s="56">
        <v>363</v>
      </c>
      <c r="G264" s="57">
        <f t="shared" si="1199"/>
        <v>3630</v>
      </c>
      <c r="H264" s="28"/>
      <c r="I264" s="59" t="str">
        <f t="shared" si="1876"/>
        <v/>
      </c>
      <c r="J264" s="60"/>
      <c r="K264" s="59" t="str">
        <f t="shared" si="1877"/>
        <v/>
      </c>
      <c r="L264" s="60"/>
      <c r="M264" s="59" t="str">
        <f t="shared" si="1878"/>
        <v/>
      </c>
      <c r="N264" s="60"/>
      <c r="O264" s="59" t="str">
        <f t="shared" si="1879"/>
        <v/>
      </c>
      <c r="P264" s="60"/>
      <c r="Q264" s="59" t="str">
        <f t="shared" si="1880"/>
        <v/>
      </c>
      <c r="R264" s="60"/>
      <c r="S264" s="59" t="str">
        <f t="shared" si="1881"/>
        <v/>
      </c>
      <c r="T264" s="60"/>
      <c r="U264" s="59" t="str">
        <f t="shared" si="1882"/>
        <v/>
      </c>
      <c r="V264" s="60"/>
      <c r="W264" s="59" t="str">
        <f t="shared" si="1883"/>
        <v/>
      </c>
      <c r="X264" s="95"/>
      <c r="Y264" s="59" t="str">
        <f t="shared" si="1884"/>
        <v/>
      </c>
      <c r="Z264" s="95"/>
      <c r="AA264" s="59" t="str">
        <f t="shared" si="1885"/>
        <v/>
      </c>
      <c r="AB264" s="95">
        <f t="shared" si="1675"/>
        <v>5</v>
      </c>
      <c r="AC264" s="59">
        <f t="shared" si="1886"/>
        <v>1815</v>
      </c>
      <c r="AD264" s="60"/>
      <c r="AE264" s="59" t="str">
        <f t="shared" si="1887"/>
        <v/>
      </c>
      <c r="AF264" s="95"/>
      <c r="AG264" s="59" t="str">
        <f t="shared" ref="AG264" si="2101">+IF(OR($F264="",AF264=""),"",$F264*AF264)</f>
        <v/>
      </c>
      <c r="AH264" s="95"/>
      <c r="AI264" s="59" t="str">
        <f t="shared" si="1889"/>
        <v/>
      </c>
      <c r="AJ264" s="60"/>
      <c r="AK264" s="59" t="str">
        <f t="shared" si="1889"/>
        <v/>
      </c>
      <c r="AL264" s="60"/>
      <c r="AM264" s="59" t="str">
        <f t="shared" ref="AM264" si="2102">+IF(OR($F264="",AL264=""),"",$F264*AL264)</f>
        <v/>
      </c>
      <c r="AN264" s="60"/>
      <c r="AO264" s="59" t="str">
        <f t="shared" ref="AO264" si="2103">+IF(OR($F264="",AN264=""),"",$F264*AN264)</f>
        <v/>
      </c>
      <c r="AP264" s="60"/>
      <c r="AQ264" s="59" t="str">
        <f t="shared" ref="AQ264" si="2104">+IF(OR($F264="",AP264=""),"",$F264*AP264)</f>
        <v/>
      </c>
      <c r="AR264" s="60"/>
      <c r="AS264" s="59" t="str">
        <f t="shared" ref="AS264" si="2105">+IF(OR($F264="",AR264=""),"",$F264*AR264)</f>
        <v/>
      </c>
      <c r="AT264" s="60"/>
      <c r="AU264" s="59" t="str">
        <f t="shared" ref="AU264" si="2106">+IF(OR($F264="",AT264=""),"",$F264*AT264)</f>
        <v/>
      </c>
      <c r="AV264" s="60"/>
      <c r="AW264" s="59" t="str">
        <f t="shared" ref="AW264" si="2107">+IF(OR($F264="",AV264=""),"",$F264*AV264)</f>
        <v/>
      </c>
      <c r="AX264" s="60"/>
      <c r="AY264" s="59" t="str">
        <f t="shared" ref="AY264" si="2108">+IF(OR($F264="",AX264=""),"",$F264*AX264)</f>
        <v/>
      </c>
      <c r="AZ264" s="60"/>
      <c r="BA264" s="59" t="str">
        <f t="shared" ref="BA264" si="2109">+IF(OR($F264="",AZ264=""),"",$F264*AZ264)</f>
        <v/>
      </c>
      <c r="BB264" s="60"/>
      <c r="BC264" s="59" t="str">
        <f t="shared" ref="BC264" si="2110">+IF(OR($F264="",BB264=""),"",$F264*BB264)</f>
        <v/>
      </c>
      <c r="BD264" s="61">
        <f t="shared" si="1223"/>
        <v>5</v>
      </c>
      <c r="BE264" s="59">
        <f t="shared" si="1899"/>
        <v>1815</v>
      </c>
      <c r="BF264" s="61">
        <f t="shared" si="1225"/>
        <v>5</v>
      </c>
      <c r="BG264" s="59">
        <f t="shared" si="1900"/>
        <v>1815</v>
      </c>
      <c r="BH264" s="196"/>
      <c r="BI264" s="1">
        <f t="shared" si="1227"/>
        <v>0</v>
      </c>
      <c r="BJ264" s="1">
        <f t="shared" si="1228"/>
        <v>0</v>
      </c>
      <c r="BK264" s="1">
        <f t="shared" si="1229"/>
        <v>0</v>
      </c>
      <c r="BL264" s="1">
        <f t="shared" si="1230"/>
        <v>0</v>
      </c>
      <c r="BM264" s="1">
        <f t="shared" si="1231"/>
        <v>0</v>
      </c>
      <c r="BN264" s="1">
        <f t="shared" si="1232"/>
        <v>0</v>
      </c>
      <c r="BO264" s="1">
        <f t="shared" si="1233"/>
        <v>0</v>
      </c>
      <c r="BP264" s="1">
        <f t="shared" si="1234"/>
        <v>0</v>
      </c>
      <c r="BQ264" s="1">
        <f t="shared" si="1235"/>
        <v>0</v>
      </c>
      <c r="BR264" s="1">
        <f t="shared" si="1236"/>
        <v>0</v>
      </c>
      <c r="BS264" s="1">
        <f t="shared" si="1237"/>
        <v>5</v>
      </c>
      <c r="BT264" s="1">
        <f t="shared" si="1238"/>
        <v>0</v>
      </c>
      <c r="BU264" s="1">
        <f t="shared" si="1239"/>
        <v>0</v>
      </c>
      <c r="BV264" s="1">
        <f t="shared" si="1240"/>
        <v>0</v>
      </c>
      <c r="BW264" s="1">
        <f t="shared" si="1241"/>
        <v>0</v>
      </c>
      <c r="BX264" s="1">
        <f t="shared" si="1242"/>
        <v>0</v>
      </c>
      <c r="BY264" s="1">
        <f t="shared" si="1243"/>
        <v>0</v>
      </c>
      <c r="BZ264" s="1">
        <f t="shared" si="1244"/>
        <v>0</v>
      </c>
      <c r="CA264" s="1">
        <f t="shared" si="1245"/>
        <v>0</v>
      </c>
      <c r="CB264" s="1">
        <f t="shared" si="1246"/>
        <v>0</v>
      </c>
      <c r="CC264" s="1">
        <f t="shared" si="1247"/>
        <v>0</v>
      </c>
      <c r="CD264" s="1">
        <f t="shared" si="1248"/>
        <v>0</v>
      </c>
      <c r="CE264" s="1">
        <f t="shared" si="1249"/>
        <v>0</v>
      </c>
      <c r="CF264" s="1">
        <f t="shared" si="1250"/>
        <v>0</v>
      </c>
    </row>
    <row r="265" spans="2:85" ht="31.5" customHeight="1" outlineLevel="1">
      <c r="C265" s="27" t="s">
        <v>943</v>
      </c>
      <c r="D265" s="55">
        <v>306.82</v>
      </c>
      <c r="E265" s="88" t="s">
        <v>874</v>
      </c>
      <c r="F265" s="56">
        <v>18.48</v>
      </c>
      <c r="G265" s="57">
        <f t="shared" si="1199"/>
        <v>5670.0335999999998</v>
      </c>
      <c r="H265" s="28"/>
      <c r="I265" s="59" t="str">
        <f t="shared" si="1876"/>
        <v/>
      </c>
      <c r="J265" s="60"/>
      <c r="K265" s="59" t="str">
        <f t="shared" si="1877"/>
        <v/>
      </c>
      <c r="L265" s="60"/>
      <c r="M265" s="59" t="str">
        <f t="shared" si="1878"/>
        <v/>
      </c>
      <c r="N265" s="60"/>
      <c r="O265" s="59" t="str">
        <f t="shared" si="1879"/>
        <v/>
      </c>
      <c r="P265" s="60"/>
      <c r="Q265" s="59" t="str">
        <f t="shared" si="1880"/>
        <v/>
      </c>
      <c r="R265" s="60"/>
      <c r="S265" s="59" t="str">
        <f t="shared" si="1881"/>
        <v/>
      </c>
      <c r="T265" s="60"/>
      <c r="U265" s="59" t="str">
        <f t="shared" si="1882"/>
        <v/>
      </c>
      <c r="V265" s="60"/>
      <c r="W265" s="59" t="str">
        <f t="shared" si="1883"/>
        <v/>
      </c>
      <c r="X265" s="95"/>
      <c r="Y265" s="59" t="str">
        <f t="shared" si="1884"/>
        <v/>
      </c>
      <c r="Z265" s="95"/>
      <c r="AA265" s="59" t="str">
        <f t="shared" si="1885"/>
        <v/>
      </c>
      <c r="AB265" s="95"/>
      <c r="AC265" s="59" t="str">
        <f t="shared" si="1886"/>
        <v/>
      </c>
      <c r="AD265" s="60"/>
      <c r="AE265" s="59" t="str">
        <f t="shared" si="1887"/>
        <v/>
      </c>
      <c r="AF265" s="95"/>
      <c r="AG265" s="59" t="str">
        <f t="shared" ref="AG265" si="2111">+IF(OR($F265="",AF265=""),"",$F265*AF265)</f>
        <v/>
      </c>
      <c r="AH265" s="218">
        <f>27.817+8.573+22.54</f>
        <v>58.93</v>
      </c>
      <c r="AI265" s="59">
        <f t="shared" si="1889"/>
        <v>1089.0264</v>
      </c>
      <c r="AJ265" s="60"/>
      <c r="AK265" s="59" t="str">
        <f t="shared" si="1889"/>
        <v/>
      </c>
      <c r="AL265" s="60"/>
      <c r="AM265" s="59" t="str">
        <f t="shared" ref="AM265" si="2112">+IF(OR($F265="",AL265=""),"",$F265*AL265)</f>
        <v/>
      </c>
      <c r="AN265" s="60"/>
      <c r="AO265" s="59" t="str">
        <f t="shared" ref="AO265" si="2113">+IF(OR($F265="",AN265=""),"",$F265*AN265)</f>
        <v/>
      </c>
      <c r="AP265" s="60"/>
      <c r="AQ265" s="59" t="str">
        <f t="shared" ref="AQ265" si="2114">+IF(OR($F265="",AP265=""),"",$F265*AP265)</f>
        <v/>
      </c>
      <c r="AR265" s="60"/>
      <c r="AS265" s="59" t="str">
        <f t="shared" ref="AS265" si="2115">+IF(OR($F265="",AR265=""),"",$F265*AR265)</f>
        <v/>
      </c>
      <c r="AT265" s="60"/>
      <c r="AU265" s="59" t="str">
        <f t="shared" ref="AU265" si="2116">+IF(OR($F265="",AT265=""),"",$F265*AT265)</f>
        <v/>
      </c>
      <c r="AV265" s="60"/>
      <c r="AW265" s="59" t="str">
        <f t="shared" ref="AW265" si="2117">+IF(OR($F265="",AV265=""),"",$F265*AV265)</f>
        <v/>
      </c>
      <c r="AX265" s="60"/>
      <c r="AY265" s="59" t="str">
        <f t="shared" ref="AY265" si="2118">+IF(OR($F265="",AX265=""),"",$F265*AX265)</f>
        <v/>
      </c>
      <c r="AZ265" s="60"/>
      <c r="BA265" s="59" t="str">
        <f t="shared" ref="BA265" si="2119">+IF(OR($F265="",AZ265=""),"",$F265*AZ265)</f>
        <v/>
      </c>
      <c r="BB265" s="60"/>
      <c r="BC265" s="59" t="str">
        <f t="shared" ref="BC265" si="2120">+IF(OR($F265="",BB265=""),"",$F265*BB265)</f>
        <v/>
      </c>
      <c r="BD265" s="61">
        <f t="shared" si="1223"/>
        <v>58.93</v>
      </c>
      <c r="BE265" s="59">
        <f t="shared" si="1899"/>
        <v>1089.0264</v>
      </c>
      <c r="BF265" s="61">
        <f t="shared" si="1225"/>
        <v>247.89</v>
      </c>
      <c r="BG265" s="59">
        <f t="shared" si="1900"/>
        <v>4581.0072</v>
      </c>
      <c r="BH265" s="196"/>
      <c r="BI265" s="1">
        <f t="shared" si="1227"/>
        <v>0</v>
      </c>
      <c r="BJ265" s="1">
        <f t="shared" si="1228"/>
        <v>0</v>
      </c>
      <c r="BK265" s="1">
        <f t="shared" si="1229"/>
        <v>0</v>
      </c>
      <c r="BL265" s="1">
        <f t="shared" si="1230"/>
        <v>0</v>
      </c>
      <c r="BM265" s="1">
        <f t="shared" si="1231"/>
        <v>0</v>
      </c>
      <c r="BN265" s="1">
        <f t="shared" si="1232"/>
        <v>0</v>
      </c>
      <c r="BO265" s="1">
        <f t="shared" si="1233"/>
        <v>0</v>
      </c>
      <c r="BP265" s="1">
        <f t="shared" si="1234"/>
        <v>0</v>
      </c>
      <c r="BQ265" s="1">
        <f t="shared" si="1235"/>
        <v>0</v>
      </c>
      <c r="BR265" s="1">
        <f t="shared" si="1236"/>
        <v>0</v>
      </c>
      <c r="BS265" s="1">
        <f t="shared" si="1237"/>
        <v>0</v>
      </c>
      <c r="BT265" s="1">
        <f t="shared" si="1238"/>
        <v>0</v>
      </c>
      <c r="BU265" s="1">
        <f t="shared" si="1239"/>
        <v>0</v>
      </c>
      <c r="BV265" s="1">
        <f t="shared" si="1240"/>
        <v>58.93</v>
      </c>
      <c r="BW265" s="1">
        <f t="shared" si="1241"/>
        <v>0</v>
      </c>
      <c r="BX265" s="1">
        <f t="shared" si="1242"/>
        <v>0</v>
      </c>
      <c r="BY265" s="1">
        <f t="shared" si="1243"/>
        <v>0</v>
      </c>
      <c r="BZ265" s="1">
        <f t="shared" si="1244"/>
        <v>0</v>
      </c>
      <c r="CA265" s="1">
        <f t="shared" si="1245"/>
        <v>0</v>
      </c>
      <c r="CB265" s="1">
        <f t="shared" si="1246"/>
        <v>0</v>
      </c>
      <c r="CC265" s="1">
        <f t="shared" si="1247"/>
        <v>0</v>
      </c>
      <c r="CD265" s="1">
        <f t="shared" si="1248"/>
        <v>0</v>
      </c>
      <c r="CE265" s="1">
        <f t="shared" si="1249"/>
        <v>0</v>
      </c>
      <c r="CF265" s="1">
        <f t="shared" si="1250"/>
        <v>0</v>
      </c>
      <c r="CG265" s="219" t="s">
        <v>1040</v>
      </c>
    </row>
    <row r="266" spans="2:85" s="6" customFormat="1" ht="18" customHeight="1">
      <c r="B266" s="62" t="s">
        <v>983</v>
      </c>
      <c r="C266" s="25" t="s">
        <v>948</v>
      </c>
      <c r="D266" s="49"/>
      <c r="E266" s="85"/>
      <c r="F266" s="50"/>
      <c r="G266" s="63">
        <f>+SUM(G267:G268)</f>
        <v>5871.9000000000015</v>
      </c>
      <c r="H266" s="51"/>
      <c r="I266" s="52" t="str">
        <f>IF(SUM(I267:I268)=0,"",SUM(I267:I268))</f>
        <v/>
      </c>
      <c r="J266" s="53"/>
      <c r="K266" s="52" t="str">
        <f>IF(SUM(K267:K268)=0,"",SUM(K267:K268))</f>
        <v/>
      </c>
      <c r="L266" s="53"/>
      <c r="M266" s="52" t="str">
        <f>IF(SUM(M267:M268)=0,"",SUM(M267:M268))</f>
        <v/>
      </c>
      <c r="N266" s="53"/>
      <c r="O266" s="52" t="str">
        <f>IF(SUM(O267:O268)=0,"",SUM(O267:O268))</f>
        <v/>
      </c>
      <c r="P266" s="51"/>
      <c r="Q266" s="52" t="str">
        <f>IF(SUM(Q267:Q268)=0,"",SUM(Q267:Q268))</f>
        <v/>
      </c>
      <c r="R266" s="53"/>
      <c r="S266" s="52" t="str">
        <f>IF(SUM(S267:S268)=0,"",SUM(S267:S268))</f>
        <v/>
      </c>
      <c r="T266" s="53"/>
      <c r="U266" s="52" t="str">
        <f>IF(SUM(U267:U268)=0,"",SUM(U267:U268))</f>
        <v/>
      </c>
      <c r="V266" s="53"/>
      <c r="W266" s="52" t="str">
        <f>IF(SUM(W267:W268)=0,"",SUM(W267:W268))</f>
        <v/>
      </c>
      <c r="X266" s="51"/>
      <c r="Y266" s="52" t="str">
        <f>IF(SUM(Y267:Y268)=0,"",SUM(Y267:Y268))</f>
        <v/>
      </c>
      <c r="Z266" s="53"/>
      <c r="AA266" s="52" t="str">
        <f>IF(SUM(AA267:AA268)=0,"",SUM(AA267:AA268))</f>
        <v/>
      </c>
      <c r="AB266" s="53"/>
      <c r="AC266" s="52" t="str">
        <f>IF(SUM(AC267:AC268)=0,"",SUM(AC267:AC268))</f>
        <v/>
      </c>
      <c r="AD266" s="53"/>
      <c r="AE266" s="52" t="str">
        <f>IF(SUM(AE267:AE268)=0,"",SUM(AE267:AE268))</f>
        <v/>
      </c>
      <c r="AF266" s="192"/>
      <c r="AG266" s="52" t="str">
        <f>IF(SUM(AG267:AG268)=0,"",SUM(AG267:AG268))</f>
        <v/>
      </c>
      <c r="AH266" s="91"/>
      <c r="AI266" s="52">
        <f>IF(SUM(AI267:AI268)=0,"",SUM(AI267:AI268))</f>
        <v>3174.0000000000005</v>
      </c>
      <c r="AJ266" s="53"/>
      <c r="AK266" s="52" t="str">
        <f>IF(SUM(AK267:AK268)=0,"",SUM(AK267:AK268))</f>
        <v/>
      </c>
      <c r="AL266" s="53"/>
      <c r="AM266" s="52" t="str">
        <f>IF(SUM(AM267:AM268)=0,"",SUM(AM267:AM268))</f>
        <v/>
      </c>
      <c r="AN266" s="51"/>
      <c r="AO266" s="52" t="str">
        <f>IF(SUM(AO267:AO268)=0,"",SUM(AO267:AO268))</f>
        <v/>
      </c>
      <c r="AP266" s="53"/>
      <c r="AQ266" s="52" t="str">
        <f>IF(SUM(AQ267:AQ268)=0,"",SUM(AQ267:AQ268))</f>
        <v/>
      </c>
      <c r="AR266" s="53"/>
      <c r="AS266" s="52" t="str">
        <f>IF(SUM(AS267:AS268)=0,"",SUM(AS267:AS268))</f>
        <v/>
      </c>
      <c r="AT266" s="53"/>
      <c r="AU266" s="52" t="str">
        <f>IF(SUM(AU267:AU268)=0,"",SUM(AU267:AU268))</f>
        <v/>
      </c>
      <c r="AV266" s="51"/>
      <c r="AW266" s="52" t="str">
        <f>IF(SUM(AW267:AW268)=0,"",SUM(AW267:AW268))</f>
        <v/>
      </c>
      <c r="AX266" s="53"/>
      <c r="AY266" s="52" t="str">
        <f>IF(SUM(AY267:AY268)=0,"",SUM(AY267:AY268))</f>
        <v/>
      </c>
      <c r="AZ266" s="53"/>
      <c r="BA266" s="52" t="str">
        <f>IF(SUM(BA267:BA268)=0,"",SUM(BA267:BA268))</f>
        <v/>
      </c>
      <c r="BB266" s="53"/>
      <c r="BC266" s="52" t="str">
        <f>IF(SUM(BC267:BC268)=0,"",SUM(BC267:BC268))</f>
        <v/>
      </c>
      <c r="BD266" s="54"/>
      <c r="BE266" s="63">
        <f>+SUM(BE267:BE268)</f>
        <v>3174.0000000000005</v>
      </c>
      <c r="BF266" s="54"/>
      <c r="BG266" s="52">
        <f>+SUM(BG267:BG268)</f>
        <v>2697.9000000000005</v>
      </c>
      <c r="BH266" s="210"/>
      <c r="BI266" s="18">
        <f t="shared" si="1227"/>
        <v>0</v>
      </c>
      <c r="BJ266" s="18">
        <f t="shared" si="1228"/>
        <v>0</v>
      </c>
      <c r="BK266" s="18">
        <f t="shared" si="1229"/>
        <v>0</v>
      </c>
      <c r="BL266" s="18">
        <f t="shared" si="1230"/>
        <v>0</v>
      </c>
      <c r="BM266" s="18">
        <f t="shared" si="1231"/>
        <v>0</v>
      </c>
      <c r="BN266" s="18">
        <f t="shared" si="1232"/>
        <v>0</v>
      </c>
      <c r="BO266" s="18">
        <f t="shared" si="1233"/>
        <v>0</v>
      </c>
      <c r="BP266" s="18">
        <f t="shared" si="1234"/>
        <v>0</v>
      </c>
      <c r="BQ266" s="18">
        <f t="shared" si="1235"/>
        <v>0</v>
      </c>
      <c r="BR266" s="18">
        <f t="shared" si="1236"/>
        <v>0</v>
      </c>
      <c r="BS266" s="18">
        <f t="shared" si="1237"/>
        <v>0</v>
      </c>
      <c r="BT266" s="18">
        <f t="shared" si="1238"/>
        <v>0</v>
      </c>
      <c r="BU266" s="18">
        <f t="shared" si="1239"/>
        <v>0</v>
      </c>
      <c r="BV266" s="18">
        <f t="shared" si="1240"/>
        <v>0</v>
      </c>
      <c r="BW266" s="18">
        <f t="shared" si="1241"/>
        <v>0</v>
      </c>
      <c r="BX266" s="18">
        <f t="shared" si="1242"/>
        <v>0</v>
      </c>
      <c r="BY266" s="18">
        <f t="shared" si="1243"/>
        <v>0</v>
      </c>
      <c r="BZ266" s="18">
        <f t="shared" si="1244"/>
        <v>0</v>
      </c>
      <c r="CA266" s="18">
        <f t="shared" si="1245"/>
        <v>0</v>
      </c>
      <c r="CB266" s="18">
        <f t="shared" si="1246"/>
        <v>0</v>
      </c>
      <c r="CC266" s="18">
        <f t="shared" si="1247"/>
        <v>0</v>
      </c>
      <c r="CD266" s="18">
        <f t="shared" si="1248"/>
        <v>0</v>
      </c>
      <c r="CE266" s="18">
        <f t="shared" si="1249"/>
        <v>0</v>
      </c>
      <c r="CF266" s="18">
        <f t="shared" si="1250"/>
        <v>0</v>
      </c>
    </row>
    <row r="267" spans="2:85" ht="78.75" outlineLevel="1">
      <c r="C267" s="27" t="s">
        <v>869</v>
      </c>
      <c r="D267" s="55">
        <v>-185</v>
      </c>
      <c r="E267" s="88" t="s">
        <v>874</v>
      </c>
      <c r="F267" s="56">
        <v>7.21</v>
      </c>
      <c r="G267" s="57">
        <f t="shared" si="1199"/>
        <v>-1333.85</v>
      </c>
      <c r="H267" s="28"/>
      <c r="I267" s="59" t="str">
        <f t="shared" si="1876"/>
        <v/>
      </c>
      <c r="J267" s="60"/>
      <c r="K267" s="59" t="str">
        <f t="shared" si="1877"/>
        <v/>
      </c>
      <c r="L267" s="60"/>
      <c r="M267" s="59" t="str">
        <f t="shared" si="1878"/>
        <v/>
      </c>
      <c r="N267" s="60"/>
      <c r="O267" s="59" t="str">
        <f t="shared" si="1879"/>
        <v/>
      </c>
      <c r="P267" s="60"/>
      <c r="Q267" s="59" t="str">
        <f t="shared" si="1880"/>
        <v/>
      </c>
      <c r="R267" s="60"/>
      <c r="S267" s="59" t="str">
        <f t="shared" si="1881"/>
        <v/>
      </c>
      <c r="T267" s="60"/>
      <c r="U267" s="59" t="str">
        <f t="shared" si="1882"/>
        <v/>
      </c>
      <c r="V267" s="60"/>
      <c r="W267" s="59" t="str">
        <f t="shared" si="1883"/>
        <v/>
      </c>
      <c r="X267" s="95"/>
      <c r="Y267" s="59" t="str">
        <f t="shared" si="1884"/>
        <v/>
      </c>
      <c r="Z267" s="95"/>
      <c r="AA267" s="59" t="str">
        <f t="shared" si="1885"/>
        <v/>
      </c>
      <c r="AB267" s="60"/>
      <c r="AC267" s="59" t="str">
        <f t="shared" si="1886"/>
        <v/>
      </c>
      <c r="AD267" s="60"/>
      <c r="AE267" s="59" t="str">
        <f t="shared" si="1887"/>
        <v/>
      </c>
      <c r="AF267" s="95"/>
      <c r="AG267" s="59" t="str">
        <f t="shared" ref="AG267" si="2121">+IF(OR($F267="",AF267=""),"",$F267*AF267)</f>
        <v/>
      </c>
      <c r="AH267" s="95">
        <v>-100</v>
      </c>
      <c r="AI267" s="59">
        <f t="shared" si="1889"/>
        <v>-721</v>
      </c>
      <c r="AJ267" s="60"/>
      <c r="AK267" s="59" t="str">
        <f t="shared" si="1889"/>
        <v/>
      </c>
      <c r="AL267" s="60"/>
      <c r="AM267" s="59" t="str">
        <f t="shared" ref="AM267" si="2122">+IF(OR($F267="",AL267=""),"",$F267*AL267)</f>
        <v/>
      </c>
      <c r="AN267" s="60"/>
      <c r="AO267" s="59" t="str">
        <f t="shared" ref="AO267" si="2123">+IF(OR($F267="",AN267=""),"",$F267*AN267)</f>
        <v/>
      </c>
      <c r="AP267" s="60"/>
      <c r="AQ267" s="59" t="str">
        <f t="shared" ref="AQ267" si="2124">+IF(OR($F267="",AP267=""),"",$F267*AP267)</f>
        <v/>
      </c>
      <c r="AR267" s="60"/>
      <c r="AS267" s="59" t="str">
        <f t="shared" ref="AS267" si="2125">+IF(OR($F267="",AR267=""),"",$F267*AR267)</f>
        <v/>
      </c>
      <c r="AT267" s="60"/>
      <c r="AU267" s="59" t="str">
        <f t="shared" ref="AU267" si="2126">+IF(OR($F267="",AT267=""),"",$F267*AT267)</f>
        <v/>
      </c>
      <c r="AV267" s="60"/>
      <c r="AW267" s="59" t="str">
        <f t="shared" ref="AW267" si="2127">+IF(OR($F267="",AV267=""),"",$F267*AV267)</f>
        <v/>
      </c>
      <c r="AX267" s="60"/>
      <c r="AY267" s="59" t="str">
        <f t="shared" ref="AY267" si="2128">+IF(OR($F267="",AX267=""),"",$F267*AX267)</f>
        <v/>
      </c>
      <c r="AZ267" s="60"/>
      <c r="BA267" s="59" t="str">
        <f t="shared" ref="BA267" si="2129">+IF(OR($F267="",AZ267=""),"",$F267*AZ267)</f>
        <v/>
      </c>
      <c r="BB267" s="60"/>
      <c r="BC267" s="59" t="str">
        <f t="shared" ref="BC267" si="2130">+IF(OR($F267="",BB267=""),"",$F267*BB267)</f>
        <v/>
      </c>
      <c r="BD267" s="61">
        <f t="shared" si="1223"/>
        <v>-100</v>
      </c>
      <c r="BE267" s="59">
        <f t="shared" si="1899"/>
        <v>-721</v>
      </c>
      <c r="BF267" s="61">
        <f t="shared" si="1225"/>
        <v>-85</v>
      </c>
      <c r="BG267" s="59">
        <f t="shared" si="1900"/>
        <v>-612.85</v>
      </c>
      <c r="BH267" s="196"/>
      <c r="BI267" s="1">
        <f t="shared" si="1227"/>
        <v>0</v>
      </c>
      <c r="BJ267" s="1">
        <f t="shared" si="1228"/>
        <v>0</v>
      </c>
      <c r="BK267" s="1">
        <f t="shared" si="1229"/>
        <v>0</v>
      </c>
      <c r="BL267" s="1">
        <f t="shared" si="1230"/>
        <v>0</v>
      </c>
      <c r="BM267" s="1">
        <f t="shared" si="1231"/>
        <v>0</v>
      </c>
      <c r="BN267" s="1">
        <f t="shared" si="1232"/>
        <v>0</v>
      </c>
      <c r="BO267" s="1">
        <f t="shared" si="1233"/>
        <v>0</v>
      </c>
      <c r="BP267" s="1">
        <f t="shared" si="1234"/>
        <v>0</v>
      </c>
      <c r="BQ267" s="1">
        <f t="shared" si="1235"/>
        <v>0</v>
      </c>
      <c r="BR267" s="1">
        <f t="shared" si="1236"/>
        <v>0</v>
      </c>
      <c r="BS267" s="1">
        <f t="shared" si="1237"/>
        <v>0</v>
      </c>
      <c r="BT267" s="1">
        <f t="shared" si="1238"/>
        <v>0</v>
      </c>
      <c r="BU267" s="1">
        <f t="shared" si="1239"/>
        <v>0</v>
      </c>
      <c r="BV267" s="1">
        <f t="shared" si="1240"/>
        <v>-100</v>
      </c>
      <c r="BW267" s="1">
        <f t="shared" si="1241"/>
        <v>0</v>
      </c>
      <c r="BX267" s="1">
        <f t="shared" si="1242"/>
        <v>0</v>
      </c>
      <c r="BY267" s="1">
        <f t="shared" si="1243"/>
        <v>0</v>
      </c>
      <c r="BZ267" s="1">
        <f t="shared" si="1244"/>
        <v>0</v>
      </c>
      <c r="CA267" s="1">
        <f t="shared" si="1245"/>
        <v>0</v>
      </c>
      <c r="CB267" s="1">
        <f t="shared" si="1246"/>
        <v>0</v>
      </c>
      <c r="CC267" s="1">
        <f t="shared" si="1247"/>
        <v>0</v>
      </c>
      <c r="CD267" s="1">
        <f t="shared" si="1248"/>
        <v>0</v>
      </c>
      <c r="CE267" s="1">
        <f t="shared" si="1249"/>
        <v>0</v>
      </c>
      <c r="CF267" s="1">
        <f t="shared" si="1250"/>
        <v>0</v>
      </c>
    </row>
    <row r="268" spans="2:85" ht="45" outlineLevel="1">
      <c r="C268" s="27" t="s">
        <v>975</v>
      </c>
      <c r="D268" s="55">
        <v>185</v>
      </c>
      <c r="E268" s="88" t="s">
        <v>874</v>
      </c>
      <c r="F268" s="56">
        <v>38.950000000000003</v>
      </c>
      <c r="G268" s="57">
        <f t="shared" si="1199"/>
        <v>7205.7500000000009</v>
      </c>
      <c r="H268" s="28"/>
      <c r="I268" s="59" t="str">
        <f t="shared" si="1876"/>
        <v/>
      </c>
      <c r="J268" s="60"/>
      <c r="K268" s="59" t="str">
        <f t="shared" si="1877"/>
        <v/>
      </c>
      <c r="L268" s="60"/>
      <c r="M268" s="59" t="str">
        <f t="shared" si="1878"/>
        <v/>
      </c>
      <c r="N268" s="60"/>
      <c r="O268" s="59" t="str">
        <f t="shared" si="1879"/>
        <v/>
      </c>
      <c r="P268" s="60"/>
      <c r="Q268" s="59" t="str">
        <f t="shared" si="1880"/>
        <v/>
      </c>
      <c r="R268" s="60"/>
      <c r="S268" s="59" t="str">
        <f t="shared" si="1881"/>
        <v/>
      </c>
      <c r="T268" s="60"/>
      <c r="U268" s="59" t="str">
        <f t="shared" si="1882"/>
        <v/>
      </c>
      <c r="V268" s="60"/>
      <c r="W268" s="59" t="str">
        <f t="shared" si="1883"/>
        <v/>
      </c>
      <c r="X268" s="95"/>
      <c r="Y268" s="59" t="str">
        <f t="shared" si="1884"/>
        <v/>
      </c>
      <c r="Z268" s="95"/>
      <c r="AA268" s="59" t="str">
        <f t="shared" si="1885"/>
        <v/>
      </c>
      <c r="AB268" s="60"/>
      <c r="AC268" s="59" t="str">
        <f t="shared" si="1886"/>
        <v/>
      </c>
      <c r="AD268" s="60"/>
      <c r="AE268" s="59" t="str">
        <f t="shared" si="1887"/>
        <v/>
      </c>
      <c r="AF268" s="95"/>
      <c r="AG268" s="59" t="str">
        <f t="shared" ref="AG268" si="2131">+IF(OR($F268="",AF268=""),"",$F268*AF268)</f>
        <v/>
      </c>
      <c r="AH268" s="95">
        <v>100</v>
      </c>
      <c r="AI268" s="59">
        <f t="shared" si="1889"/>
        <v>3895.0000000000005</v>
      </c>
      <c r="AJ268" s="60"/>
      <c r="AK268" s="59" t="str">
        <f t="shared" si="1889"/>
        <v/>
      </c>
      <c r="AL268" s="60"/>
      <c r="AM268" s="59" t="str">
        <f t="shared" ref="AM268" si="2132">+IF(OR($F268="",AL268=""),"",$F268*AL268)</f>
        <v/>
      </c>
      <c r="AN268" s="60"/>
      <c r="AO268" s="59" t="str">
        <f t="shared" ref="AO268" si="2133">+IF(OR($F268="",AN268=""),"",$F268*AN268)</f>
        <v/>
      </c>
      <c r="AP268" s="60"/>
      <c r="AQ268" s="59" t="str">
        <f t="shared" ref="AQ268" si="2134">+IF(OR($F268="",AP268=""),"",$F268*AP268)</f>
        <v/>
      </c>
      <c r="AR268" s="60"/>
      <c r="AS268" s="59" t="str">
        <f t="shared" ref="AS268" si="2135">+IF(OR($F268="",AR268=""),"",$F268*AR268)</f>
        <v/>
      </c>
      <c r="AT268" s="60"/>
      <c r="AU268" s="59" t="str">
        <f t="shared" ref="AU268" si="2136">+IF(OR($F268="",AT268=""),"",$F268*AT268)</f>
        <v/>
      </c>
      <c r="AV268" s="60"/>
      <c r="AW268" s="59" t="str">
        <f t="shared" ref="AW268" si="2137">+IF(OR($F268="",AV268=""),"",$F268*AV268)</f>
        <v/>
      </c>
      <c r="AX268" s="60"/>
      <c r="AY268" s="59" t="str">
        <f t="shared" ref="AY268" si="2138">+IF(OR($F268="",AX268=""),"",$F268*AX268)</f>
        <v/>
      </c>
      <c r="AZ268" s="60"/>
      <c r="BA268" s="59" t="str">
        <f t="shared" ref="BA268" si="2139">+IF(OR($F268="",AZ268=""),"",$F268*AZ268)</f>
        <v/>
      </c>
      <c r="BB268" s="60"/>
      <c r="BC268" s="59" t="str">
        <f t="shared" ref="BC268" si="2140">+IF(OR($F268="",BB268=""),"",$F268*BB268)</f>
        <v/>
      </c>
      <c r="BD268" s="61">
        <f t="shared" si="1223"/>
        <v>100</v>
      </c>
      <c r="BE268" s="59">
        <f t="shared" si="1899"/>
        <v>3895.0000000000005</v>
      </c>
      <c r="BF268" s="61">
        <f t="shared" si="1225"/>
        <v>85</v>
      </c>
      <c r="BG268" s="59">
        <f t="shared" si="1900"/>
        <v>3310.7500000000005</v>
      </c>
      <c r="BH268" s="196"/>
      <c r="BI268" s="1">
        <f t="shared" si="1227"/>
        <v>0</v>
      </c>
      <c r="BJ268" s="1">
        <f t="shared" si="1228"/>
        <v>0</v>
      </c>
      <c r="BK268" s="1">
        <f t="shared" si="1229"/>
        <v>0</v>
      </c>
      <c r="BL268" s="1">
        <f t="shared" si="1230"/>
        <v>0</v>
      </c>
      <c r="BM268" s="1">
        <f t="shared" si="1231"/>
        <v>0</v>
      </c>
      <c r="BN268" s="1">
        <f t="shared" si="1232"/>
        <v>0</v>
      </c>
      <c r="BO268" s="1">
        <f t="shared" si="1233"/>
        <v>0</v>
      </c>
      <c r="BP268" s="1">
        <f t="shared" si="1234"/>
        <v>0</v>
      </c>
      <c r="BQ268" s="1">
        <f t="shared" si="1235"/>
        <v>0</v>
      </c>
      <c r="BR268" s="1">
        <f t="shared" si="1236"/>
        <v>0</v>
      </c>
      <c r="BS268" s="1">
        <f t="shared" si="1237"/>
        <v>0</v>
      </c>
      <c r="BT268" s="1">
        <f t="shared" si="1238"/>
        <v>0</v>
      </c>
      <c r="BU268" s="1">
        <f t="shared" si="1239"/>
        <v>0</v>
      </c>
      <c r="BV268" s="1">
        <f t="shared" si="1240"/>
        <v>100</v>
      </c>
      <c r="BW268" s="1">
        <f t="shared" si="1241"/>
        <v>0</v>
      </c>
      <c r="BX268" s="1">
        <f t="shared" si="1242"/>
        <v>0</v>
      </c>
      <c r="BY268" s="1">
        <f t="shared" si="1243"/>
        <v>0</v>
      </c>
      <c r="BZ268" s="1">
        <f t="shared" si="1244"/>
        <v>0</v>
      </c>
      <c r="CA268" s="1">
        <f t="shared" si="1245"/>
        <v>0</v>
      </c>
      <c r="CB268" s="1">
        <f t="shared" si="1246"/>
        <v>0</v>
      </c>
      <c r="CC268" s="1">
        <f t="shared" si="1247"/>
        <v>0</v>
      </c>
      <c r="CD268" s="1">
        <f t="shared" si="1248"/>
        <v>0</v>
      </c>
      <c r="CE268" s="1">
        <f t="shared" si="1249"/>
        <v>0</v>
      </c>
      <c r="CF268" s="1">
        <f t="shared" si="1250"/>
        <v>0</v>
      </c>
    </row>
    <row r="269" spans="2:85" s="6" customFormat="1" ht="18" customHeight="1">
      <c r="B269" s="62" t="s">
        <v>984</v>
      </c>
      <c r="C269" s="25" t="s">
        <v>949</v>
      </c>
      <c r="D269" s="49"/>
      <c r="E269" s="85"/>
      <c r="F269" s="50"/>
      <c r="G269" s="63">
        <f>+SUM(G270:G270)</f>
        <v>4400</v>
      </c>
      <c r="H269" s="51"/>
      <c r="I269" s="52" t="str">
        <f>IF(SUM(I270:I270)=0,"",SUM(I270:I270))</f>
        <v/>
      </c>
      <c r="J269" s="53"/>
      <c r="K269" s="52" t="str">
        <f>IF(SUM(K270:K270)=0,"",SUM(K270:K270))</f>
        <v/>
      </c>
      <c r="L269" s="53"/>
      <c r="M269" s="52" t="str">
        <f>IF(SUM(M270:M270)=0,"",SUM(M270:M270))</f>
        <v/>
      </c>
      <c r="N269" s="53"/>
      <c r="O269" s="52" t="str">
        <f>IF(SUM(O270:O270)=0,"",SUM(O270:O270))</f>
        <v/>
      </c>
      <c r="P269" s="52" t="str">
        <f>IF(SUM(P270:P270)=0,"",SUM(P270:P270))</f>
        <v/>
      </c>
      <c r="Q269" s="52" t="str">
        <f>IF(SUM(Q270:Q270)=0,"",SUM(Q270:Q270))</f>
        <v/>
      </c>
      <c r="R269" s="53"/>
      <c r="S269" s="52" t="str">
        <f>IF(SUM(S270:S270)=0,"",SUM(S270:S270))</f>
        <v/>
      </c>
      <c r="T269" s="53"/>
      <c r="U269" s="52" t="str">
        <f>IF(SUM(U270:U270)=0,"",SUM(U270:U270))</f>
        <v/>
      </c>
      <c r="V269" s="53"/>
      <c r="W269" s="52" t="str">
        <f>IF(SUM(W270:W270)=0,"",SUM(W270:W270))</f>
        <v/>
      </c>
      <c r="X269" s="51"/>
      <c r="Y269" s="52" t="str">
        <f>IF(SUM(Y270:Y270)=0,"",SUM(Y270:Y270))</f>
        <v/>
      </c>
      <c r="Z269" s="53"/>
      <c r="AA269" s="52" t="str">
        <f>IF(SUM(AA270:AA270)=0,"",SUM(AA270:AA270))</f>
        <v/>
      </c>
      <c r="AB269" s="53"/>
      <c r="AC269" s="52" t="str">
        <f>IF(SUM(AC270:AC270)=0,"",SUM(AC270:AC270))</f>
        <v/>
      </c>
      <c r="AD269" s="53"/>
      <c r="AE269" s="52" t="str">
        <f>IF(SUM(AE270:AE270)=0,"",SUM(AE270:AE270))</f>
        <v/>
      </c>
      <c r="AF269" s="192"/>
      <c r="AG269" s="52" t="str">
        <f>IF(SUM(AG270:AG270)=0,"",SUM(AG270:AG270))</f>
        <v/>
      </c>
      <c r="AH269" s="91"/>
      <c r="AI269" s="52">
        <f>IF(SUM(AI270:AI270)=0,"",SUM(AI270:AI270))</f>
        <v>2200</v>
      </c>
      <c r="AJ269" s="53"/>
      <c r="AK269" s="52" t="str">
        <f>IF(SUM(AK270:AK270)=0,"",SUM(AK270:AK270))</f>
        <v/>
      </c>
      <c r="AL269" s="53"/>
      <c r="AM269" s="52" t="str">
        <f>IF(SUM(AM270:AM270)=0,"",SUM(AM270:AM270))</f>
        <v/>
      </c>
      <c r="AN269" s="51"/>
      <c r="AO269" s="52" t="str">
        <f>IF(SUM(AO270:AO270)=0,"",SUM(AO270:AO270))</f>
        <v/>
      </c>
      <c r="AP269" s="53"/>
      <c r="AQ269" s="52" t="str">
        <f>IF(SUM(AQ270:AQ270)=0,"",SUM(AQ270:AQ270))</f>
        <v/>
      </c>
      <c r="AR269" s="53"/>
      <c r="AS269" s="52" t="str">
        <f>IF(SUM(AS270:AS270)=0,"",SUM(AS270:AS270))</f>
        <v/>
      </c>
      <c r="AT269" s="53"/>
      <c r="AU269" s="52" t="str">
        <f>IF(SUM(AU270:AU270)=0,"",SUM(AU270:AU270))</f>
        <v/>
      </c>
      <c r="AV269" s="51"/>
      <c r="AW269" s="52" t="str">
        <f>IF(SUM(AW270:AW270)=0,"",SUM(AW270:AW270))</f>
        <v/>
      </c>
      <c r="AX269" s="53"/>
      <c r="AY269" s="52" t="str">
        <f>IF(SUM(AY270:AY270)=0,"",SUM(AY270:AY270))</f>
        <v/>
      </c>
      <c r="AZ269" s="53"/>
      <c r="BA269" s="52" t="str">
        <f>IF(SUM(BA270:BA270)=0,"",SUM(BA270:BA270))</f>
        <v/>
      </c>
      <c r="BB269" s="53"/>
      <c r="BC269" s="52" t="str">
        <f>IF(SUM(BC270:BC270)=0,"",SUM(BC270:BC270))</f>
        <v/>
      </c>
      <c r="BD269" s="54"/>
      <c r="BE269" s="63">
        <f>+SUM(BE270:BE270)</f>
        <v>2200</v>
      </c>
      <c r="BF269" s="54"/>
      <c r="BG269" s="52">
        <f>+SUM(BG270:BG270)</f>
        <v>2200</v>
      </c>
      <c r="BH269" s="210"/>
      <c r="BI269" s="18">
        <f t="shared" si="1227"/>
        <v>0</v>
      </c>
      <c r="BJ269" s="18">
        <f t="shared" si="1228"/>
        <v>0</v>
      </c>
      <c r="BK269" s="18">
        <f t="shared" si="1229"/>
        <v>0</v>
      </c>
      <c r="BL269" s="18">
        <f t="shared" si="1230"/>
        <v>0</v>
      </c>
      <c r="BM269" s="18" t="str">
        <f t="shared" si="1231"/>
        <v/>
      </c>
      <c r="BN269" s="18">
        <f t="shared" si="1232"/>
        <v>0</v>
      </c>
      <c r="BO269" s="18">
        <f t="shared" si="1233"/>
        <v>0</v>
      </c>
      <c r="BP269" s="18">
        <f t="shared" si="1234"/>
        <v>0</v>
      </c>
      <c r="BQ269" s="18">
        <f t="shared" si="1235"/>
        <v>0</v>
      </c>
      <c r="BR269" s="18">
        <f t="shared" si="1236"/>
        <v>0</v>
      </c>
      <c r="BS269" s="18">
        <f t="shared" si="1237"/>
        <v>0</v>
      </c>
      <c r="BT269" s="18">
        <f t="shared" si="1238"/>
        <v>0</v>
      </c>
      <c r="BU269" s="18">
        <f t="shared" si="1239"/>
        <v>0</v>
      </c>
      <c r="BV269" s="18">
        <f t="shared" si="1240"/>
        <v>0</v>
      </c>
      <c r="BW269" s="18">
        <f t="shared" si="1241"/>
        <v>0</v>
      </c>
      <c r="BX269" s="18">
        <f t="shared" si="1242"/>
        <v>0</v>
      </c>
      <c r="BY269" s="18">
        <f t="shared" si="1243"/>
        <v>0</v>
      </c>
      <c r="BZ269" s="18">
        <f t="shared" si="1244"/>
        <v>0</v>
      </c>
      <c r="CA269" s="18">
        <f t="shared" si="1245"/>
        <v>0</v>
      </c>
      <c r="CB269" s="18">
        <f t="shared" si="1246"/>
        <v>0</v>
      </c>
      <c r="CC269" s="18">
        <f t="shared" si="1247"/>
        <v>0</v>
      </c>
      <c r="CD269" s="18">
        <f t="shared" si="1248"/>
        <v>0</v>
      </c>
      <c r="CE269" s="18">
        <f t="shared" si="1249"/>
        <v>0</v>
      </c>
      <c r="CF269" s="18">
        <f t="shared" si="1250"/>
        <v>0</v>
      </c>
    </row>
    <row r="270" spans="2:85" ht="45" outlineLevel="1">
      <c r="C270" s="27" t="s">
        <v>976</v>
      </c>
      <c r="D270" s="55">
        <v>1</v>
      </c>
      <c r="E270" s="88" t="s">
        <v>819</v>
      </c>
      <c r="F270" s="56">
        <v>4400</v>
      </c>
      <c r="G270" s="57">
        <f t="shared" si="1199"/>
        <v>4400</v>
      </c>
      <c r="H270" s="28"/>
      <c r="I270" s="59" t="str">
        <f t="shared" si="1876"/>
        <v/>
      </c>
      <c r="J270" s="60"/>
      <c r="K270" s="59" t="str">
        <f t="shared" si="1877"/>
        <v/>
      </c>
      <c r="L270" s="60"/>
      <c r="M270" s="59" t="str">
        <f t="shared" si="1878"/>
        <v/>
      </c>
      <c r="N270" s="60"/>
      <c r="O270" s="59" t="str">
        <f t="shared" si="1879"/>
        <v/>
      </c>
      <c r="P270" s="60"/>
      <c r="Q270" s="59" t="str">
        <f t="shared" si="1880"/>
        <v/>
      </c>
      <c r="R270" s="60"/>
      <c r="S270" s="59" t="str">
        <f t="shared" si="1881"/>
        <v/>
      </c>
      <c r="T270" s="60"/>
      <c r="U270" s="59" t="str">
        <f t="shared" si="1882"/>
        <v/>
      </c>
      <c r="V270" s="60"/>
      <c r="W270" s="59" t="str">
        <f t="shared" si="1883"/>
        <v/>
      </c>
      <c r="X270" s="95"/>
      <c r="Y270" s="59" t="str">
        <f t="shared" si="1884"/>
        <v/>
      </c>
      <c r="Z270" s="95"/>
      <c r="AA270" s="59" t="str">
        <f t="shared" si="1885"/>
        <v/>
      </c>
      <c r="AB270" s="60"/>
      <c r="AC270" s="59" t="str">
        <f t="shared" si="1886"/>
        <v/>
      </c>
      <c r="AD270" s="60"/>
      <c r="AE270" s="59" t="str">
        <f t="shared" si="1887"/>
        <v/>
      </c>
      <c r="AF270" s="95"/>
      <c r="AG270" s="59" t="str">
        <f t="shared" ref="AG270" si="2141">+IF(OR($F270="",AF270=""),"",$F270*AF270)</f>
        <v/>
      </c>
      <c r="AH270" s="218">
        <v>0.5</v>
      </c>
      <c r="AI270" s="59">
        <f t="shared" si="1889"/>
        <v>2200</v>
      </c>
      <c r="AJ270" s="60"/>
      <c r="AK270" s="59" t="str">
        <f t="shared" si="1889"/>
        <v/>
      </c>
      <c r="AL270" s="60"/>
      <c r="AM270" s="59" t="str">
        <f t="shared" ref="AM270" si="2142">+IF(OR($F270="",AL270=""),"",$F270*AL270)</f>
        <v/>
      </c>
      <c r="AN270" s="60"/>
      <c r="AO270" s="59" t="str">
        <f t="shared" ref="AO270" si="2143">+IF(OR($F270="",AN270=""),"",$F270*AN270)</f>
        <v/>
      </c>
      <c r="AP270" s="60"/>
      <c r="AQ270" s="59" t="str">
        <f t="shared" ref="AQ270" si="2144">+IF(OR($F270="",AP270=""),"",$F270*AP270)</f>
        <v/>
      </c>
      <c r="AR270" s="60"/>
      <c r="AS270" s="59" t="str">
        <f t="shared" ref="AS270" si="2145">+IF(OR($F270="",AR270=""),"",$F270*AR270)</f>
        <v/>
      </c>
      <c r="AT270" s="60"/>
      <c r="AU270" s="59" t="str">
        <f t="shared" ref="AU270" si="2146">+IF(OR($F270="",AT270=""),"",$F270*AT270)</f>
        <v/>
      </c>
      <c r="AV270" s="60"/>
      <c r="AW270" s="59" t="str">
        <f t="shared" ref="AW270" si="2147">+IF(OR($F270="",AV270=""),"",$F270*AV270)</f>
        <v/>
      </c>
      <c r="AX270" s="60"/>
      <c r="AY270" s="59" t="str">
        <f t="shared" ref="AY270" si="2148">+IF(OR($F270="",AX270=""),"",$F270*AX270)</f>
        <v/>
      </c>
      <c r="AZ270" s="60"/>
      <c r="BA270" s="59" t="str">
        <f t="shared" ref="BA270" si="2149">+IF(OR($F270="",AZ270=""),"",$F270*AZ270)</f>
        <v/>
      </c>
      <c r="BB270" s="60"/>
      <c r="BC270" s="59" t="str">
        <f t="shared" ref="BC270" si="2150">+IF(OR($F270="",BB270=""),"",$F270*BB270)</f>
        <v/>
      </c>
      <c r="BD270" s="61">
        <f t="shared" si="1223"/>
        <v>0.5</v>
      </c>
      <c r="BE270" s="59">
        <f t="shared" si="1899"/>
        <v>2200</v>
      </c>
      <c r="BF270" s="61">
        <f t="shared" si="1225"/>
        <v>0.5</v>
      </c>
      <c r="BG270" s="59">
        <f t="shared" si="1900"/>
        <v>2200</v>
      </c>
      <c r="BH270" s="196"/>
      <c r="BI270" s="1">
        <f t="shared" si="1227"/>
        <v>0</v>
      </c>
      <c r="BJ270" s="1">
        <f t="shared" si="1228"/>
        <v>0</v>
      </c>
      <c r="BK270" s="1">
        <f t="shared" si="1229"/>
        <v>0</v>
      </c>
      <c r="BL270" s="1">
        <f t="shared" si="1230"/>
        <v>0</v>
      </c>
      <c r="BM270" s="1">
        <f t="shared" si="1231"/>
        <v>0</v>
      </c>
      <c r="BN270" s="1">
        <f t="shared" si="1232"/>
        <v>0</v>
      </c>
      <c r="BO270" s="1">
        <f t="shared" si="1233"/>
        <v>0</v>
      </c>
      <c r="BP270" s="1">
        <f t="shared" si="1234"/>
        <v>0</v>
      </c>
      <c r="BQ270" s="1">
        <f t="shared" si="1235"/>
        <v>0</v>
      </c>
      <c r="BR270" s="1">
        <f t="shared" si="1236"/>
        <v>0</v>
      </c>
      <c r="BS270" s="1">
        <f t="shared" si="1237"/>
        <v>0</v>
      </c>
      <c r="BT270" s="1">
        <f t="shared" si="1238"/>
        <v>0</v>
      </c>
      <c r="BU270" s="1">
        <f t="shared" si="1239"/>
        <v>0</v>
      </c>
      <c r="BV270" s="1">
        <f t="shared" si="1240"/>
        <v>0.5</v>
      </c>
      <c r="BW270" s="1">
        <f t="shared" si="1241"/>
        <v>0</v>
      </c>
      <c r="BX270" s="1">
        <f t="shared" si="1242"/>
        <v>0</v>
      </c>
      <c r="BY270" s="1">
        <f t="shared" si="1243"/>
        <v>0</v>
      </c>
      <c r="BZ270" s="1">
        <f t="shared" si="1244"/>
        <v>0</v>
      </c>
      <c r="CA270" s="1">
        <f t="shared" si="1245"/>
        <v>0</v>
      </c>
      <c r="CB270" s="1">
        <f t="shared" si="1246"/>
        <v>0</v>
      </c>
      <c r="CC270" s="1">
        <f t="shared" si="1247"/>
        <v>0</v>
      </c>
      <c r="CD270" s="1">
        <f t="shared" si="1248"/>
        <v>0</v>
      </c>
      <c r="CE270" s="1">
        <f t="shared" si="1249"/>
        <v>0</v>
      </c>
      <c r="CF270" s="1">
        <f t="shared" si="1250"/>
        <v>0</v>
      </c>
      <c r="CG270" s="219" t="s">
        <v>1041</v>
      </c>
    </row>
    <row r="271" spans="2:85" s="6" customFormat="1" ht="18" customHeight="1">
      <c r="B271" s="62" t="s">
        <v>1019</v>
      </c>
      <c r="C271" s="25" t="s">
        <v>1020</v>
      </c>
      <c r="D271" s="49"/>
      <c r="E271" s="85"/>
      <c r="F271" s="50"/>
      <c r="G271" s="63">
        <f>+SUM(G272:G283)</f>
        <v>3883.4049999999997</v>
      </c>
      <c r="H271" s="51"/>
      <c r="I271" s="52" t="str">
        <f>IF(SUM(I272:I283)=0,"",SUM(I272:I283))</f>
        <v/>
      </c>
      <c r="J271" s="53"/>
      <c r="K271" s="52" t="str">
        <f>IF(SUM(K272:K283)=0,"",SUM(K272:K283))</f>
        <v/>
      </c>
      <c r="L271" s="53"/>
      <c r="M271" s="52" t="str">
        <f>IF(SUM(M272:M283)=0,"",SUM(M272:M283))</f>
        <v/>
      </c>
      <c r="N271" s="53"/>
      <c r="O271" s="52" t="str">
        <f>IF(SUM(O272:O283)=0,"",SUM(O272:O283))</f>
        <v/>
      </c>
      <c r="P271" s="51"/>
      <c r="Q271" s="52" t="str">
        <f>IF(SUM(Q272:Q283)=0,"",SUM(Q272:Q283))</f>
        <v/>
      </c>
      <c r="R271" s="53"/>
      <c r="S271" s="52" t="str">
        <f>IF(SUM(S272:S283)=0,"",SUM(S272:S283))</f>
        <v/>
      </c>
      <c r="T271" s="53"/>
      <c r="U271" s="52" t="str">
        <f>IF(SUM(U272:U283)=0,"",SUM(U272:U283))</f>
        <v/>
      </c>
      <c r="V271" s="53"/>
      <c r="W271" s="52" t="str">
        <f>IF(SUM(W272:W283)=0,"",SUM(W272:W283))</f>
        <v/>
      </c>
      <c r="X271" s="51"/>
      <c r="Y271" s="52" t="str">
        <f>IF(SUM(Y272:Y283)=0,"",SUM(Y272:Y283))</f>
        <v/>
      </c>
      <c r="Z271" s="53"/>
      <c r="AA271" s="52" t="str">
        <f>IF(SUM(AA272:AA283)=0,"",SUM(AA272:AA283))</f>
        <v/>
      </c>
      <c r="AB271" s="53"/>
      <c r="AC271" s="52" t="str">
        <f>IF(SUM(AC272:AC283)=0,"",SUM(AC272:AC283))</f>
        <v/>
      </c>
      <c r="AD271" s="53"/>
      <c r="AE271" s="52" t="str">
        <f>IF(SUM(AE272:AE283)=0,"",SUM(AE272:AE283))</f>
        <v/>
      </c>
      <c r="AF271" s="192"/>
      <c r="AG271" s="52" t="str">
        <f>IF(SUM(AG272:AG283)=0,"",SUM(AG272:AG283))</f>
        <v/>
      </c>
      <c r="AH271" s="91"/>
      <c r="AI271" s="52">
        <f>IF(SUM(AI272:AI283)=0,"",SUM(AI272:AI283))</f>
        <v>979.5</v>
      </c>
      <c r="AJ271" s="53"/>
      <c r="AK271" s="52" t="str">
        <f>IF(SUM(AK272:AK283)=0,"",SUM(AK272:AK283))</f>
        <v/>
      </c>
      <c r="AL271" s="53"/>
      <c r="AM271" s="52" t="str">
        <f>IF(SUM(AM272:AM283)=0,"",SUM(AM272:AM283))</f>
        <v/>
      </c>
      <c r="AN271" s="51"/>
      <c r="AO271" s="52" t="str">
        <f>IF(SUM(AO272:AO283)=0,"",SUM(AO272:AO283))</f>
        <v/>
      </c>
      <c r="AP271" s="53"/>
      <c r="AQ271" s="52" t="str">
        <f>IF(SUM(AQ272:AQ283)=0,"",SUM(AQ272:AQ283))</f>
        <v/>
      </c>
      <c r="AR271" s="53"/>
      <c r="AS271" s="52" t="str">
        <f>IF(SUM(AS272:AS283)=0,"",SUM(AS272:AS283))</f>
        <v/>
      </c>
      <c r="AT271" s="53"/>
      <c r="AU271" s="52" t="str">
        <f>IF(SUM(AU272:AU283)=0,"",SUM(AU272:AU283))</f>
        <v/>
      </c>
      <c r="AV271" s="51"/>
      <c r="AW271" s="52" t="str">
        <f>IF(SUM(AW272:AW283)=0,"",SUM(AW272:AW283))</f>
        <v/>
      </c>
      <c r="AX271" s="53"/>
      <c r="AY271" s="52" t="str">
        <f>IF(SUM(AY272:AY283)=0,"",SUM(AY272:AY283))</f>
        <v/>
      </c>
      <c r="AZ271" s="53"/>
      <c r="BA271" s="52" t="str">
        <f>IF(SUM(BA272:BA283)=0,"",SUM(BA272:BA283))</f>
        <v/>
      </c>
      <c r="BB271" s="53"/>
      <c r="BC271" s="52" t="str">
        <f>IF(SUM(BC272:BC283)=0,"",SUM(BC272:BC283))</f>
        <v/>
      </c>
      <c r="BD271" s="54"/>
      <c r="BE271" s="63">
        <f>+SUM(BE272:BE283)</f>
        <v>979.5</v>
      </c>
      <c r="BF271" s="54"/>
      <c r="BG271" s="52">
        <f>+SUM(BG272:BG283)</f>
        <v>2903.9049999999997</v>
      </c>
      <c r="BH271" s="210"/>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row>
    <row r="272" spans="2:85" ht="22.5" outlineLevel="1">
      <c r="B272" s="202"/>
      <c r="C272" s="27" t="s">
        <v>1021</v>
      </c>
      <c r="D272" s="199">
        <v>-20</v>
      </c>
      <c r="E272" s="200" t="s">
        <v>828</v>
      </c>
      <c r="F272" s="201">
        <v>52.199999999999996</v>
      </c>
      <c r="G272" s="57">
        <f t="shared" ref="G272:G283" si="2151">+D272*F272</f>
        <v>-1044</v>
      </c>
      <c r="H272" s="204"/>
      <c r="I272" s="205" t="str">
        <f>+IF(OR($F272="",H272=""),"",$F272*H272)</f>
        <v/>
      </c>
      <c r="J272" s="206"/>
      <c r="K272" s="205" t="str">
        <f>+IF(OR($F272="",J272=""),"",$F272*J272)</f>
        <v/>
      </c>
      <c r="L272" s="206"/>
      <c r="M272" s="205" t="str">
        <f>+IF(OR($F272="",L272=""),"",$F272*L272)</f>
        <v/>
      </c>
      <c r="N272" s="206"/>
      <c r="O272" s="205" t="str">
        <f>+IF(OR($F272="",N272=""),"",$F272*N272)</f>
        <v/>
      </c>
      <c r="P272" s="206"/>
      <c r="Q272" s="205" t="str">
        <f>+IF(OR($F272="",P272=""),"",$F272*P272)</f>
        <v/>
      </c>
      <c r="R272" s="206"/>
      <c r="S272" s="205" t="str">
        <f>+IF(OR($F272="",R272=""),"",$F272*R272)</f>
        <v/>
      </c>
      <c r="T272" s="206"/>
      <c r="U272" s="205" t="str">
        <f>+IF(OR($F272="",T272=""),"",$F272*T272)</f>
        <v/>
      </c>
      <c r="V272" s="206"/>
      <c r="W272" s="205" t="str">
        <f>+IF(OR($F272="",V272=""),"",$F272*V272)</f>
        <v/>
      </c>
      <c r="X272" s="207"/>
      <c r="Y272" s="205" t="str">
        <f>+IF(OR($F272="",X272=""),"",$F272*X272)</f>
        <v/>
      </c>
      <c r="Z272" s="207"/>
      <c r="AA272" s="205" t="str">
        <f>+IF(OR($F272="",Z272=""),"",$F272*Z272)</f>
        <v/>
      </c>
      <c r="AB272" s="207"/>
      <c r="AC272" s="205" t="str">
        <f>+IF(OR($F272="",AB272=""),"",$F272*AB272)</f>
        <v/>
      </c>
      <c r="AD272" s="207"/>
      <c r="AE272" s="205" t="str">
        <f>+IF(OR($F272="",AD272=""),"",$F272*AD272)</f>
        <v/>
      </c>
      <c r="AF272" s="207"/>
      <c r="AG272" s="205" t="str">
        <f>+IF(OR($F272="",AF272=""),"",$F272*AF272)</f>
        <v/>
      </c>
      <c r="AH272" s="207">
        <v>-20</v>
      </c>
      <c r="AI272" s="205">
        <f>+IF(OR($F272="",AH272=""),"",$F272*AH272)</f>
        <v>-1044</v>
      </c>
      <c r="AJ272" s="206"/>
      <c r="AK272" s="205" t="str">
        <f>+IF(OR($F272="",AJ272=""),"",$F272*AJ272)</f>
        <v/>
      </c>
      <c r="AL272" s="206"/>
      <c r="AM272" s="205" t="str">
        <f>+IF(OR($F272="",AL272=""),"",$F272*AL272)</f>
        <v/>
      </c>
      <c r="AN272" s="206"/>
      <c r="AO272" s="205" t="str">
        <f>+IF(OR($F272="",AN272=""),"",$F272*AN272)</f>
        <v/>
      </c>
      <c r="AP272" s="206"/>
      <c r="AQ272" s="205" t="str">
        <f>+IF(OR($F272="",AP272=""),"",$F272*AP272)</f>
        <v/>
      </c>
      <c r="AR272" s="206"/>
      <c r="AS272" s="205" t="str">
        <f>+IF(OR($F272="",AR272=""),"",$F272*AR272)</f>
        <v/>
      </c>
      <c r="AT272" s="206"/>
      <c r="AU272" s="205" t="str">
        <f>+IF(OR($F272="",AT272=""),"",$F272*AT272)</f>
        <v/>
      </c>
      <c r="AV272" s="206"/>
      <c r="AW272" s="205" t="str">
        <f>+IF(OR($F272="",AV272=""),"",$F272*AV272)</f>
        <v/>
      </c>
      <c r="AX272" s="206"/>
      <c r="AY272" s="205" t="str">
        <f>+IF(OR($F272="",AX272=""),"",$F272*AX272)</f>
        <v/>
      </c>
      <c r="AZ272" s="206"/>
      <c r="BA272" s="205" t="str">
        <f>+IF(OR($F272="",AZ272=""),"",$F272*AZ272)</f>
        <v/>
      </c>
      <c r="BB272" s="206"/>
      <c r="BC272" s="205" t="str">
        <f>+IF(OR($F272="",BB272=""),"",$F272*BB272)</f>
        <v/>
      </c>
      <c r="BD272" s="208">
        <f>+SUM(BI272:CF272)</f>
        <v>-20</v>
      </c>
      <c r="BE272" s="205">
        <f>+IF(OR($F272="",BD272=""),"",$F272*BD272)</f>
        <v>-1044</v>
      </c>
      <c r="BF272" s="208">
        <f>+D272-BD272</f>
        <v>0</v>
      </c>
      <c r="BG272" s="205">
        <f>+IF(OR($F272="",BF272=""),"",$F272*BF272)</f>
        <v>0</v>
      </c>
      <c r="BH272" s="184"/>
      <c r="BI272" s="209">
        <f>+H272</f>
        <v>0</v>
      </c>
      <c r="BJ272" s="209">
        <f>+J272</f>
        <v>0</v>
      </c>
      <c r="BK272" s="209">
        <f>+L272</f>
        <v>0</v>
      </c>
      <c r="BL272" s="209">
        <f>+N272</f>
        <v>0</v>
      </c>
      <c r="BM272" s="209">
        <f>+P272</f>
        <v>0</v>
      </c>
      <c r="BN272" s="209">
        <f>+R272</f>
        <v>0</v>
      </c>
      <c r="BO272" s="209">
        <f>+T272</f>
        <v>0</v>
      </c>
      <c r="BP272" s="209">
        <f>+V272</f>
        <v>0</v>
      </c>
      <c r="BQ272" s="209">
        <f>+X272</f>
        <v>0</v>
      </c>
      <c r="BR272" s="209">
        <f>+Z272</f>
        <v>0</v>
      </c>
      <c r="BS272" s="209">
        <f>+AB272</f>
        <v>0</v>
      </c>
      <c r="BT272" s="209">
        <f>+AD272</f>
        <v>0</v>
      </c>
      <c r="BU272" s="209">
        <f>+AF272</f>
        <v>0</v>
      </c>
      <c r="BV272" s="209">
        <f>+AH272</f>
        <v>-20</v>
      </c>
      <c r="BW272" s="209">
        <f>+AJ272</f>
        <v>0</v>
      </c>
      <c r="BX272" s="209">
        <f>+AL272</f>
        <v>0</v>
      </c>
      <c r="BY272" s="209">
        <f>+AN272</f>
        <v>0</v>
      </c>
      <c r="BZ272" s="209">
        <f>+AP272</f>
        <v>0</v>
      </c>
      <c r="CA272" s="209">
        <f>+AR272</f>
        <v>0</v>
      </c>
      <c r="CB272" s="209">
        <f>+AT272</f>
        <v>0</v>
      </c>
      <c r="CC272" s="209">
        <f>+AV272</f>
        <v>0</v>
      </c>
      <c r="CD272" s="209">
        <f>+AX272</f>
        <v>0</v>
      </c>
      <c r="CE272" s="209">
        <f>+AZ272</f>
        <v>0</v>
      </c>
      <c r="CF272" s="209">
        <f>+BB272</f>
        <v>0</v>
      </c>
    </row>
    <row r="273" spans="2:85" outlineLevel="1">
      <c r="C273" s="27" t="s">
        <v>1022</v>
      </c>
      <c r="D273" s="55">
        <v>-10</v>
      </c>
      <c r="E273" s="88" t="s">
        <v>828</v>
      </c>
      <c r="F273" s="56">
        <v>61.8</v>
      </c>
      <c r="G273" s="57">
        <f t="shared" si="2151"/>
        <v>-618</v>
      </c>
      <c r="H273" s="28"/>
      <c r="I273" s="59" t="str">
        <f t="shared" ref="I273:I283" si="2152">+IF(OR($F273="",H273=""),"",$F273*H273)</f>
        <v/>
      </c>
      <c r="J273" s="60"/>
      <c r="K273" s="59" t="str">
        <f t="shared" ref="K273:K283" si="2153">+IF(OR($F273="",J273=""),"",$F273*J273)</f>
        <v/>
      </c>
      <c r="L273" s="60"/>
      <c r="M273" s="59" t="str">
        <f t="shared" ref="M273:M283" si="2154">+IF(OR($F273="",L273=""),"",$F273*L273)</f>
        <v/>
      </c>
      <c r="N273" s="60"/>
      <c r="O273" s="59" t="str">
        <f t="shared" ref="O273:O283" si="2155">+IF(OR($F273="",N273=""),"",$F273*N273)</f>
        <v/>
      </c>
      <c r="P273" s="60"/>
      <c r="Q273" s="59" t="str">
        <f t="shared" ref="Q273:Q283" si="2156">+IF(OR($F273="",P273=""),"",$F273*P273)</f>
        <v/>
      </c>
      <c r="R273" s="60"/>
      <c r="S273" s="59" t="str">
        <f t="shared" ref="S273:S283" si="2157">+IF(OR($F273="",R273=""),"",$F273*R273)</f>
        <v/>
      </c>
      <c r="T273" s="60"/>
      <c r="U273" s="59" t="str">
        <f t="shared" ref="U273:U283" si="2158">+IF(OR($F273="",T273=""),"",$F273*T273)</f>
        <v/>
      </c>
      <c r="V273" s="60"/>
      <c r="W273" s="59" t="str">
        <f t="shared" ref="W273:W283" si="2159">+IF(OR($F273="",V273=""),"",$F273*V273)</f>
        <v/>
      </c>
      <c r="X273" s="95"/>
      <c r="Y273" s="59" t="str">
        <f t="shared" ref="Y273:Y283" si="2160">+IF(OR($F273="",X273=""),"",$F273*X273)</f>
        <v/>
      </c>
      <c r="Z273" s="95"/>
      <c r="AA273" s="59" t="str">
        <f t="shared" ref="AA273:AA283" si="2161">+IF(OR($F273="",Z273=""),"",$F273*Z273)</f>
        <v/>
      </c>
      <c r="AB273" s="60"/>
      <c r="AC273" s="59" t="str">
        <f t="shared" ref="AC273:AC283" si="2162">+IF(OR($F273="",AB273=""),"",$F273*AB273)</f>
        <v/>
      </c>
      <c r="AD273" s="60"/>
      <c r="AE273" s="59" t="str">
        <f t="shared" ref="AE273:AE283" si="2163">+IF(OR($F273="",AD273=""),"",$F273*AD273)</f>
        <v/>
      </c>
      <c r="AF273" s="95"/>
      <c r="AG273" s="59" t="str">
        <f t="shared" ref="AG273:AG283" si="2164">+IF(OR($F273="",AF273=""),"",$F273*AF273)</f>
        <v/>
      </c>
      <c r="AH273" s="95"/>
      <c r="AI273" s="205" t="str">
        <f t="shared" ref="AI273:AI283" si="2165">+IF(OR($F273="",AH273=""),"",$F273*AH273)</f>
        <v/>
      </c>
      <c r="AJ273" s="60"/>
      <c r="AK273" s="59" t="str">
        <f t="shared" ref="AK273:AK283" si="2166">+IF(OR($F273="",AJ273=""),"",$F273*AJ273)</f>
        <v/>
      </c>
      <c r="AL273" s="60"/>
      <c r="AM273" s="59" t="str">
        <f t="shared" ref="AM273:AM283" si="2167">+IF(OR($F273="",AL273=""),"",$F273*AL273)</f>
        <v/>
      </c>
      <c r="AN273" s="60"/>
      <c r="AO273" s="59" t="str">
        <f t="shared" ref="AO273:AO283" si="2168">+IF(OR($F273="",AN273=""),"",$F273*AN273)</f>
        <v/>
      </c>
      <c r="AP273" s="60"/>
      <c r="AQ273" s="59" t="str">
        <f t="shared" ref="AQ273:AQ283" si="2169">+IF(OR($F273="",AP273=""),"",$F273*AP273)</f>
        <v/>
      </c>
      <c r="AR273" s="60"/>
      <c r="AS273" s="59" t="str">
        <f t="shared" ref="AS273:AS283" si="2170">+IF(OR($F273="",AR273=""),"",$F273*AR273)</f>
        <v/>
      </c>
      <c r="AT273" s="60"/>
      <c r="AU273" s="59" t="str">
        <f t="shared" ref="AU273:AU283" si="2171">+IF(OR($F273="",AT273=""),"",$F273*AT273)</f>
        <v/>
      </c>
      <c r="AV273" s="60"/>
      <c r="AW273" s="59" t="str">
        <f t="shared" ref="AW273:AW283" si="2172">+IF(OR($F273="",AV273=""),"",$F273*AV273)</f>
        <v/>
      </c>
      <c r="AX273" s="60"/>
      <c r="AY273" s="59" t="str">
        <f t="shared" ref="AY273:AY283" si="2173">+IF(OR($F273="",AX273=""),"",$F273*AX273)</f>
        <v/>
      </c>
      <c r="AZ273" s="60"/>
      <c r="BA273" s="59" t="str">
        <f t="shared" ref="BA273:BA283" si="2174">+IF(OR($F273="",AZ273=""),"",$F273*AZ273)</f>
        <v/>
      </c>
      <c r="BB273" s="60"/>
      <c r="BC273" s="59" t="str">
        <f t="shared" ref="BC273:BC283" si="2175">+IF(OR($F273="",BB273=""),"",$F273*BB273)</f>
        <v/>
      </c>
      <c r="BD273" s="61">
        <f t="shared" ref="BD273:BD283" si="2176">+SUM(BI273:CF273)</f>
        <v>0</v>
      </c>
      <c r="BE273" s="59">
        <f t="shared" ref="BE273:BE283" si="2177">+IF(OR($F273="",BD273=""),"",$F273*BD273)</f>
        <v>0</v>
      </c>
      <c r="BF273" s="61">
        <f t="shared" ref="BF273:BF283" si="2178">+D273-BD273</f>
        <v>-10</v>
      </c>
      <c r="BG273" s="59">
        <f t="shared" ref="BG273:BG283" si="2179">+IF(OR($F273="",BF273=""),"",$F273*BF273)</f>
        <v>-618</v>
      </c>
      <c r="BH273" s="196"/>
      <c r="BI273" s="1">
        <f t="shared" ref="BI273:BI283" si="2180">+H273</f>
        <v>0</v>
      </c>
      <c r="BJ273" s="1">
        <f t="shared" ref="BJ273:BJ283" si="2181">+J273</f>
        <v>0</v>
      </c>
      <c r="BK273" s="1">
        <f t="shared" ref="BK273:BK283" si="2182">+L273</f>
        <v>0</v>
      </c>
      <c r="BL273" s="1">
        <f t="shared" ref="BL273:BL283" si="2183">+N273</f>
        <v>0</v>
      </c>
      <c r="BM273" s="1">
        <f t="shared" ref="BM273:BM283" si="2184">+P273</f>
        <v>0</v>
      </c>
      <c r="BN273" s="1">
        <f t="shared" ref="BN273:BN283" si="2185">+R273</f>
        <v>0</v>
      </c>
      <c r="BO273" s="1">
        <f t="shared" ref="BO273:BO283" si="2186">+T273</f>
        <v>0</v>
      </c>
      <c r="BP273" s="1">
        <f t="shared" ref="BP273:BP283" si="2187">+V273</f>
        <v>0</v>
      </c>
      <c r="BQ273" s="1">
        <f t="shared" ref="BQ273:BQ283" si="2188">+X273</f>
        <v>0</v>
      </c>
      <c r="BR273" s="1">
        <f t="shared" ref="BR273:BR283" si="2189">+Z273</f>
        <v>0</v>
      </c>
      <c r="BS273" s="1">
        <f t="shared" ref="BS273:BS283" si="2190">+AB273</f>
        <v>0</v>
      </c>
      <c r="BT273" s="1">
        <f t="shared" ref="BT273:BT283" si="2191">+AD273</f>
        <v>0</v>
      </c>
      <c r="BU273" s="1">
        <f t="shared" ref="BU273:BU283" si="2192">+AF273</f>
        <v>0</v>
      </c>
      <c r="BV273" s="1">
        <f t="shared" ref="BV273:BV283" si="2193">+AH273</f>
        <v>0</v>
      </c>
      <c r="BW273" s="1">
        <f t="shared" ref="BW273:BW283" si="2194">+AJ273</f>
        <v>0</v>
      </c>
      <c r="BX273" s="1">
        <f t="shared" ref="BX273:BX283" si="2195">+AL273</f>
        <v>0</v>
      </c>
      <c r="BY273" s="1">
        <f t="shared" ref="BY273:BY283" si="2196">+AN273</f>
        <v>0</v>
      </c>
      <c r="BZ273" s="1">
        <f t="shared" ref="BZ273:BZ283" si="2197">+AP273</f>
        <v>0</v>
      </c>
      <c r="CA273" s="1">
        <f t="shared" ref="CA273:CA283" si="2198">+AR273</f>
        <v>0</v>
      </c>
      <c r="CB273" s="1">
        <f t="shared" ref="CB273:CB283" si="2199">+AT273</f>
        <v>0</v>
      </c>
      <c r="CC273" s="1">
        <f t="shared" ref="CC273:CC283" si="2200">+AV273</f>
        <v>0</v>
      </c>
      <c r="CD273" s="1">
        <f t="shared" ref="CD273:CD283" si="2201">+AX273</f>
        <v>0</v>
      </c>
      <c r="CE273" s="1">
        <f t="shared" ref="CE273:CE283" si="2202">+AZ273</f>
        <v>0</v>
      </c>
      <c r="CF273" s="1">
        <f t="shared" ref="CF273:CF283" si="2203">+BB273</f>
        <v>0</v>
      </c>
    </row>
    <row r="274" spans="2:85" ht="56.25" outlineLevel="1">
      <c r="C274" s="27" t="s">
        <v>405</v>
      </c>
      <c r="G274" s="57"/>
      <c r="H274" s="28"/>
      <c r="J274" s="60"/>
      <c r="L274" s="60"/>
      <c r="N274" s="60"/>
      <c r="P274" s="60"/>
      <c r="R274" s="60"/>
      <c r="T274" s="60"/>
      <c r="V274" s="60"/>
      <c r="X274" s="95"/>
      <c r="Z274" s="95"/>
      <c r="AB274" s="60"/>
      <c r="AD274" s="60"/>
      <c r="AF274" s="95"/>
      <c r="AH274" s="95"/>
      <c r="AI274" s="205" t="str">
        <f t="shared" si="2165"/>
        <v/>
      </c>
      <c r="AJ274" s="60"/>
      <c r="AL274" s="60"/>
      <c r="AN274" s="60"/>
      <c r="AP274" s="60"/>
      <c r="AR274" s="60"/>
      <c r="AT274" s="60"/>
      <c r="AV274" s="60"/>
      <c r="AX274" s="60"/>
      <c r="AZ274" s="60"/>
      <c r="BB274" s="60"/>
      <c r="BD274" s="61"/>
      <c r="BE274" s="59" t="str">
        <f t="shared" si="2177"/>
        <v/>
      </c>
      <c r="BF274" s="61">
        <f t="shared" ref="BF274:BF275" si="2204">+D274-BD274</f>
        <v>0</v>
      </c>
      <c r="BG274" s="59" t="str">
        <f t="shared" ref="BG274:BG275" si="2205">+IF(OR($F274="",BF274=""),"",$F274*BF274)</f>
        <v/>
      </c>
      <c r="BH274" s="196"/>
      <c r="BI274" s="1">
        <f t="shared" ref="BI274:BI275" si="2206">+H274</f>
        <v>0</v>
      </c>
      <c r="BJ274" s="1">
        <f t="shared" ref="BJ274:BJ275" si="2207">+J274</f>
        <v>0</v>
      </c>
      <c r="BK274" s="1">
        <f t="shared" ref="BK274:BK275" si="2208">+L274</f>
        <v>0</v>
      </c>
      <c r="BL274" s="1">
        <f t="shared" ref="BL274:BL275" si="2209">+N274</f>
        <v>0</v>
      </c>
      <c r="BM274" s="1">
        <f t="shared" ref="BM274:BM275" si="2210">+P274</f>
        <v>0</v>
      </c>
      <c r="BN274" s="1">
        <f t="shared" ref="BN274:BN275" si="2211">+R274</f>
        <v>0</v>
      </c>
      <c r="BO274" s="1">
        <f t="shared" ref="BO274:BO275" si="2212">+T274</f>
        <v>0</v>
      </c>
      <c r="BP274" s="1">
        <f t="shared" ref="BP274:BP275" si="2213">+V274</f>
        <v>0</v>
      </c>
      <c r="BQ274" s="1">
        <f t="shared" ref="BQ274:BQ275" si="2214">+X274</f>
        <v>0</v>
      </c>
      <c r="BR274" s="1">
        <f t="shared" ref="BR274:BR275" si="2215">+Z274</f>
        <v>0</v>
      </c>
      <c r="BS274" s="1">
        <f t="shared" ref="BS274:BS275" si="2216">+AB274</f>
        <v>0</v>
      </c>
      <c r="BT274" s="1">
        <f t="shared" ref="BT274:BT275" si="2217">+AD274</f>
        <v>0</v>
      </c>
      <c r="BU274" s="1">
        <f t="shared" ref="BU274:BU275" si="2218">+AF274</f>
        <v>0</v>
      </c>
      <c r="BV274" s="1">
        <f t="shared" ref="BV274:BV275" si="2219">+AH274</f>
        <v>0</v>
      </c>
      <c r="BW274" s="1">
        <f t="shared" ref="BW274:BW275" si="2220">+AJ274</f>
        <v>0</v>
      </c>
      <c r="BX274" s="1">
        <f t="shared" ref="BX274:BX275" si="2221">+AL274</f>
        <v>0</v>
      </c>
      <c r="BY274" s="1">
        <f t="shared" ref="BY274:BY275" si="2222">+AN274</f>
        <v>0</v>
      </c>
      <c r="BZ274" s="1">
        <f t="shared" ref="BZ274:BZ275" si="2223">+AP274</f>
        <v>0</v>
      </c>
      <c r="CA274" s="1">
        <f t="shared" ref="CA274:CA275" si="2224">+AR274</f>
        <v>0</v>
      </c>
      <c r="CB274" s="1">
        <f t="shared" ref="CB274:CB275" si="2225">+AT274</f>
        <v>0</v>
      </c>
      <c r="CC274" s="1">
        <f t="shared" ref="CC274:CC275" si="2226">+AV274</f>
        <v>0</v>
      </c>
      <c r="CD274" s="1">
        <f t="shared" ref="CD274:CD275" si="2227">+AX274</f>
        <v>0</v>
      </c>
      <c r="CE274" s="1">
        <f t="shared" ref="CE274:CE275" si="2228">+AZ274</f>
        <v>0</v>
      </c>
      <c r="CF274" s="1">
        <f t="shared" ref="CF274:CF275" si="2229">+BB274</f>
        <v>0</v>
      </c>
    </row>
    <row r="275" spans="2:85" ht="22.5" outlineLevel="1">
      <c r="C275" s="27" t="s">
        <v>404</v>
      </c>
      <c r="D275" s="55">
        <v>-11</v>
      </c>
      <c r="E275" s="88" t="s">
        <v>828</v>
      </c>
      <c r="F275" s="56">
        <v>46</v>
      </c>
      <c r="G275" s="57">
        <f t="shared" si="2151"/>
        <v>-506</v>
      </c>
      <c r="H275" s="28"/>
      <c r="J275" s="60"/>
      <c r="L275" s="60"/>
      <c r="N275" s="60"/>
      <c r="P275" s="60"/>
      <c r="R275" s="60"/>
      <c r="T275" s="60"/>
      <c r="V275" s="60"/>
      <c r="X275" s="95"/>
      <c r="Z275" s="95"/>
      <c r="AB275" s="60"/>
      <c r="AD275" s="60"/>
      <c r="AF275" s="95"/>
      <c r="AH275" s="95"/>
      <c r="AI275" s="205" t="str">
        <f t="shared" si="2165"/>
        <v/>
      </c>
      <c r="AJ275" s="60"/>
      <c r="AL275" s="60"/>
      <c r="AN275" s="60"/>
      <c r="AP275" s="60"/>
      <c r="AR275" s="60"/>
      <c r="AT275" s="60"/>
      <c r="AV275" s="60"/>
      <c r="AX275" s="60"/>
      <c r="AZ275" s="60"/>
      <c r="BB275" s="60"/>
      <c r="BD275" s="61"/>
      <c r="BE275" s="59" t="str">
        <f t="shared" si="2177"/>
        <v/>
      </c>
      <c r="BF275" s="61">
        <f t="shared" si="2204"/>
        <v>-11</v>
      </c>
      <c r="BG275" s="59">
        <f t="shared" si="2205"/>
        <v>-506</v>
      </c>
      <c r="BH275" s="196"/>
      <c r="BI275" s="1">
        <f t="shared" si="2206"/>
        <v>0</v>
      </c>
      <c r="BJ275" s="1">
        <f t="shared" si="2207"/>
        <v>0</v>
      </c>
      <c r="BK275" s="1">
        <f t="shared" si="2208"/>
        <v>0</v>
      </c>
      <c r="BL275" s="1">
        <f t="shared" si="2209"/>
        <v>0</v>
      </c>
      <c r="BM275" s="1">
        <f t="shared" si="2210"/>
        <v>0</v>
      </c>
      <c r="BN275" s="1">
        <f t="shared" si="2211"/>
        <v>0</v>
      </c>
      <c r="BO275" s="1">
        <f t="shared" si="2212"/>
        <v>0</v>
      </c>
      <c r="BP275" s="1">
        <f t="shared" si="2213"/>
        <v>0</v>
      </c>
      <c r="BQ275" s="1">
        <f t="shared" si="2214"/>
        <v>0</v>
      </c>
      <c r="BR275" s="1">
        <f t="shared" si="2215"/>
        <v>0</v>
      </c>
      <c r="BS275" s="1">
        <f t="shared" si="2216"/>
        <v>0</v>
      </c>
      <c r="BT275" s="1">
        <f t="shared" si="2217"/>
        <v>0</v>
      </c>
      <c r="BU275" s="1">
        <f t="shared" si="2218"/>
        <v>0</v>
      </c>
      <c r="BV275" s="1">
        <f t="shared" si="2219"/>
        <v>0</v>
      </c>
      <c r="BW275" s="1">
        <f t="shared" si="2220"/>
        <v>0</v>
      </c>
      <c r="BX275" s="1">
        <f t="shared" si="2221"/>
        <v>0</v>
      </c>
      <c r="BY275" s="1">
        <f t="shared" si="2222"/>
        <v>0</v>
      </c>
      <c r="BZ275" s="1">
        <f t="shared" si="2223"/>
        <v>0</v>
      </c>
      <c r="CA275" s="1">
        <f t="shared" si="2224"/>
        <v>0</v>
      </c>
      <c r="CB275" s="1">
        <f t="shared" si="2225"/>
        <v>0</v>
      </c>
      <c r="CC275" s="1">
        <f t="shared" si="2226"/>
        <v>0</v>
      </c>
      <c r="CD275" s="1">
        <f t="shared" si="2227"/>
        <v>0</v>
      </c>
      <c r="CE275" s="1">
        <f t="shared" si="2228"/>
        <v>0</v>
      </c>
      <c r="CF275" s="1">
        <f t="shared" si="2229"/>
        <v>0</v>
      </c>
    </row>
    <row r="276" spans="2:85" outlineLevel="1">
      <c r="C276" s="27"/>
      <c r="G276" s="57"/>
      <c r="H276" s="28"/>
      <c r="I276" s="59" t="str">
        <f t="shared" si="2152"/>
        <v/>
      </c>
      <c r="J276" s="60"/>
      <c r="K276" s="59" t="str">
        <f t="shared" si="2153"/>
        <v/>
      </c>
      <c r="L276" s="60"/>
      <c r="M276" s="59" t="str">
        <f t="shared" si="2154"/>
        <v/>
      </c>
      <c r="N276" s="60"/>
      <c r="O276" s="59" t="str">
        <f t="shared" si="2155"/>
        <v/>
      </c>
      <c r="P276" s="60"/>
      <c r="Q276" s="59" t="str">
        <f t="shared" si="2156"/>
        <v/>
      </c>
      <c r="R276" s="60"/>
      <c r="S276" s="59" t="str">
        <f t="shared" si="2157"/>
        <v/>
      </c>
      <c r="T276" s="60"/>
      <c r="U276" s="59" t="str">
        <f t="shared" si="2158"/>
        <v/>
      </c>
      <c r="V276" s="60"/>
      <c r="W276" s="59" t="str">
        <f t="shared" si="2159"/>
        <v/>
      </c>
      <c r="X276" s="95"/>
      <c r="Y276" s="59" t="str">
        <f t="shared" si="2160"/>
        <v/>
      </c>
      <c r="Z276" s="95"/>
      <c r="AA276" s="59" t="str">
        <f t="shared" si="2161"/>
        <v/>
      </c>
      <c r="AB276" s="60"/>
      <c r="AC276" s="59" t="str">
        <f t="shared" si="2162"/>
        <v/>
      </c>
      <c r="AD276" s="60"/>
      <c r="AE276" s="59" t="str">
        <f t="shared" si="2163"/>
        <v/>
      </c>
      <c r="AF276" s="95"/>
      <c r="AG276" s="59" t="str">
        <f t="shared" si="2164"/>
        <v/>
      </c>
      <c r="AH276" s="95"/>
      <c r="AI276" s="205" t="str">
        <f>+IF(OR($F276="",AH276=""),"",$F276*AH276)</f>
        <v/>
      </c>
      <c r="AJ276" s="60"/>
      <c r="AK276" s="59" t="str">
        <f t="shared" si="2166"/>
        <v/>
      </c>
      <c r="AL276" s="60"/>
      <c r="AM276" s="59" t="str">
        <f t="shared" si="2167"/>
        <v/>
      </c>
      <c r="AN276" s="60"/>
      <c r="AO276" s="59" t="str">
        <f t="shared" si="2168"/>
        <v/>
      </c>
      <c r="AP276" s="60"/>
      <c r="AQ276" s="59" t="str">
        <f t="shared" si="2169"/>
        <v/>
      </c>
      <c r="AR276" s="60"/>
      <c r="AS276" s="59" t="str">
        <f t="shared" si="2170"/>
        <v/>
      </c>
      <c r="AT276" s="60"/>
      <c r="AU276" s="59" t="str">
        <f t="shared" si="2171"/>
        <v/>
      </c>
      <c r="AV276" s="60"/>
      <c r="AW276" s="59" t="str">
        <f t="shared" si="2172"/>
        <v/>
      </c>
      <c r="AX276" s="60"/>
      <c r="AY276" s="59" t="str">
        <f t="shared" si="2173"/>
        <v/>
      </c>
      <c r="AZ276" s="60"/>
      <c r="BA276" s="59" t="str">
        <f t="shared" si="2174"/>
        <v/>
      </c>
      <c r="BB276" s="60"/>
      <c r="BC276" s="59" t="str">
        <f t="shared" si="2175"/>
        <v/>
      </c>
      <c r="BD276" s="61"/>
      <c r="BE276" s="59" t="str">
        <f t="shared" si="2177"/>
        <v/>
      </c>
      <c r="BF276" s="61"/>
      <c r="BG276" s="59" t="str">
        <f t="shared" si="2179"/>
        <v/>
      </c>
      <c r="BH276" s="196"/>
      <c r="BI276" s="1">
        <f t="shared" si="2180"/>
        <v>0</v>
      </c>
      <c r="BJ276" s="1">
        <f t="shared" si="2181"/>
        <v>0</v>
      </c>
      <c r="BK276" s="1">
        <f t="shared" si="2182"/>
        <v>0</v>
      </c>
      <c r="BL276" s="1">
        <f t="shared" si="2183"/>
        <v>0</v>
      </c>
      <c r="BM276" s="1">
        <f t="shared" si="2184"/>
        <v>0</v>
      </c>
      <c r="BN276" s="1">
        <f t="shared" si="2185"/>
        <v>0</v>
      </c>
      <c r="BO276" s="1">
        <f t="shared" si="2186"/>
        <v>0</v>
      </c>
      <c r="BP276" s="1">
        <f t="shared" si="2187"/>
        <v>0</v>
      </c>
      <c r="BQ276" s="1">
        <f t="shared" si="2188"/>
        <v>0</v>
      </c>
      <c r="BR276" s="1">
        <f t="shared" si="2189"/>
        <v>0</v>
      </c>
      <c r="BS276" s="1">
        <f t="shared" si="2190"/>
        <v>0</v>
      </c>
      <c r="BT276" s="1">
        <f t="shared" si="2191"/>
        <v>0</v>
      </c>
      <c r="BU276" s="1">
        <f t="shared" si="2192"/>
        <v>0</v>
      </c>
      <c r="BV276" s="1">
        <f t="shared" si="2193"/>
        <v>0</v>
      </c>
      <c r="BW276" s="1">
        <f t="shared" si="2194"/>
        <v>0</v>
      </c>
      <c r="BX276" s="1">
        <f t="shared" si="2195"/>
        <v>0</v>
      </c>
      <c r="BY276" s="1">
        <f t="shared" si="2196"/>
        <v>0</v>
      </c>
      <c r="BZ276" s="1">
        <f t="shared" si="2197"/>
        <v>0</v>
      </c>
      <c r="CA276" s="1">
        <f t="shared" si="2198"/>
        <v>0</v>
      </c>
      <c r="CB276" s="1">
        <f t="shared" si="2199"/>
        <v>0</v>
      </c>
      <c r="CC276" s="1">
        <f t="shared" si="2200"/>
        <v>0</v>
      </c>
      <c r="CD276" s="1">
        <f t="shared" si="2201"/>
        <v>0</v>
      </c>
      <c r="CE276" s="1">
        <f t="shared" si="2202"/>
        <v>0</v>
      </c>
      <c r="CF276" s="1">
        <f t="shared" si="2203"/>
        <v>0</v>
      </c>
    </row>
    <row r="277" spans="2:85" ht="22.5" outlineLevel="1">
      <c r="C277" s="27" t="s">
        <v>1023</v>
      </c>
      <c r="D277" s="55">
        <v>20</v>
      </c>
      <c r="E277" s="88" t="s">
        <v>828</v>
      </c>
      <c r="F277" s="56">
        <v>106.5</v>
      </c>
      <c r="G277" s="57">
        <f t="shared" si="2151"/>
        <v>2130</v>
      </c>
      <c r="H277" s="28"/>
      <c r="I277" s="59" t="str">
        <f t="shared" si="2152"/>
        <v/>
      </c>
      <c r="J277" s="60"/>
      <c r="K277" s="59" t="str">
        <f t="shared" si="2153"/>
        <v/>
      </c>
      <c r="L277" s="60"/>
      <c r="M277" s="59" t="str">
        <f t="shared" si="2154"/>
        <v/>
      </c>
      <c r="N277" s="60"/>
      <c r="O277" s="59" t="str">
        <f t="shared" si="2155"/>
        <v/>
      </c>
      <c r="P277" s="60"/>
      <c r="Q277" s="59" t="str">
        <f t="shared" si="2156"/>
        <v/>
      </c>
      <c r="R277" s="60"/>
      <c r="S277" s="59" t="str">
        <f t="shared" si="2157"/>
        <v/>
      </c>
      <c r="T277" s="60"/>
      <c r="U277" s="59" t="str">
        <f t="shared" si="2158"/>
        <v/>
      </c>
      <c r="V277" s="60"/>
      <c r="W277" s="59" t="str">
        <f t="shared" si="2159"/>
        <v/>
      </c>
      <c r="X277" s="95"/>
      <c r="Y277" s="59" t="str">
        <f t="shared" si="2160"/>
        <v/>
      </c>
      <c r="Z277" s="95"/>
      <c r="AA277" s="59" t="str">
        <f t="shared" si="2161"/>
        <v/>
      </c>
      <c r="AB277" s="60"/>
      <c r="AC277" s="59" t="str">
        <f t="shared" si="2162"/>
        <v/>
      </c>
      <c r="AD277" s="60"/>
      <c r="AE277" s="59" t="str">
        <f t="shared" si="2163"/>
        <v/>
      </c>
      <c r="AF277" s="95"/>
      <c r="AG277" s="59" t="str">
        <f t="shared" si="2164"/>
        <v/>
      </c>
      <c r="AH277" s="95">
        <v>19</v>
      </c>
      <c r="AI277" s="205">
        <f t="shared" si="2165"/>
        <v>2023.5</v>
      </c>
      <c r="AJ277" s="60"/>
      <c r="AK277" s="59" t="str">
        <f t="shared" si="2166"/>
        <v/>
      </c>
      <c r="AL277" s="60"/>
      <c r="AM277" s="59" t="str">
        <f t="shared" si="2167"/>
        <v/>
      </c>
      <c r="AN277" s="60"/>
      <c r="AO277" s="59" t="str">
        <f t="shared" si="2168"/>
        <v/>
      </c>
      <c r="AP277" s="60"/>
      <c r="AQ277" s="59" t="str">
        <f t="shared" si="2169"/>
        <v/>
      </c>
      <c r="AR277" s="60"/>
      <c r="AS277" s="59" t="str">
        <f t="shared" si="2170"/>
        <v/>
      </c>
      <c r="AT277" s="60"/>
      <c r="AU277" s="59" t="str">
        <f t="shared" si="2171"/>
        <v/>
      </c>
      <c r="AV277" s="60"/>
      <c r="AW277" s="59" t="str">
        <f t="shared" si="2172"/>
        <v/>
      </c>
      <c r="AX277" s="60"/>
      <c r="AY277" s="59" t="str">
        <f t="shared" si="2173"/>
        <v/>
      </c>
      <c r="AZ277" s="60"/>
      <c r="BA277" s="59" t="str">
        <f t="shared" si="2174"/>
        <v/>
      </c>
      <c r="BB277" s="60"/>
      <c r="BC277" s="59" t="str">
        <f t="shared" si="2175"/>
        <v/>
      </c>
      <c r="BD277" s="61">
        <f t="shared" si="2176"/>
        <v>19</v>
      </c>
      <c r="BE277" s="59">
        <f t="shared" si="2177"/>
        <v>2023.5</v>
      </c>
      <c r="BF277" s="61">
        <f t="shared" si="2178"/>
        <v>1</v>
      </c>
      <c r="BG277" s="59">
        <f t="shared" si="2179"/>
        <v>106.5</v>
      </c>
      <c r="BH277" s="196"/>
      <c r="BI277" s="1">
        <f t="shared" si="2180"/>
        <v>0</v>
      </c>
      <c r="BJ277" s="1">
        <f t="shared" si="2181"/>
        <v>0</v>
      </c>
      <c r="BK277" s="1">
        <f t="shared" si="2182"/>
        <v>0</v>
      </c>
      <c r="BL277" s="1">
        <f t="shared" si="2183"/>
        <v>0</v>
      </c>
      <c r="BM277" s="1">
        <f t="shared" si="2184"/>
        <v>0</v>
      </c>
      <c r="BN277" s="1">
        <f t="shared" si="2185"/>
        <v>0</v>
      </c>
      <c r="BO277" s="1">
        <f t="shared" si="2186"/>
        <v>0</v>
      </c>
      <c r="BP277" s="1">
        <f t="shared" si="2187"/>
        <v>0</v>
      </c>
      <c r="BQ277" s="1">
        <f t="shared" si="2188"/>
        <v>0</v>
      </c>
      <c r="BR277" s="1">
        <f t="shared" si="2189"/>
        <v>0</v>
      </c>
      <c r="BS277" s="1">
        <f t="shared" si="2190"/>
        <v>0</v>
      </c>
      <c r="BT277" s="1">
        <f t="shared" si="2191"/>
        <v>0</v>
      </c>
      <c r="BU277" s="1">
        <f t="shared" si="2192"/>
        <v>0</v>
      </c>
      <c r="BV277" s="1">
        <f t="shared" si="2193"/>
        <v>19</v>
      </c>
      <c r="BW277" s="1">
        <f t="shared" si="2194"/>
        <v>0</v>
      </c>
      <c r="BX277" s="1">
        <f t="shared" si="2195"/>
        <v>0</v>
      </c>
      <c r="BY277" s="1">
        <f t="shared" si="2196"/>
        <v>0</v>
      </c>
      <c r="BZ277" s="1">
        <f t="shared" si="2197"/>
        <v>0</v>
      </c>
      <c r="CA277" s="1">
        <f t="shared" si="2198"/>
        <v>0</v>
      </c>
      <c r="CB277" s="1">
        <f t="shared" si="2199"/>
        <v>0</v>
      </c>
      <c r="CC277" s="1">
        <f t="shared" si="2200"/>
        <v>0</v>
      </c>
      <c r="CD277" s="1">
        <f t="shared" si="2201"/>
        <v>0</v>
      </c>
      <c r="CE277" s="1">
        <f t="shared" si="2202"/>
        <v>0</v>
      </c>
      <c r="CF277" s="1">
        <f t="shared" si="2203"/>
        <v>0</v>
      </c>
    </row>
    <row r="278" spans="2:85" outlineLevel="1">
      <c r="C278" s="27" t="s">
        <v>1024</v>
      </c>
      <c r="D278" s="55">
        <v>10</v>
      </c>
      <c r="E278" s="88" t="s">
        <v>828</v>
      </c>
      <c r="F278" s="56">
        <v>145.76249999999999</v>
      </c>
      <c r="G278" s="57">
        <f t="shared" si="2151"/>
        <v>1457.625</v>
      </c>
      <c r="H278" s="28"/>
      <c r="I278" s="59" t="str">
        <f t="shared" si="2152"/>
        <v/>
      </c>
      <c r="J278" s="60"/>
      <c r="K278" s="59" t="str">
        <f t="shared" si="2153"/>
        <v/>
      </c>
      <c r="L278" s="60"/>
      <c r="M278" s="59" t="str">
        <f t="shared" si="2154"/>
        <v/>
      </c>
      <c r="N278" s="60"/>
      <c r="O278" s="59" t="str">
        <f t="shared" si="2155"/>
        <v/>
      </c>
      <c r="P278" s="60"/>
      <c r="Q278" s="59" t="str">
        <f t="shared" si="2156"/>
        <v/>
      </c>
      <c r="R278" s="60"/>
      <c r="S278" s="59" t="str">
        <f t="shared" si="2157"/>
        <v/>
      </c>
      <c r="T278" s="60"/>
      <c r="U278" s="59" t="str">
        <f t="shared" si="2158"/>
        <v/>
      </c>
      <c r="V278" s="60"/>
      <c r="W278" s="59" t="str">
        <f t="shared" si="2159"/>
        <v/>
      </c>
      <c r="X278" s="95"/>
      <c r="Y278" s="59" t="str">
        <f t="shared" si="2160"/>
        <v/>
      </c>
      <c r="Z278" s="95"/>
      <c r="AA278" s="59" t="str">
        <f t="shared" si="2161"/>
        <v/>
      </c>
      <c r="AB278" s="60"/>
      <c r="AC278" s="59" t="str">
        <f t="shared" si="2162"/>
        <v/>
      </c>
      <c r="AD278" s="60"/>
      <c r="AE278" s="59" t="str">
        <f t="shared" si="2163"/>
        <v/>
      </c>
      <c r="AF278" s="95"/>
      <c r="AG278" s="59" t="str">
        <f t="shared" si="2164"/>
        <v/>
      </c>
      <c r="AH278" s="95"/>
      <c r="AI278" s="205" t="str">
        <f t="shared" si="2165"/>
        <v/>
      </c>
      <c r="AJ278" s="60"/>
      <c r="AK278" s="59" t="str">
        <f t="shared" si="2166"/>
        <v/>
      </c>
      <c r="AL278" s="60"/>
      <c r="AM278" s="59" t="str">
        <f t="shared" si="2167"/>
        <v/>
      </c>
      <c r="AN278" s="60"/>
      <c r="AO278" s="59" t="str">
        <f t="shared" si="2168"/>
        <v/>
      </c>
      <c r="AP278" s="60"/>
      <c r="AQ278" s="59" t="str">
        <f t="shared" si="2169"/>
        <v/>
      </c>
      <c r="AR278" s="60"/>
      <c r="AS278" s="59" t="str">
        <f t="shared" si="2170"/>
        <v/>
      </c>
      <c r="AT278" s="60"/>
      <c r="AU278" s="59" t="str">
        <f t="shared" si="2171"/>
        <v/>
      </c>
      <c r="AV278" s="60"/>
      <c r="AW278" s="59" t="str">
        <f t="shared" si="2172"/>
        <v/>
      </c>
      <c r="AX278" s="60"/>
      <c r="AY278" s="59" t="str">
        <f t="shared" si="2173"/>
        <v/>
      </c>
      <c r="AZ278" s="60"/>
      <c r="BA278" s="59" t="str">
        <f t="shared" si="2174"/>
        <v/>
      </c>
      <c r="BB278" s="60"/>
      <c r="BC278" s="59" t="str">
        <f t="shared" si="2175"/>
        <v/>
      </c>
      <c r="BD278" s="61">
        <f t="shared" si="2176"/>
        <v>0</v>
      </c>
      <c r="BE278" s="59">
        <f t="shared" si="2177"/>
        <v>0</v>
      </c>
      <c r="BF278" s="61">
        <f t="shared" si="2178"/>
        <v>10</v>
      </c>
      <c r="BG278" s="59">
        <f t="shared" si="2179"/>
        <v>1457.625</v>
      </c>
      <c r="BH278" s="196"/>
      <c r="BI278" s="1">
        <f t="shared" si="2180"/>
        <v>0</v>
      </c>
      <c r="BJ278" s="1">
        <f t="shared" si="2181"/>
        <v>0</v>
      </c>
      <c r="BK278" s="1">
        <f t="shared" si="2182"/>
        <v>0</v>
      </c>
      <c r="BL278" s="1">
        <f t="shared" si="2183"/>
        <v>0</v>
      </c>
      <c r="BM278" s="1">
        <f t="shared" si="2184"/>
        <v>0</v>
      </c>
      <c r="BN278" s="1">
        <f t="shared" si="2185"/>
        <v>0</v>
      </c>
      <c r="BO278" s="1">
        <f t="shared" si="2186"/>
        <v>0</v>
      </c>
      <c r="BP278" s="1">
        <f t="shared" si="2187"/>
        <v>0</v>
      </c>
      <c r="BQ278" s="1">
        <f t="shared" si="2188"/>
        <v>0</v>
      </c>
      <c r="BR278" s="1">
        <f t="shared" si="2189"/>
        <v>0</v>
      </c>
      <c r="BS278" s="1">
        <f t="shared" si="2190"/>
        <v>0</v>
      </c>
      <c r="BT278" s="1">
        <f t="shared" si="2191"/>
        <v>0</v>
      </c>
      <c r="BU278" s="1">
        <f t="shared" si="2192"/>
        <v>0</v>
      </c>
      <c r="BV278" s="1">
        <f t="shared" si="2193"/>
        <v>0</v>
      </c>
      <c r="BW278" s="1">
        <f t="shared" si="2194"/>
        <v>0</v>
      </c>
      <c r="BX278" s="1">
        <f t="shared" si="2195"/>
        <v>0</v>
      </c>
      <c r="BY278" s="1">
        <f t="shared" si="2196"/>
        <v>0</v>
      </c>
      <c r="BZ278" s="1">
        <f t="shared" si="2197"/>
        <v>0</v>
      </c>
      <c r="CA278" s="1">
        <f t="shared" si="2198"/>
        <v>0</v>
      </c>
      <c r="CB278" s="1">
        <f t="shared" si="2199"/>
        <v>0</v>
      </c>
      <c r="CC278" s="1">
        <f t="shared" si="2200"/>
        <v>0</v>
      </c>
      <c r="CD278" s="1">
        <f t="shared" si="2201"/>
        <v>0</v>
      </c>
      <c r="CE278" s="1">
        <f t="shared" si="2202"/>
        <v>0</v>
      </c>
      <c r="CF278" s="1">
        <f t="shared" si="2203"/>
        <v>0</v>
      </c>
    </row>
    <row r="279" spans="2:85" outlineLevel="1">
      <c r="C279" s="27" t="s">
        <v>1025</v>
      </c>
      <c r="D279" s="55">
        <v>10</v>
      </c>
      <c r="E279" s="88" t="s">
        <v>828</v>
      </c>
      <c r="F279" s="56">
        <v>42.262500000000003</v>
      </c>
      <c r="G279" s="57">
        <f t="shared" si="2151"/>
        <v>422.625</v>
      </c>
      <c r="H279" s="28"/>
      <c r="I279" s="59" t="str">
        <f t="shared" si="2152"/>
        <v/>
      </c>
      <c r="J279" s="60"/>
      <c r="K279" s="59" t="str">
        <f t="shared" si="2153"/>
        <v/>
      </c>
      <c r="L279" s="60"/>
      <c r="M279" s="59" t="str">
        <f t="shared" si="2154"/>
        <v/>
      </c>
      <c r="N279" s="60"/>
      <c r="O279" s="59" t="str">
        <f t="shared" si="2155"/>
        <v/>
      </c>
      <c r="P279" s="60"/>
      <c r="Q279" s="59" t="str">
        <f t="shared" si="2156"/>
        <v/>
      </c>
      <c r="R279" s="60"/>
      <c r="S279" s="59" t="str">
        <f t="shared" si="2157"/>
        <v/>
      </c>
      <c r="T279" s="60"/>
      <c r="U279" s="59" t="str">
        <f t="shared" si="2158"/>
        <v/>
      </c>
      <c r="V279" s="60"/>
      <c r="W279" s="59" t="str">
        <f t="shared" si="2159"/>
        <v/>
      </c>
      <c r="X279" s="95"/>
      <c r="Y279" s="59" t="str">
        <f t="shared" si="2160"/>
        <v/>
      </c>
      <c r="Z279" s="95"/>
      <c r="AA279" s="59" t="str">
        <f t="shared" si="2161"/>
        <v/>
      </c>
      <c r="AB279" s="60"/>
      <c r="AC279" s="59" t="str">
        <f t="shared" si="2162"/>
        <v/>
      </c>
      <c r="AD279" s="60"/>
      <c r="AE279" s="59" t="str">
        <f t="shared" si="2163"/>
        <v/>
      </c>
      <c r="AF279" s="95"/>
      <c r="AG279" s="59" t="str">
        <f t="shared" si="2164"/>
        <v/>
      </c>
      <c r="AH279" s="95"/>
      <c r="AI279" s="205" t="str">
        <f t="shared" si="2165"/>
        <v/>
      </c>
      <c r="AJ279" s="60"/>
      <c r="AK279" s="59" t="str">
        <f t="shared" si="2166"/>
        <v/>
      </c>
      <c r="AL279" s="60"/>
      <c r="AM279" s="59" t="str">
        <f t="shared" si="2167"/>
        <v/>
      </c>
      <c r="AN279" s="60"/>
      <c r="AO279" s="59" t="str">
        <f t="shared" si="2168"/>
        <v/>
      </c>
      <c r="AP279" s="60"/>
      <c r="AQ279" s="59" t="str">
        <f t="shared" si="2169"/>
        <v/>
      </c>
      <c r="AR279" s="60"/>
      <c r="AS279" s="59" t="str">
        <f t="shared" si="2170"/>
        <v/>
      </c>
      <c r="AT279" s="60"/>
      <c r="AU279" s="59" t="str">
        <f t="shared" si="2171"/>
        <v/>
      </c>
      <c r="AV279" s="60"/>
      <c r="AW279" s="59" t="str">
        <f t="shared" si="2172"/>
        <v/>
      </c>
      <c r="AX279" s="60"/>
      <c r="AY279" s="59" t="str">
        <f t="shared" si="2173"/>
        <v/>
      </c>
      <c r="AZ279" s="60"/>
      <c r="BA279" s="59" t="str">
        <f t="shared" si="2174"/>
        <v/>
      </c>
      <c r="BB279" s="60"/>
      <c r="BC279" s="59" t="str">
        <f t="shared" si="2175"/>
        <v/>
      </c>
      <c r="BD279" s="61">
        <f t="shared" si="2176"/>
        <v>0</v>
      </c>
      <c r="BE279" s="59">
        <f t="shared" si="2177"/>
        <v>0</v>
      </c>
      <c r="BF279" s="61">
        <f t="shared" si="2178"/>
        <v>10</v>
      </c>
      <c r="BG279" s="59">
        <f t="shared" si="2179"/>
        <v>422.625</v>
      </c>
      <c r="BH279" s="196"/>
      <c r="BI279" s="1">
        <f t="shared" si="2180"/>
        <v>0</v>
      </c>
      <c r="BJ279" s="1">
        <f t="shared" si="2181"/>
        <v>0</v>
      </c>
      <c r="BK279" s="1">
        <f t="shared" si="2182"/>
        <v>0</v>
      </c>
      <c r="BL279" s="1">
        <f t="shared" si="2183"/>
        <v>0</v>
      </c>
      <c r="BM279" s="1">
        <f t="shared" si="2184"/>
        <v>0</v>
      </c>
      <c r="BN279" s="1">
        <f t="shared" si="2185"/>
        <v>0</v>
      </c>
      <c r="BO279" s="1">
        <f t="shared" si="2186"/>
        <v>0</v>
      </c>
      <c r="BP279" s="1">
        <f t="shared" si="2187"/>
        <v>0</v>
      </c>
      <c r="BQ279" s="1">
        <f t="shared" si="2188"/>
        <v>0</v>
      </c>
      <c r="BR279" s="1">
        <f t="shared" si="2189"/>
        <v>0</v>
      </c>
      <c r="BS279" s="1">
        <f t="shared" si="2190"/>
        <v>0</v>
      </c>
      <c r="BT279" s="1">
        <f t="shared" si="2191"/>
        <v>0</v>
      </c>
      <c r="BU279" s="1">
        <f t="shared" si="2192"/>
        <v>0</v>
      </c>
      <c r="BV279" s="1">
        <f t="shared" si="2193"/>
        <v>0</v>
      </c>
      <c r="BW279" s="1">
        <f t="shared" si="2194"/>
        <v>0</v>
      </c>
      <c r="BX279" s="1">
        <f t="shared" si="2195"/>
        <v>0</v>
      </c>
      <c r="BY279" s="1">
        <f t="shared" si="2196"/>
        <v>0</v>
      </c>
      <c r="BZ279" s="1">
        <f t="shared" si="2197"/>
        <v>0</v>
      </c>
      <c r="CA279" s="1">
        <f t="shared" si="2198"/>
        <v>0</v>
      </c>
      <c r="CB279" s="1">
        <f t="shared" si="2199"/>
        <v>0</v>
      </c>
      <c r="CC279" s="1">
        <f t="shared" si="2200"/>
        <v>0</v>
      </c>
      <c r="CD279" s="1">
        <f t="shared" si="2201"/>
        <v>0</v>
      </c>
      <c r="CE279" s="1">
        <f t="shared" si="2202"/>
        <v>0</v>
      </c>
      <c r="CF279" s="1">
        <f t="shared" si="2203"/>
        <v>0</v>
      </c>
    </row>
    <row r="280" spans="2:85" ht="33.75" outlineLevel="1">
      <c r="C280" s="27" t="s">
        <v>1026</v>
      </c>
      <c r="D280" s="55">
        <v>2</v>
      </c>
      <c r="E280" s="88" t="s">
        <v>828</v>
      </c>
      <c r="F280" s="56">
        <v>168.58</v>
      </c>
      <c r="G280" s="57">
        <f t="shared" si="2151"/>
        <v>337.16</v>
      </c>
      <c r="H280" s="28"/>
      <c r="I280" s="59" t="str">
        <f t="shared" si="2152"/>
        <v/>
      </c>
      <c r="J280" s="60"/>
      <c r="K280" s="59" t="str">
        <f t="shared" si="2153"/>
        <v/>
      </c>
      <c r="L280" s="60"/>
      <c r="M280" s="59" t="str">
        <f t="shared" si="2154"/>
        <v/>
      </c>
      <c r="N280" s="60"/>
      <c r="O280" s="59" t="str">
        <f t="shared" si="2155"/>
        <v/>
      </c>
      <c r="P280" s="60"/>
      <c r="Q280" s="59" t="str">
        <f t="shared" si="2156"/>
        <v/>
      </c>
      <c r="R280" s="60"/>
      <c r="S280" s="59" t="str">
        <f t="shared" si="2157"/>
        <v/>
      </c>
      <c r="T280" s="60"/>
      <c r="U280" s="59" t="str">
        <f t="shared" si="2158"/>
        <v/>
      </c>
      <c r="V280" s="60"/>
      <c r="W280" s="59" t="str">
        <f t="shared" si="2159"/>
        <v/>
      </c>
      <c r="X280" s="95"/>
      <c r="Y280" s="59" t="str">
        <f t="shared" si="2160"/>
        <v/>
      </c>
      <c r="Z280" s="95"/>
      <c r="AA280" s="59" t="str">
        <f t="shared" si="2161"/>
        <v/>
      </c>
      <c r="AB280" s="60"/>
      <c r="AC280" s="59" t="str">
        <f t="shared" si="2162"/>
        <v/>
      </c>
      <c r="AD280" s="60"/>
      <c r="AE280" s="59" t="str">
        <f t="shared" si="2163"/>
        <v/>
      </c>
      <c r="AF280" s="95"/>
      <c r="AG280" s="59" t="str">
        <f t="shared" si="2164"/>
        <v/>
      </c>
      <c r="AH280" s="98"/>
      <c r="AI280" s="205" t="str">
        <f t="shared" si="2165"/>
        <v/>
      </c>
      <c r="AJ280" s="60"/>
      <c r="AK280" s="59" t="str">
        <f t="shared" si="2166"/>
        <v/>
      </c>
      <c r="AL280" s="60"/>
      <c r="AM280" s="59" t="str">
        <f t="shared" si="2167"/>
        <v/>
      </c>
      <c r="AN280" s="60"/>
      <c r="AO280" s="59" t="str">
        <f t="shared" si="2168"/>
        <v/>
      </c>
      <c r="AP280" s="60"/>
      <c r="AQ280" s="59" t="str">
        <f t="shared" si="2169"/>
        <v/>
      </c>
      <c r="AR280" s="60"/>
      <c r="AS280" s="59" t="str">
        <f t="shared" si="2170"/>
        <v/>
      </c>
      <c r="AT280" s="60"/>
      <c r="AU280" s="59" t="str">
        <f t="shared" si="2171"/>
        <v/>
      </c>
      <c r="AV280" s="60"/>
      <c r="AW280" s="59" t="str">
        <f t="shared" si="2172"/>
        <v/>
      </c>
      <c r="AX280" s="60"/>
      <c r="AY280" s="59" t="str">
        <f t="shared" si="2173"/>
        <v/>
      </c>
      <c r="AZ280" s="60"/>
      <c r="BA280" s="59" t="str">
        <f t="shared" si="2174"/>
        <v/>
      </c>
      <c r="BB280" s="60"/>
      <c r="BC280" s="59" t="str">
        <f t="shared" si="2175"/>
        <v/>
      </c>
      <c r="BD280" s="61">
        <f t="shared" si="2176"/>
        <v>0</v>
      </c>
      <c r="BE280" s="59">
        <f t="shared" si="2177"/>
        <v>0</v>
      </c>
      <c r="BF280" s="61">
        <f t="shared" si="2178"/>
        <v>2</v>
      </c>
      <c r="BG280" s="59">
        <f t="shared" si="2179"/>
        <v>337.16</v>
      </c>
      <c r="BH280" s="196"/>
      <c r="BI280" s="1">
        <f t="shared" si="2180"/>
        <v>0</v>
      </c>
      <c r="BJ280" s="1">
        <f t="shared" si="2181"/>
        <v>0</v>
      </c>
      <c r="BK280" s="1">
        <f t="shared" si="2182"/>
        <v>0</v>
      </c>
      <c r="BL280" s="1">
        <f t="shared" si="2183"/>
        <v>0</v>
      </c>
      <c r="BM280" s="1">
        <f t="shared" si="2184"/>
        <v>0</v>
      </c>
      <c r="BN280" s="1">
        <f t="shared" si="2185"/>
        <v>0</v>
      </c>
      <c r="BO280" s="1">
        <f t="shared" si="2186"/>
        <v>0</v>
      </c>
      <c r="BP280" s="1">
        <f t="shared" si="2187"/>
        <v>0</v>
      </c>
      <c r="BQ280" s="1">
        <f t="shared" si="2188"/>
        <v>0</v>
      </c>
      <c r="BR280" s="1">
        <f t="shared" si="2189"/>
        <v>0</v>
      </c>
      <c r="BS280" s="1">
        <f t="shared" si="2190"/>
        <v>0</v>
      </c>
      <c r="BT280" s="1">
        <f t="shared" si="2191"/>
        <v>0</v>
      </c>
      <c r="BU280" s="1">
        <f t="shared" si="2192"/>
        <v>0</v>
      </c>
      <c r="BV280" s="1">
        <f t="shared" si="2193"/>
        <v>0</v>
      </c>
      <c r="BW280" s="1">
        <f t="shared" si="2194"/>
        <v>0</v>
      </c>
      <c r="BX280" s="1">
        <f t="shared" si="2195"/>
        <v>0</v>
      </c>
      <c r="BY280" s="1">
        <f t="shared" si="2196"/>
        <v>0</v>
      </c>
      <c r="BZ280" s="1">
        <f t="shared" si="2197"/>
        <v>0</v>
      </c>
      <c r="CA280" s="1">
        <f t="shared" si="2198"/>
        <v>0</v>
      </c>
      <c r="CB280" s="1">
        <f t="shared" si="2199"/>
        <v>0</v>
      </c>
      <c r="CC280" s="1">
        <f t="shared" si="2200"/>
        <v>0</v>
      </c>
      <c r="CD280" s="1">
        <f t="shared" si="2201"/>
        <v>0</v>
      </c>
      <c r="CE280" s="1">
        <f t="shared" si="2202"/>
        <v>0</v>
      </c>
      <c r="CF280" s="1">
        <f t="shared" si="2203"/>
        <v>0</v>
      </c>
      <c r="CG280" s="220" t="s">
        <v>1045</v>
      </c>
    </row>
    <row r="281" spans="2:85" outlineLevel="1">
      <c r="C281" s="27" t="s">
        <v>1027</v>
      </c>
      <c r="D281" s="55">
        <v>2</v>
      </c>
      <c r="E281" s="88" t="s">
        <v>828</v>
      </c>
      <c r="F281" s="56">
        <v>184.5</v>
      </c>
      <c r="G281" s="57">
        <f t="shared" si="2151"/>
        <v>369</v>
      </c>
      <c r="H281" s="28"/>
      <c r="I281" s="59" t="str">
        <f t="shared" si="2152"/>
        <v/>
      </c>
      <c r="J281" s="60"/>
      <c r="K281" s="59" t="str">
        <f t="shared" si="2153"/>
        <v/>
      </c>
      <c r="L281" s="60"/>
      <c r="M281" s="59" t="str">
        <f t="shared" si="2154"/>
        <v/>
      </c>
      <c r="N281" s="60"/>
      <c r="O281" s="59" t="str">
        <f t="shared" si="2155"/>
        <v/>
      </c>
      <c r="P281" s="60"/>
      <c r="Q281" s="59" t="str">
        <f t="shared" si="2156"/>
        <v/>
      </c>
      <c r="R281" s="60"/>
      <c r="S281" s="59" t="str">
        <f t="shared" si="2157"/>
        <v/>
      </c>
      <c r="T281" s="60"/>
      <c r="U281" s="59" t="str">
        <f t="shared" si="2158"/>
        <v/>
      </c>
      <c r="V281" s="60"/>
      <c r="W281" s="59" t="str">
        <f t="shared" si="2159"/>
        <v/>
      </c>
      <c r="X281" s="95"/>
      <c r="Y281" s="59" t="str">
        <f t="shared" si="2160"/>
        <v/>
      </c>
      <c r="Z281" s="95"/>
      <c r="AA281" s="59" t="str">
        <f t="shared" si="2161"/>
        <v/>
      </c>
      <c r="AB281" s="60"/>
      <c r="AC281" s="59" t="str">
        <f t="shared" si="2162"/>
        <v/>
      </c>
      <c r="AD281" s="60"/>
      <c r="AE281" s="59" t="str">
        <f t="shared" si="2163"/>
        <v/>
      </c>
      <c r="AF281" s="95"/>
      <c r="AG281" s="59" t="str">
        <f t="shared" si="2164"/>
        <v/>
      </c>
      <c r="AH281" s="98"/>
      <c r="AI281" s="205" t="str">
        <f t="shared" si="2165"/>
        <v/>
      </c>
      <c r="AJ281" s="60"/>
      <c r="AK281" s="59" t="str">
        <f t="shared" si="2166"/>
        <v/>
      </c>
      <c r="AL281" s="60"/>
      <c r="AM281" s="59" t="str">
        <f t="shared" si="2167"/>
        <v/>
      </c>
      <c r="AN281" s="60"/>
      <c r="AO281" s="59" t="str">
        <f t="shared" si="2168"/>
        <v/>
      </c>
      <c r="AP281" s="60"/>
      <c r="AQ281" s="59" t="str">
        <f t="shared" si="2169"/>
        <v/>
      </c>
      <c r="AR281" s="60"/>
      <c r="AS281" s="59" t="str">
        <f t="shared" si="2170"/>
        <v/>
      </c>
      <c r="AT281" s="60"/>
      <c r="AU281" s="59" t="str">
        <f t="shared" si="2171"/>
        <v/>
      </c>
      <c r="AV281" s="60"/>
      <c r="AW281" s="59" t="str">
        <f t="shared" si="2172"/>
        <v/>
      </c>
      <c r="AX281" s="60"/>
      <c r="AY281" s="59" t="str">
        <f t="shared" si="2173"/>
        <v/>
      </c>
      <c r="AZ281" s="60"/>
      <c r="BA281" s="59" t="str">
        <f t="shared" si="2174"/>
        <v/>
      </c>
      <c r="BB281" s="60"/>
      <c r="BC281" s="59" t="str">
        <f t="shared" si="2175"/>
        <v/>
      </c>
      <c r="BD281" s="61">
        <f t="shared" si="2176"/>
        <v>0</v>
      </c>
      <c r="BE281" s="59">
        <f t="shared" si="2177"/>
        <v>0</v>
      </c>
      <c r="BF281" s="61">
        <f t="shared" si="2178"/>
        <v>2</v>
      </c>
      <c r="BG281" s="59">
        <f t="shared" si="2179"/>
        <v>369</v>
      </c>
      <c r="BH281" s="196"/>
      <c r="BI281" s="1">
        <f t="shared" si="2180"/>
        <v>0</v>
      </c>
      <c r="BJ281" s="1">
        <f t="shared" si="2181"/>
        <v>0</v>
      </c>
      <c r="BK281" s="1">
        <f t="shared" si="2182"/>
        <v>0</v>
      </c>
      <c r="BL281" s="1">
        <f t="shared" si="2183"/>
        <v>0</v>
      </c>
      <c r="BM281" s="1">
        <f t="shared" si="2184"/>
        <v>0</v>
      </c>
      <c r="BN281" s="1">
        <f t="shared" si="2185"/>
        <v>0</v>
      </c>
      <c r="BO281" s="1">
        <f t="shared" si="2186"/>
        <v>0</v>
      </c>
      <c r="BP281" s="1">
        <f t="shared" si="2187"/>
        <v>0</v>
      </c>
      <c r="BQ281" s="1">
        <f t="shared" si="2188"/>
        <v>0</v>
      </c>
      <c r="BR281" s="1">
        <f t="shared" si="2189"/>
        <v>0</v>
      </c>
      <c r="BS281" s="1">
        <f t="shared" si="2190"/>
        <v>0</v>
      </c>
      <c r="BT281" s="1">
        <f t="shared" si="2191"/>
        <v>0</v>
      </c>
      <c r="BU281" s="1">
        <f t="shared" si="2192"/>
        <v>0</v>
      </c>
      <c r="BV281" s="1">
        <f t="shared" si="2193"/>
        <v>0</v>
      </c>
      <c r="BW281" s="1">
        <f t="shared" si="2194"/>
        <v>0</v>
      </c>
      <c r="BX281" s="1">
        <f t="shared" si="2195"/>
        <v>0</v>
      </c>
      <c r="BY281" s="1">
        <f t="shared" si="2196"/>
        <v>0</v>
      </c>
      <c r="BZ281" s="1">
        <f t="shared" si="2197"/>
        <v>0</v>
      </c>
      <c r="CA281" s="1">
        <f t="shared" si="2198"/>
        <v>0</v>
      </c>
      <c r="CB281" s="1">
        <f t="shared" si="2199"/>
        <v>0</v>
      </c>
      <c r="CC281" s="1">
        <f t="shared" si="2200"/>
        <v>0</v>
      </c>
      <c r="CD281" s="1">
        <f t="shared" si="2201"/>
        <v>0</v>
      </c>
      <c r="CE281" s="1">
        <f t="shared" si="2202"/>
        <v>0</v>
      </c>
      <c r="CF281" s="1">
        <f t="shared" si="2203"/>
        <v>0</v>
      </c>
      <c r="CG281" s="221"/>
    </row>
    <row r="282" spans="2:85" outlineLevel="1">
      <c r="C282" s="27" t="s">
        <v>1028</v>
      </c>
      <c r="D282" s="55">
        <v>6</v>
      </c>
      <c r="E282" s="88" t="s">
        <v>828</v>
      </c>
      <c r="F282" s="56">
        <v>189.95</v>
      </c>
      <c r="G282" s="57">
        <f t="shared" si="2151"/>
        <v>1139.6999999999998</v>
      </c>
      <c r="H282" s="28"/>
      <c r="I282" s="59" t="str">
        <f t="shared" si="2152"/>
        <v/>
      </c>
      <c r="J282" s="60"/>
      <c r="K282" s="59" t="str">
        <f t="shared" si="2153"/>
        <v/>
      </c>
      <c r="L282" s="60"/>
      <c r="M282" s="59" t="str">
        <f t="shared" si="2154"/>
        <v/>
      </c>
      <c r="N282" s="60"/>
      <c r="O282" s="59" t="str">
        <f t="shared" si="2155"/>
        <v/>
      </c>
      <c r="P282" s="60"/>
      <c r="Q282" s="59" t="str">
        <f t="shared" si="2156"/>
        <v/>
      </c>
      <c r="R282" s="60"/>
      <c r="S282" s="59" t="str">
        <f t="shared" si="2157"/>
        <v/>
      </c>
      <c r="T282" s="60"/>
      <c r="U282" s="59" t="str">
        <f t="shared" si="2158"/>
        <v/>
      </c>
      <c r="V282" s="60"/>
      <c r="W282" s="59" t="str">
        <f t="shared" si="2159"/>
        <v/>
      </c>
      <c r="X282" s="95"/>
      <c r="Y282" s="59" t="str">
        <f t="shared" si="2160"/>
        <v/>
      </c>
      <c r="Z282" s="95"/>
      <c r="AA282" s="59" t="str">
        <f t="shared" si="2161"/>
        <v/>
      </c>
      <c r="AB282" s="60"/>
      <c r="AC282" s="59" t="str">
        <f t="shared" si="2162"/>
        <v/>
      </c>
      <c r="AD282" s="60"/>
      <c r="AE282" s="59" t="str">
        <f t="shared" si="2163"/>
        <v/>
      </c>
      <c r="AF282" s="95"/>
      <c r="AG282" s="59" t="str">
        <f t="shared" si="2164"/>
        <v/>
      </c>
      <c r="AH282" s="98"/>
      <c r="AI282" s="205" t="str">
        <f t="shared" si="2165"/>
        <v/>
      </c>
      <c r="AJ282" s="60"/>
      <c r="AK282" s="59" t="str">
        <f t="shared" si="2166"/>
        <v/>
      </c>
      <c r="AL282" s="60"/>
      <c r="AM282" s="59" t="str">
        <f t="shared" si="2167"/>
        <v/>
      </c>
      <c r="AN282" s="60"/>
      <c r="AO282" s="59" t="str">
        <f t="shared" si="2168"/>
        <v/>
      </c>
      <c r="AP282" s="60"/>
      <c r="AQ282" s="59" t="str">
        <f t="shared" si="2169"/>
        <v/>
      </c>
      <c r="AR282" s="60"/>
      <c r="AS282" s="59" t="str">
        <f t="shared" si="2170"/>
        <v/>
      </c>
      <c r="AT282" s="60"/>
      <c r="AU282" s="59" t="str">
        <f t="shared" si="2171"/>
        <v/>
      </c>
      <c r="AV282" s="60"/>
      <c r="AW282" s="59" t="str">
        <f t="shared" si="2172"/>
        <v/>
      </c>
      <c r="AX282" s="60"/>
      <c r="AY282" s="59" t="str">
        <f t="shared" si="2173"/>
        <v/>
      </c>
      <c r="AZ282" s="60"/>
      <c r="BA282" s="59" t="str">
        <f t="shared" si="2174"/>
        <v/>
      </c>
      <c r="BB282" s="60"/>
      <c r="BC282" s="59" t="str">
        <f t="shared" si="2175"/>
        <v/>
      </c>
      <c r="BD282" s="61">
        <f t="shared" si="2176"/>
        <v>0</v>
      </c>
      <c r="BE282" s="59">
        <f t="shared" si="2177"/>
        <v>0</v>
      </c>
      <c r="BF282" s="61">
        <f t="shared" si="2178"/>
        <v>6</v>
      </c>
      <c r="BG282" s="59">
        <f t="shared" si="2179"/>
        <v>1139.6999999999998</v>
      </c>
      <c r="BH282" s="196"/>
      <c r="BI282" s="1">
        <f t="shared" si="2180"/>
        <v>0</v>
      </c>
      <c r="BJ282" s="1">
        <f t="shared" si="2181"/>
        <v>0</v>
      </c>
      <c r="BK282" s="1">
        <f t="shared" si="2182"/>
        <v>0</v>
      </c>
      <c r="BL282" s="1">
        <f t="shared" si="2183"/>
        <v>0</v>
      </c>
      <c r="BM282" s="1">
        <f t="shared" si="2184"/>
        <v>0</v>
      </c>
      <c r="BN282" s="1">
        <f t="shared" si="2185"/>
        <v>0</v>
      </c>
      <c r="BO282" s="1">
        <f t="shared" si="2186"/>
        <v>0</v>
      </c>
      <c r="BP282" s="1">
        <f t="shared" si="2187"/>
        <v>0</v>
      </c>
      <c r="BQ282" s="1">
        <f t="shared" si="2188"/>
        <v>0</v>
      </c>
      <c r="BR282" s="1">
        <f t="shared" si="2189"/>
        <v>0</v>
      </c>
      <c r="BS282" s="1">
        <f t="shared" si="2190"/>
        <v>0</v>
      </c>
      <c r="BT282" s="1">
        <f t="shared" si="2191"/>
        <v>0</v>
      </c>
      <c r="BU282" s="1">
        <f t="shared" si="2192"/>
        <v>0</v>
      </c>
      <c r="BV282" s="1">
        <f t="shared" si="2193"/>
        <v>0</v>
      </c>
      <c r="BW282" s="1">
        <f t="shared" si="2194"/>
        <v>0</v>
      </c>
      <c r="BX282" s="1">
        <f t="shared" si="2195"/>
        <v>0</v>
      </c>
      <c r="BY282" s="1">
        <f t="shared" si="2196"/>
        <v>0</v>
      </c>
      <c r="BZ282" s="1">
        <f t="shared" si="2197"/>
        <v>0</v>
      </c>
      <c r="CA282" s="1">
        <f t="shared" si="2198"/>
        <v>0</v>
      </c>
      <c r="CB282" s="1">
        <f t="shared" si="2199"/>
        <v>0</v>
      </c>
      <c r="CC282" s="1">
        <f t="shared" si="2200"/>
        <v>0</v>
      </c>
      <c r="CD282" s="1">
        <f t="shared" si="2201"/>
        <v>0</v>
      </c>
      <c r="CE282" s="1">
        <f t="shared" si="2202"/>
        <v>0</v>
      </c>
      <c r="CF282" s="1">
        <f t="shared" si="2203"/>
        <v>0</v>
      </c>
      <c r="CG282" s="221"/>
    </row>
    <row r="283" spans="2:85" outlineLevel="1">
      <c r="C283" s="27" t="s">
        <v>1029</v>
      </c>
      <c r="D283" s="55">
        <v>1</v>
      </c>
      <c r="E283" s="88" t="s">
        <v>828</v>
      </c>
      <c r="F283" s="56">
        <v>195.29499999999999</v>
      </c>
      <c r="G283" s="57">
        <f t="shared" si="2151"/>
        <v>195.29499999999999</v>
      </c>
      <c r="H283" s="28"/>
      <c r="I283" s="59" t="str">
        <f t="shared" si="2152"/>
        <v/>
      </c>
      <c r="J283" s="60"/>
      <c r="K283" s="59" t="str">
        <f t="shared" si="2153"/>
        <v/>
      </c>
      <c r="L283" s="60"/>
      <c r="M283" s="59" t="str">
        <f t="shared" si="2154"/>
        <v/>
      </c>
      <c r="N283" s="60"/>
      <c r="O283" s="59" t="str">
        <f t="shared" si="2155"/>
        <v/>
      </c>
      <c r="P283" s="60"/>
      <c r="Q283" s="59" t="str">
        <f t="shared" si="2156"/>
        <v/>
      </c>
      <c r="R283" s="60"/>
      <c r="S283" s="59" t="str">
        <f t="shared" si="2157"/>
        <v/>
      </c>
      <c r="T283" s="60"/>
      <c r="U283" s="59" t="str">
        <f t="shared" si="2158"/>
        <v/>
      </c>
      <c r="V283" s="60"/>
      <c r="W283" s="59" t="str">
        <f t="shared" si="2159"/>
        <v/>
      </c>
      <c r="X283" s="95"/>
      <c r="Y283" s="59" t="str">
        <f t="shared" si="2160"/>
        <v/>
      </c>
      <c r="Z283" s="95"/>
      <c r="AA283" s="59" t="str">
        <f t="shared" si="2161"/>
        <v/>
      </c>
      <c r="AB283" s="60"/>
      <c r="AC283" s="59" t="str">
        <f t="shared" si="2162"/>
        <v/>
      </c>
      <c r="AD283" s="60"/>
      <c r="AE283" s="59" t="str">
        <f t="shared" si="2163"/>
        <v/>
      </c>
      <c r="AF283" s="95"/>
      <c r="AG283" s="59" t="str">
        <f t="shared" si="2164"/>
        <v/>
      </c>
      <c r="AH283" s="98"/>
      <c r="AI283" s="205" t="str">
        <f t="shared" si="2165"/>
        <v/>
      </c>
      <c r="AJ283" s="60"/>
      <c r="AK283" s="59" t="str">
        <f t="shared" si="2166"/>
        <v/>
      </c>
      <c r="AL283" s="60"/>
      <c r="AM283" s="59" t="str">
        <f t="shared" si="2167"/>
        <v/>
      </c>
      <c r="AN283" s="60"/>
      <c r="AO283" s="59" t="str">
        <f t="shared" si="2168"/>
        <v/>
      </c>
      <c r="AP283" s="60"/>
      <c r="AQ283" s="59" t="str">
        <f t="shared" si="2169"/>
        <v/>
      </c>
      <c r="AR283" s="60"/>
      <c r="AS283" s="59" t="str">
        <f t="shared" si="2170"/>
        <v/>
      </c>
      <c r="AT283" s="60"/>
      <c r="AU283" s="59" t="str">
        <f t="shared" si="2171"/>
        <v/>
      </c>
      <c r="AV283" s="60"/>
      <c r="AW283" s="59" t="str">
        <f t="shared" si="2172"/>
        <v/>
      </c>
      <c r="AX283" s="60"/>
      <c r="AY283" s="59" t="str">
        <f t="shared" si="2173"/>
        <v/>
      </c>
      <c r="AZ283" s="60"/>
      <c r="BA283" s="59" t="str">
        <f t="shared" si="2174"/>
        <v/>
      </c>
      <c r="BB283" s="60"/>
      <c r="BC283" s="59" t="str">
        <f t="shared" si="2175"/>
        <v/>
      </c>
      <c r="BD283" s="61">
        <f t="shared" si="2176"/>
        <v>0</v>
      </c>
      <c r="BE283" s="59">
        <f t="shared" si="2177"/>
        <v>0</v>
      </c>
      <c r="BF283" s="61">
        <f t="shared" si="2178"/>
        <v>1</v>
      </c>
      <c r="BG283" s="59">
        <f t="shared" si="2179"/>
        <v>195.29499999999999</v>
      </c>
      <c r="BH283" s="196"/>
      <c r="BI283" s="1">
        <f t="shared" si="2180"/>
        <v>0</v>
      </c>
      <c r="BJ283" s="1">
        <f t="shared" si="2181"/>
        <v>0</v>
      </c>
      <c r="BK283" s="1">
        <f t="shared" si="2182"/>
        <v>0</v>
      </c>
      <c r="BL283" s="1">
        <f t="shared" si="2183"/>
        <v>0</v>
      </c>
      <c r="BM283" s="1">
        <f t="shared" si="2184"/>
        <v>0</v>
      </c>
      <c r="BN283" s="1">
        <f t="shared" si="2185"/>
        <v>0</v>
      </c>
      <c r="BO283" s="1">
        <f t="shared" si="2186"/>
        <v>0</v>
      </c>
      <c r="BP283" s="1">
        <f t="shared" si="2187"/>
        <v>0</v>
      </c>
      <c r="BQ283" s="1">
        <f t="shared" si="2188"/>
        <v>0</v>
      </c>
      <c r="BR283" s="1">
        <f t="shared" si="2189"/>
        <v>0</v>
      </c>
      <c r="BS283" s="1">
        <f t="shared" si="2190"/>
        <v>0</v>
      </c>
      <c r="BT283" s="1">
        <f t="shared" si="2191"/>
        <v>0</v>
      </c>
      <c r="BU283" s="1">
        <f t="shared" si="2192"/>
        <v>0</v>
      </c>
      <c r="BV283" s="1">
        <f t="shared" si="2193"/>
        <v>0</v>
      </c>
      <c r="BW283" s="1">
        <f t="shared" si="2194"/>
        <v>0</v>
      </c>
      <c r="BX283" s="1">
        <f t="shared" si="2195"/>
        <v>0</v>
      </c>
      <c r="BY283" s="1">
        <f t="shared" si="2196"/>
        <v>0</v>
      </c>
      <c r="BZ283" s="1">
        <f t="shared" si="2197"/>
        <v>0</v>
      </c>
      <c r="CA283" s="1">
        <f t="shared" si="2198"/>
        <v>0</v>
      </c>
      <c r="CB283" s="1">
        <f t="shared" si="2199"/>
        <v>0</v>
      </c>
      <c r="CC283" s="1">
        <f t="shared" si="2200"/>
        <v>0</v>
      </c>
      <c r="CD283" s="1">
        <f t="shared" si="2201"/>
        <v>0</v>
      </c>
      <c r="CE283" s="1">
        <f t="shared" si="2202"/>
        <v>0</v>
      </c>
      <c r="CF283" s="1">
        <f t="shared" si="2203"/>
        <v>0</v>
      </c>
      <c r="CG283" s="221"/>
    </row>
    <row r="284" spans="2:85" s="6" customFormat="1" ht="18" customHeight="1">
      <c r="B284" s="62" t="s">
        <v>986</v>
      </c>
      <c r="C284" s="25" t="s">
        <v>987</v>
      </c>
      <c r="D284" s="49"/>
      <c r="E284" s="85"/>
      <c r="F284" s="50"/>
      <c r="G284" s="63">
        <f>+SUM(G285:G303)</f>
        <v>15053.287999999999</v>
      </c>
      <c r="H284" s="51"/>
      <c r="I284" s="52" t="str">
        <f>IF(SUM(I285:I303)=0,"",SUM(I285:I303))</f>
        <v/>
      </c>
      <c r="J284" s="53"/>
      <c r="K284" s="52" t="str">
        <f>IF(SUM(K285:K303)=0,"",SUM(K285:K303))</f>
        <v/>
      </c>
      <c r="L284" s="53"/>
      <c r="M284" s="52" t="str">
        <f>IF(SUM(M285:M303)=0,"",SUM(M285:M303))</f>
        <v/>
      </c>
      <c r="N284" s="53"/>
      <c r="O284" s="52" t="str">
        <f>IF(SUM(O285:O303)=0,"",SUM(O285:O303))</f>
        <v/>
      </c>
      <c r="P284" s="51"/>
      <c r="Q284" s="52" t="str">
        <f>IF(SUM(Q285:Q303)=0,"",SUM(Q285:Q303))</f>
        <v/>
      </c>
      <c r="R284" s="53"/>
      <c r="S284" s="52" t="str">
        <f>IF(SUM(S285:S303)=0,"",SUM(S285:S303))</f>
        <v/>
      </c>
      <c r="T284" s="53"/>
      <c r="U284" s="52" t="str">
        <f>IF(SUM(U285:U303)=0,"",SUM(U285:U303))</f>
        <v/>
      </c>
      <c r="V284" s="53"/>
      <c r="W284" s="52" t="str">
        <f>IF(SUM(W285:W303)=0,"",SUM(W285:W303))</f>
        <v/>
      </c>
      <c r="X284" s="51"/>
      <c r="Y284" s="52" t="str">
        <f>IF(SUM(Y285:Y303)=0,"",SUM(Y285:Y303))</f>
        <v/>
      </c>
      <c r="Z284" s="53"/>
      <c r="AA284" s="52" t="str">
        <f>IF(SUM(AA285:AA303)=0,"",SUM(AA285:AA303))</f>
        <v/>
      </c>
      <c r="AB284" s="53"/>
      <c r="AC284" s="52" t="str">
        <f>IF(SUM(AC285:AC303)=0,"",SUM(AC285:AC303))</f>
        <v/>
      </c>
      <c r="AD284" s="53"/>
      <c r="AE284" s="52" t="str">
        <f>IF(SUM(AE285:AE303)=0,"",SUM(AE285:AE303))</f>
        <v/>
      </c>
      <c r="AF284" s="192"/>
      <c r="AG284" s="52" t="str">
        <f>IF(SUM(AG285:AG303)=0,"",SUM(AG285:AG303))</f>
        <v/>
      </c>
      <c r="AH284" s="91"/>
      <c r="AI284" s="52">
        <f>IF(SUM(AI285:AI303)=0,"",SUM(AI285:AI303))</f>
        <v>6884.5780000000004</v>
      </c>
      <c r="AJ284" s="53"/>
      <c r="AK284" s="52" t="str">
        <f>IF(SUM(AK285:AK303)=0,"",SUM(AK285:AK303))</f>
        <v/>
      </c>
      <c r="AL284" s="53"/>
      <c r="AM284" s="52" t="str">
        <f>IF(SUM(AM285:AM303)=0,"",SUM(AM285:AM303))</f>
        <v/>
      </c>
      <c r="AN284" s="51"/>
      <c r="AO284" s="52" t="str">
        <f>IF(SUM(AO285:AO303)=0,"",SUM(AO285:AO303))</f>
        <v/>
      </c>
      <c r="AP284" s="53"/>
      <c r="AQ284" s="52" t="str">
        <f>IF(SUM(AQ285:AQ303)=0,"",SUM(AQ285:AQ303))</f>
        <v/>
      </c>
      <c r="AR284" s="53"/>
      <c r="AS284" s="52" t="str">
        <f>IF(SUM(AS285:AS303)=0,"",SUM(AS285:AS303))</f>
        <v/>
      </c>
      <c r="AT284" s="53"/>
      <c r="AU284" s="52" t="str">
        <f>IF(SUM(AU285:AU303)=0,"",SUM(AU285:AU303))</f>
        <v/>
      </c>
      <c r="AV284" s="51"/>
      <c r="AW284" s="52" t="str">
        <f>IF(SUM(AW285:AW303)=0,"",SUM(AW285:AW303))</f>
        <v/>
      </c>
      <c r="AX284" s="53"/>
      <c r="AY284" s="52" t="str">
        <f>IF(SUM(AY285:AY303)=0,"",SUM(AY285:AY303))</f>
        <v/>
      </c>
      <c r="AZ284" s="53"/>
      <c r="BA284" s="52" t="str">
        <f>IF(SUM(BA285:BA303)=0,"",SUM(BA285:BA303))</f>
        <v/>
      </c>
      <c r="BB284" s="53"/>
      <c r="BC284" s="52" t="str">
        <f>IF(SUM(BC285:BC303)=0,"",SUM(BC285:BC303))</f>
        <v/>
      </c>
      <c r="BD284" s="54"/>
      <c r="BE284" s="63">
        <f>+SUM(BE285:BE303)</f>
        <v>6884.5780000000004</v>
      </c>
      <c r="BF284" s="54"/>
      <c r="BG284" s="52">
        <f>+SUM(BG285:BG303)</f>
        <v>8168.71</v>
      </c>
      <c r="BH284" s="210"/>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row>
    <row r="285" spans="2:85" outlineLevel="1">
      <c r="B285" s="202"/>
      <c r="C285" s="27" t="s">
        <v>1003</v>
      </c>
      <c r="D285" s="199"/>
      <c r="E285" s="200"/>
      <c r="F285" s="201"/>
      <c r="G285" s="203"/>
      <c r="H285" s="204"/>
      <c r="I285" s="205" t="str">
        <f>+IF(OR($F285="",H285=""),"",$F285*H285)</f>
        <v/>
      </c>
      <c r="J285" s="206"/>
      <c r="K285" s="205" t="str">
        <f>+IF(OR($F285="",J285=""),"",$F285*J285)</f>
        <v/>
      </c>
      <c r="L285" s="206"/>
      <c r="M285" s="205" t="str">
        <f>+IF(OR($F285="",L285=""),"",$F285*L285)</f>
        <v/>
      </c>
      <c r="N285" s="206"/>
      <c r="O285" s="205" t="str">
        <f>+IF(OR($F285="",N285=""),"",$F285*N285)</f>
        <v/>
      </c>
      <c r="P285" s="206"/>
      <c r="Q285" s="205" t="str">
        <f>+IF(OR($F285="",P285=""),"",$F285*P285)</f>
        <v/>
      </c>
      <c r="R285" s="206"/>
      <c r="S285" s="205" t="str">
        <f>+IF(OR($F285="",R285=""),"",$F285*R285)</f>
        <v/>
      </c>
      <c r="T285" s="206"/>
      <c r="U285" s="205" t="str">
        <f>+IF(OR($F285="",T285=""),"",$F285*T285)</f>
        <v/>
      </c>
      <c r="V285" s="206"/>
      <c r="W285" s="205" t="str">
        <f>+IF(OR($F285="",V285=""),"",$F285*V285)</f>
        <v/>
      </c>
      <c r="X285" s="207"/>
      <c r="Y285" s="205" t="str">
        <f>+IF(OR($F285="",X285=""),"",$F285*X285)</f>
        <v/>
      </c>
      <c r="Z285" s="207"/>
      <c r="AA285" s="205" t="str">
        <f>+IF(OR($F285="",Z285=""),"",$F285*Z285)</f>
        <v/>
      </c>
      <c r="AB285" s="207"/>
      <c r="AC285" s="205" t="str">
        <f>+IF(OR($F285="",AB285=""),"",$F285*AB285)</f>
        <v/>
      </c>
      <c r="AD285" s="207"/>
      <c r="AE285" s="205" t="str">
        <f>+IF(OR($F285="",AD285=""),"",$F285*AD285)</f>
        <v/>
      </c>
      <c r="AF285" s="207"/>
      <c r="AG285" s="205" t="str">
        <f>+IF(OR($F285="",AF285=""),"",$F285*AF285)</f>
        <v/>
      </c>
      <c r="AH285" s="207"/>
      <c r="AI285" s="205" t="str">
        <f>+IF(OR($F285="",AH285=""),"",$F285*AH285)</f>
        <v/>
      </c>
      <c r="AJ285" s="206"/>
      <c r="AK285" s="205" t="str">
        <f>+IF(OR($F285="",AJ285=""),"",$F285*AJ285)</f>
        <v/>
      </c>
      <c r="AL285" s="206"/>
      <c r="AM285" s="205" t="str">
        <f>+IF(OR($F285="",AL285=""),"",$F285*AL285)</f>
        <v/>
      </c>
      <c r="AN285" s="206"/>
      <c r="AO285" s="205" t="str">
        <f>+IF(OR($F285="",AN285=""),"",$F285*AN285)</f>
        <v/>
      </c>
      <c r="AP285" s="206"/>
      <c r="AQ285" s="205" t="str">
        <f>+IF(OR($F285="",AP285=""),"",$F285*AP285)</f>
        <v/>
      </c>
      <c r="AR285" s="206"/>
      <c r="AS285" s="205" t="str">
        <f>+IF(OR($F285="",AR285=""),"",$F285*AR285)</f>
        <v/>
      </c>
      <c r="AT285" s="206"/>
      <c r="AU285" s="205" t="str">
        <f>+IF(OR($F285="",AT285=""),"",$F285*AT285)</f>
        <v/>
      </c>
      <c r="AV285" s="206"/>
      <c r="AW285" s="205" t="str">
        <f>+IF(OR($F285="",AV285=""),"",$F285*AV285)</f>
        <v/>
      </c>
      <c r="AX285" s="206"/>
      <c r="AY285" s="205" t="str">
        <f>+IF(OR($F285="",AX285=""),"",$F285*AX285)</f>
        <v/>
      </c>
      <c r="AZ285" s="206"/>
      <c r="BA285" s="205" t="str">
        <f>+IF(OR($F285="",AZ285=""),"",$F285*AZ285)</f>
        <v/>
      </c>
      <c r="BB285" s="206"/>
      <c r="BC285" s="205" t="str">
        <f>+IF(OR($F285="",BB285=""),"",$F285*BB285)</f>
        <v/>
      </c>
      <c r="BD285" s="208"/>
      <c r="BE285" s="205" t="str">
        <f>+IF(OR($F285="",BD285=""),"",$F285*BD285)</f>
        <v/>
      </c>
      <c r="BF285" s="208"/>
      <c r="BG285" s="205" t="str">
        <f>+IF(OR($F285="",BF285=""),"",$F285*BF285)</f>
        <v/>
      </c>
      <c r="BH285" s="184"/>
      <c r="BI285" s="209">
        <f>+H285</f>
        <v>0</v>
      </c>
      <c r="BJ285" s="209">
        <f>+J285</f>
        <v>0</v>
      </c>
      <c r="BK285" s="209">
        <f>+L285</f>
        <v>0</v>
      </c>
      <c r="BL285" s="209">
        <f>+N285</f>
        <v>0</v>
      </c>
      <c r="BM285" s="209">
        <f>+P285</f>
        <v>0</v>
      </c>
      <c r="BN285" s="209">
        <f>+R285</f>
        <v>0</v>
      </c>
      <c r="BO285" s="209">
        <f>+T285</f>
        <v>0</v>
      </c>
      <c r="BP285" s="209">
        <f>+V285</f>
        <v>0</v>
      </c>
      <c r="BQ285" s="209">
        <f>+X285</f>
        <v>0</v>
      </c>
      <c r="BR285" s="209">
        <f>+Z285</f>
        <v>0</v>
      </c>
      <c r="BS285" s="209">
        <f>+AB285</f>
        <v>0</v>
      </c>
      <c r="BT285" s="209">
        <f>+AD285</f>
        <v>0</v>
      </c>
      <c r="BU285" s="209">
        <f>+AF285</f>
        <v>0</v>
      </c>
      <c r="BV285" s="209">
        <f>+AH285</f>
        <v>0</v>
      </c>
      <c r="BW285" s="209">
        <f>+AJ285</f>
        <v>0</v>
      </c>
      <c r="BX285" s="209">
        <f>+AL285</f>
        <v>0</v>
      </c>
      <c r="BY285" s="209">
        <f>+AN285</f>
        <v>0</v>
      </c>
      <c r="BZ285" s="209">
        <f>+AP285</f>
        <v>0</v>
      </c>
      <c r="CA285" s="209">
        <f>+AR285</f>
        <v>0</v>
      </c>
      <c r="CB285" s="209">
        <f>+AT285</f>
        <v>0</v>
      </c>
      <c r="CC285" s="209">
        <f>+AV285</f>
        <v>0</v>
      </c>
      <c r="CD285" s="209">
        <f>+AX285</f>
        <v>0</v>
      </c>
      <c r="CE285" s="209">
        <f>+AZ285</f>
        <v>0</v>
      </c>
      <c r="CF285" s="209">
        <f>+BB285</f>
        <v>0</v>
      </c>
    </row>
    <row r="286" spans="2:85" ht="33.75" outlineLevel="1">
      <c r="C286" s="27" t="s">
        <v>990</v>
      </c>
      <c r="G286" s="57"/>
      <c r="H286" s="28"/>
      <c r="I286" s="59" t="str">
        <f t="shared" ref="I286:I303" si="2230">+IF(OR($F286="",H286=""),"",$F286*H286)</f>
        <v/>
      </c>
      <c r="J286" s="60"/>
      <c r="K286" s="59" t="str">
        <f t="shared" ref="K286:K303" si="2231">+IF(OR($F286="",J286=""),"",$F286*J286)</f>
        <v/>
      </c>
      <c r="L286" s="60"/>
      <c r="M286" s="59" t="str">
        <f t="shared" ref="M286:M303" si="2232">+IF(OR($F286="",L286=""),"",$F286*L286)</f>
        <v/>
      </c>
      <c r="N286" s="60"/>
      <c r="O286" s="59" t="str">
        <f t="shared" ref="O286:O303" si="2233">+IF(OR($F286="",N286=""),"",$F286*N286)</f>
        <v/>
      </c>
      <c r="P286" s="60"/>
      <c r="Q286" s="59" t="str">
        <f t="shared" ref="Q286:Q303" si="2234">+IF(OR($F286="",P286=""),"",$F286*P286)</f>
        <v/>
      </c>
      <c r="R286" s="60"/>
      <c r="S286" s="59" t="str">
        <f t="shared" ref="S286:S303" si="2235">+IF(OR($F286="",R286=""),"",$F286*R286)</f>
        <v/>
      </c>
      <c r="T286" s="60"/>
      <c r="U286" s="59" t="str">
        <f t="shared" ref="U286:U303" si="2236">+IF(OR($F286="",T286=""),"",$F286*T286)</f>
        <v/>
      </c>
      <c r="V286" s="60"/>
      <c r="W286" s="59" t="str">
        <f t="shared" ref="W286:W303" si="2237">+IF(OR($F286="",V286=""),"",$F286*V286)</f>
        <v/>
      </c>
      <c r="X286" s="95"/>
      <c r="Y286" s="59" t="str">
        <f t="shared" ref="Y286:Y303" si="2238">+IF(OR($F286="",X286=""),"",$F286*X286)</f>
        <v/>
      </c>
      <c r="Z286" s="95"/>
      <c r="AA286" s="59" t="str">
        <f t="shared" ref="AA286:AA303" si="2239">+IF(OR($F286="",Z286=""),"",$F286*Z286)</f>
        <v/>
      </c>
      <c r="AB286" s="60"/>
      <c r="AC286" s="59" t="str">
        <f t="shared" ref="AC286:AC303" si="2240">+IF(OR($F286="",AB286=""),"",$F286*AB286)</f>
        <v/>
      </c>
      <c r="AD286" s="60"/>
      <c r="AE286" s="59" t="str">
        <f t="shared" ref="AE286:AE303" si="2241">+IF(OR($F286="",AD286=""),"",$F286*AD286)</f>
        <v/>
      </c>
      <c r="AF286" s="95"/>
      <c r="AG286" s="59" t="str">
        <f t="shared" ref="AG286:AG303" si="2242">+IF(OR($F286="",AF286=""),"",$F286*AF286)</f>
        <v/>
      </c>
      <c r="AH286" s="95"/>
      <c r="AI286" s="59" t="str">
        <f t="shared" ref="AI286:AI303" si="2243">+IF(OR($F286="",AH286=""),"",$F286*AH286)</f>
        <v/>
      </c>
      <c r="AJ286" s="60"/>
      <c r="AK286" s="59" t="str">
        <f t="shared" ref="AK286:AK303" si="2244">+IF(OR($F286="",AJ286=""),"",$F286*AJ286)</f>
        <v/>
      </c>
      <c r="AL286" s="60"/>
      <c r="AM286" s="59" t="str">
        <f t="shared" ref="AM286:AM303" si="2245">+IF(OR($F286="",AL286=""),"",$F286*AL286)</f>
        <v/>
      </c>
      <c r="AN286" s="60"/>
      <c r="AO286" s="59" t="str">
        <f t="shared" ref="AO286:AO303" si="2246">+IF(OR($F286="",AN286=""),"",$F286*AN286)</f>
        <v/>
      </c>
      <c r="AP286" s="60"/>
      <c r="AQ286" s="59" t="str">
        <f t="shared" ref="AQ286:AQ303" si="2247">+IF(OR($F286="",AP286=""),"",$F286*AP286)</f>
        <v/>
      </c>
      <c r="AR286" s="60"/>
      <c r="AS286" s="59" t="str">
        <f t="shared" ref="AS286:AS303" si="2248">+IF(OR($F286="",AR286=""),"",$F286*AR286)</f>
        <v/>
      </c>
      <c r="AT286" s="60"/>
      <c r="AU286" s="59" t="str">
        <f t="shared" ref="AU286:AU303" si="2249">+IF(OR($F286="",AT286=""),"",$F286*AT286)</f>
        <v/>
      </c>
      <c r="AV286" s="60"/>
      <c r="AW286" s="59" t="str">
        <f t="shared" ref="AW286:AW303" si="2250">+IF(OR($F286="",AV286=""),"",$F286*AV286)</f>
        <v/>
      </c>
      <c r="AX286" s="60"/>
      <c r="AY286" s="59" t="str">
        <f t="shared" ref="AY286:AY303" si="2251">+IF(OR($F286="",AX286=""),"",$F286*AX286)</f>
        <v/>
      </c>
      <c r="AZ286" s="60"/>
      <c r="BA286" s="59" t="str">
        <f t="shared" ref="BA286:BA303" si="2252">+IF(OR($F286="",AZ286=""),"",$F286*AZ286)</f>
        <v/>
      </c>
      <c r="BB286" s="60"/>
      <c r="BC286" s="59" t="str">
        <f t="shared" ref="BC286:BC303" si="2253">+IF(OR($F286="",BB286=""),"",$F286*BB286)</f>
        <v/>
      </c>
      <c r="BD286" s="61"/>
      <c r="BE286" s="59" t="str">
        <f t="shared" ref="BE286:BE303" si="2254">+IF(OR($F286="",BD286=""),"",$F286*BD286)</f>
        <v/>
      </c>
      <c r="BF286" s="208"/>
      <c r="BG286" s="205" t="str">
        <f t="shared" ref="BG286:BG303" si="2255">+IF(OR($F286="",BF286=""),"",$F286*BF286)</f>
        <v/>
      </c>
      <c r="BH286" s="184"/>
      <c r="BI286" s="209">
        <f t="shared" ref="BI286:BI303" si="2256">+H286</f>
        <v>0</v>
      </c>
      <c r="BJ286" s="209">
        <f t="shared" ref="BJ286:BJ303" si="2257">+J286</f>
        <v>0</v>
      </c>
      <c r="BK286" s="209">
        <f t="shared" ref="BK286:BK303" si="2258">+L286</f>
        <v>0</v>
      </c>
      <c r="BL286" s="209">
        <f t="shared" ref="BL286:BL303" si="2259">+N286</f>
        <v>0</v>
      </c>
      <c r="BM286" s="209">
        <f t="shared" ref="BM286:BM303" si="2260">+P286</f>
        <v>0</v>
      </c>
      <c r="BN286" s="209">
        <f t="shared" ref="BN286:BN303" si="2261">+R286</f>
        <v>0</v>
      </c>
      <c r="BO286" s="209">
        <f t="shared" ref="BO286:BO303" si="2262">+T286</f>
        <v>0</v>
      </c>
      <c r="BP286" s="209">
        <f t="shared" ref="BP286:BP303" si="2263">+V286</f>
        <v>0</v>
      </c>
      <c r="BQ286" s="209">
        <f t="shared" ref="BQ286:BQ303" si="2264">+X286</f>
        <v>0</v>
      </c>
      <c r="BR286" s="209">
        <f t="shared" ref="BR286:BR303" si="2265">+Z286</f>
        <v>0</v>
      </c>
      <c r="BS286" s="209">
        <f t="shared" ref="BS286:BS303" si="2266">+AB286</f>
        <v>0</v>
      </c>
      <c r="BT286" s="209">
        <f t="shared" ref="BT286:BT303" si="2267">+AD286</f>
        <v>0</v>
      </c>
      <c r="BU286" s="209">
        <f t="shared" ref="BU286:BU303" si="2268">+AF286</f>
        <v>0</v>
      </c>
      <c r="BV286" s="209">
        <f t="shared" ref="BV286:BV303" si="2269">+AH286</f>
        <v>0</v>
      </c>
      <c r="BW286" s="209">
        <f t="shared" ref="BW286:BW303" si="2270">+AJ286</f>
        <v>0</v>
      </c>
      <c r="BX286" s="209">
        <f t="shared" ref="BX286:BX303" si="2271">+AL286</f>
        <v>0</v>
      </c>
      <c r="BY286" s="209">
        <f t="shared" ref="BY286:BY303" si="2272">+AN286</f>
        <v>0</v>
      </c>
      <c r="BZ286" s="209">
        <f t="shared" ref="BZ286:BZ303" si="2273">+AP286</f>
        <v>0</v>
      </c>
      <c r="CA286" s="209">
        <f t="shared" ref="CA286:CA303" si="2274">+AR286</f>
        <v>0</v>
      </c>
      <c r="CB286" s="209">
        <f t="shared" ref="CB286:CB303" si="2275">+AT286</f>
        <v>0</v>
      </c>
      <c r="CC286" s="209">
        <f t="shared" ref="CC286:CC303" si="2276">+AV286</f>
        <v>0</v>
      </c>
      <c r="CD286" s="209">
        <f t="shared" ref="CD286:CD303" si="2277">+AX286</f>
        <v>0</v>
      </c>
      <c r="CE286" s="209">
        <f t="shared" ref="CE286:CE303" si="2278">+AZ286</f>
        <v>0</v>
      </c>
      <c r="CF286" s="209">
        <f t="shared" ref="CF286:CF303" si="2279">+BB286</f>
        <v>0</v>
      </c>
    </row>
    <row r="287" spans="2:85" outlineLevel="1">
      <c r="C287" s="27" t="s">
        <v>991</v>
      </c>
      <c r="D287" s="55">
        <v>500</v>
      </c>
      <c r="E287" s="88" t="s">
        <v>875</v>
      </c>
      <c r="F287" s="56">
        <v>2.36</v>
      </c>
      <c r="G287" s="57">
        <f t="shared" ref="G287:G303" si="2280">+D287*F287</f>
        <v>1180</v>
      </c>
      <c r="H287" s="28"/>
      <c r="I287" s="59" t="str">
        <f t="shared" si="2230"/>
        <v/>
      </c>
      <c r="J287" s="60"/>
      <c r="K287" s="59" t="str">
        <f t="shared" si="2231"/>
        <v/>
      </c>
      <c r="L287" s="60"/>
      <c r="M287" s="59" t="str">
        <f t="shared" si="2232"/>
        <v/>
      </c>
      <c r="N287" s="60"/>
      <c r="O287" s="59" t="str">
        <f t="shared" si="2233"/>
        <v/>
      </c>
      <c r="P287" s="60"/>
      <c r="Q287" s="59" t="str">
        <f t="shared" si="2234"/>
        <v/>
      </c>
      <c r="R287" s="60"/>
      <c r="S287" s="59" t="str">
        <f t="shared" si="2235"/>
        <v/>
      </c>
      <c r="T287" s="60"/>
      <c r="U287" s="59" t="str">
        <f t="shared" si="2236"/>
        <v/>
      </c>
      <c r="V287" s="60"/>
      <c r="W287" s="59" t="str">
        <f t="shared" si="2237"/>
        <v/>
      </c>
      <c r="X287" s="95"/>
      <c r="Y287" s="59" t="str">
        <f t="shared" si="2238"/>
        <v/>
      </c>
      <c r="Z287" s="95"/>
      <c r="AA287" s="59" t="str">
        <f t="shared" si="2239"/>
        <v/>
      </c>
      <c r="AB287" s="60"/>
      <c r="AC287" s="59" t="str">
        <f t="shared" si="2240"/>
        <v/>
      </c>
      <c r="AD287" s="60"/>
      <c r="AE287" s="59" t="str">
        <f t="shared" si="2241"/>
        <v/>
      </c>
      <c r="AF287" s="95"/>
      <c r="AG287" s="59" t="str">
        <f t="shared" si="2242"/>
        <v/>
      </c>
      <c r="AH287" s="95">
        <f>+D287</f>
        <v>500</v>
      </c>
      <c r="AI287" s="59">
        <f t="shared" si="2243"/>
        <v>1180</v>
      </c>
      <c r="AJ287" s="60"/>
      <c r="AK287" s="59" t="str">
        <f t="shared" si="2244"/>
        <v/>
      </c>
      <c r="AL287" s="60"/>
      <c r="AM287" s="59" t="str">
        <f t="shared" si="2245"/>
        <v/>
      </c>
      <c r="AN287" s="60"/>
      <c r="AO287" s="59" t="str">
        <f t="shared" si="2246"/>
        <v/>
      </c>
      <c r="AP287" s="60"/>
      <c r="AQ287" s="59" t="str">
        <f t="shared" si="2247"/>
        <v/>
      </c>
      <c r="AR287" s="60"/>
      <c r="AS287" s="59" t="str">
        <f t="shared" si="2248"/>
        <v/>
      </c>
      <c r="AT287" s="60"/>
      <c r="AU287" s="59" t="str">
        <f t="shared" si="2249"/>
        <v/>
      </c>
      <c r="AV287" s="60"/>
      <c r="AW287" s="59" t="str">
        <f t="shared" si="2250"/>
        <v/>
      </c>
      <c r="AX287" s="60"/>
      <c r="AY287" s="59" t="str">
        <f t="shared" si="2251"/>
        <v/>
      </c>
      <c r="AZ287" s="60"/>
      <c r="BA287" s="59" t="str">
        <f t="shared" si="2252"/>
        <v/>
      </c>
      <c r="BB287" s="60"/>
      <c r="BC287" s="59" t="str">
        <f t="shared" si="2253"/>
        <v/>
      </c>
      <c r="BD287" s="61">
        <f t="shared" ref="BD287:BD303" si="2281">+SUM(BI287:CF287)</f>
        <v>500</v>
      </c>
      <c r="BE287" s="59">
        <f t="shared" si="2254"/>
        <v>1180</v>
      </c>
      <c r="BF287" s="208">
        <f t="shared" ref="BF287:BF303" si="2282">+D287-BD287</f>
        <v>0</v>
      </c>
      <c r="BG287" s="205">
        <f t="shared" si="2255"/>
        <v>0</v>
      </c>
      <c r="BH287" s="184"/>
      <c r="BI287" s="209">
        <f t="shared" si="2256"/>
        <v>0</v>
      </c>
      <c r="BJ287" s="209">
        <f t="shared" si="2257"/>
        <v>0</v>
      </c>
      <c r="BK287" s="209">
        <f t="shared" si="2258"/>
        <v>0</v>
      </c>
      <c r="BL287" s="209">
        <f t="shared" si="2259"/>
        <v>0</v>
      </c>
      <c r="BM287" s="209">
        <f t="shared" si="2260"/>
        <v>0</v>
      </c>
      <c r="BN287" s="209">
        <f t="shared" si="2261"/>
        <v>0</v>
      </c>
      <c r="BO287" s="209">
        <f t="shared" si="2262"/>
        <v>0</v>
      </c>
      <c r="BP287" s="209">
        <f t="shared" si="2263"/>
        <v>0</v>
      </c>
      <c r="BQ287" s="209">
        <f t="shared" si="2264"/>
        <v>0</v>
      </c>
      <c r="BR287" s="209">
        <f t="shared" si="2265"/>
        <v>0</v>
      </c>
      <c r="BS287" s="209">
        <f t="shared" si="2266"/>
        <v>0</v>
      </c>
      <c r="BT287" s="209">
        <f t="shared" si="2267"/>
        <v>0</v>
      </c>
      <c r="BU287" s="209">
        <f t="shared" si="2268"/>
        <v>0</v>
      </c>
      <c r="BV287" s="209">
        <f t="shared" si="2269"/>
        <v>500</v>
      </c>
      <c r="BW287" s="209">
        <f t="shared" si="2270"/>
        <v>0</v>
      </c>
      <c r="BX287" s="209">
        <f t="shared" si="2271"/>
        <v>0</v>
      </c>
      <c r="BY287" s="209">
        <f t="shared" si="2272"/>
        <v>0</v>
      </c>
      <c r="BZ287" s="209">
        <f t="shared" si="2273"/>
        <v>0</v>
      </c>
      <c r="CA287" s="209">
        <f t="shared" si="2274"/>
        <v>0</v>
      </c>
      <c r="CB287" s="209">
        <f t="shared" si="2275"/>
        <v>0</v>
      </c>
      <c r="CC287" s="209">
        <f t="shared" si="2276"/>
        <v>0</v>
      </c>
      <c r="CD287" s="209">
        <f t="shared" si="2277"/>
        <v>0</v>
      </c>
      <c r="CE287" s="209">
        <f t="shared" si="2278"/>
        <v>0</v>
      </c>
      <c r="CF287" s="209">
        <f t="shared" si="2279"/>
        <v>0</v>
      </c>
    </row>
    <row r="288" spans="2:85" outlineLevel="1">
      <c r="C288" s="27" t="s">
        <v>992</v>
      </c>
      <c r="D288" s="55">
        <v>150</v>
      </c>
      <c r="E288" s="88" t="s">
        <v>875</v>
      </c>
      <c r="F288" s="56">
        <v>2.76</v>
      </c>
      <c r="G288" s="57">
        <f t="shared" si="2280"/>
        <v>413.99999999999994</v>
      </c>
      <c r="H288" s="28"/>
      <c r="I288" s="59" t="str">
        <f t="shared" si="2230"/>
        <v/>
      </c>
      <c r="J288" s="60"/>
      <c r="K288" s="59" t="str">
        <f t="shared" si="2231"/>
        <v/>
      </c>
      <c r="L288" s="60"/>
      <c r="M288" s="59" t="str">
        <f t="shared" si="2232"/>
        <v/>
      </c>
      <c r="N288" s="60"/>
      <c r="O288" s="59" t="str">
        <f t="shared" si="2233"/>
        <v/>
      </c>
      <c r="P288" s="60"/>
      <c r="Q288" s="59" t="str">
        <f t="shared" si="2234"/>
        <v/>
      </c>
      <c r="R288" s="60"/>
      <c r="S288" s="59" t="str">
        <f t="shared" si="2235"/>
        <v/>
      </c>
      <c r="T288" s="60"/>
      <c r="U288" s="59" t="str">
        <f t="shared" si="2236"/>
        <v/>
      </c>
      <c r="V288" s="60"/>
      <c r="W288" s="59" t="str">
        <f t="shared" si="2237"/>
        <v/>
      </c>
      <c r="X288" s="95"/>
      <c r="Y288" s="59" t="str">
        <f t="shared" si="2238"/>
        <v/>
      </c>
      <c r="Z288" s="95"/>
      <c r="AA288" s="59" t="str">
        <f t="shared" si="2239"/>
        <v/>
      </c>
      <c r="AB288" s="60"/>
      <c r="AC288" s="59" t="str">
        <f t="shared" si="2240"/>
        <v/>
      </c>
      <c r="AD288" s="60"/>
      <c r="AE288" s="59" t="str">
        <f t="shared" si="2241"/>
        <v/>
      </c>
      <c r="AF288" s="95"/>
      <c r="AG288" s="59" t="str">
        <f t="shared" si="2242"/>
        <v/>
      </c>
      <c r="AH288" s="95">
        <f t="shared" ref="AH288:AH303" si="2283">+D288</f>
        <v>150</v>
      </c>
      <c r="AI288" s="59">
        <f t="shared" si="2243"/>
        <v>413.99999999999994</v>
      </c>
      <c r="AJ288" s="60"/>
      <c r="AK288" s="59" t="str">
        <f t="shared" si="2244"/>
        <v/>
      </c>
      <c r="AL288" s="60"/>
      <c r="AM288" s="59" t="str">
        <f t="shared" si="2245"/>
        <v/>
      </c>
      <c r="AN288" s="60"/>
      <c r="AO288" s="59" t="str">
        <f t="shared" si="2246"/>
        <v/>
      </c>
      <c r="AP288" s="60"/>
      <c r="AQ288" s="59" t="str">
        <f t="shared" si="2247"/>
        <v/>
      </c>
      <c r="AR288" s="60"/>
      <c r="AS288" s="59" t="str">
        <f t="shared" si="2248"/>
        <v/>
      </c>
      <c r="AT288" s="60"/>
      <c r="AU288" s="59" t="str">
        <f t="shared" si="2249"/>
        <v/>
      </c>
      <c r="AV288" s="60"/>
      <c r="AW288" s="59" t="str">
        <f t="shared" si="2250"/>
        <v/>
      </c>
      <c r="AX288" s="60"/>
      <c r="AY288" s="59" t="str">
        <f t="shared" si="2251"/>
        <v/>
      </c>
      <c r="AZ288" s="60"/>
      <c r="BA288" s="59" t="str">
        <f t="shared" si="2252"/>
        <v/>
      </c>
      <c r="BB288" s="60"/>
      <c r="BC288" s="59" t="str">
        <f t="shared" si="2253"/>
        <v/>
      </c>
      <c r="BD288" s="61">
        <f t="shared" si="2281"/>
        <v>150</v>
      </c>
      <c r="BE288" s="59">
        <f t="shared" si="2254"/>
        <v>413.99999999999994</v>
      </c>
      <c r="BF288" s="208">
        <f t="shared" si="2282"/>
        <v>0</v>
      </c>
      <c r="BG288" s="205">
        <f t="shared" si="2255"/>
        <v>0</v>
      </c>
      <c r="BH288" s="184"/>
      <c r="BI288" s="209">
        <f t="shared" si="2256"/>
        <v>0</v>
      </c>
      <c r="BJ288" s="209">
        <f t="shared" si="2257"/>
        <v>0</v>
      </c>
      <c r="BK288" s="209">
        <f t="shared" si="2258"/>
        <v>0</v>
      </c>
      <c r="BL288" s="209">
        <f t="shared" si="2259"/>
        <v>0</v>
      </c>
      <c r="BM288" s="209">
        <f t="shared" si="2260"/>
        <v>0</v>
      </c>
      <c r="BN288" s="209">
        <f t="shared" si="2261"/>
        <v>0</v>
      </c>
      <c r="BO288" s="209">
        <f t="shared" si="2262"/>
        <v>0</v>
      </c>
      <c r="BP288" s="209">
        <f t="shared" si="2263"/>
        <v>0</v>
      </c>
      <c r="BQ288" s="209">
        <f t="shared" si="2264"/>
        <v>0</v>
      </c>
      <c r="BR288" s="209">
        <f t="shared" si="2265"/>
        <v>0</v>
      </c>
      <c r="BS288" s="209">
        <f t="shared" si="2266"/>
        <v>0</v>
      </c>
      <c r="BT288" s="209">
        <f t="shared" si="2267"/>
        <v>0</v>
      </c>
      <c r="BU288" s="209">
        <f t="shared" si="2268"/>
        <v>0</v>
      </c>
      <c r="BV288" s="209">
        <f t="shared" si="2269"/>
        <v>150</v>
      </c>
      <c r="BW288" s="209">
        <f t="shared" si="2270"/>
        <v>0</v>
      </c>
      <c r="BX288" s="209">
        <f t="shared" si="2271"/>
        <v>0</v>
      </c>
      <c r="BY288" s="209">
        <f t="shared" si="2272"/>
        <v>0</v>
      </c>
      <c r="BZ288" s="209">
        <f t="shared" si="2273"/>
        <v>0</v>
      </c>
      <c r="CA288" s="209">
        <f t="shared" si="2274"/>
        <v>0</v>
      </c>
      <c r="CB288" s="209">
        <f t="shared" si="2275"/>
        <v>0</v>
      </c>
      <c r="CC288" s="209">
        <f t="shared" si="2276"/>
        <v>0</v>
      </c>
      <c r="CD288" s="209">
        <f t="shared" si="2277"/>
        <v>0</v>
      </c>
      <c r="CE288" s="209">
        <f t="shared" si="2278"/>
        <v>0</v>
      </c>
      <c r="CF288" s="209">
        <f t="shared" si="2279"/>
        <v>0</v>
      </c>
    </row>
    <row r="289" spans="2:85" outlineLevel="1">
      <c r="C289" s="27" t="s">
        <v>993</v>
      </c>
      <c r="D289" s="55">
        <v>500</v>
      </c>
      <c r="E289" s="88" t="s">
        <v>875</v>
      </c>
      <c r="F289" s="56">
        <v>2.1</v>
      </c>
      <c r="G289" s="57">
        <f t="shared" si="2280"/>
        <v>1050</v>
      </c>
      <c r="H289" s="28"/>
      <c r="I289" s="59" t="str">
        <f t="shared" si="2230"/>
        <v/>
      </c>
      <c r="J289" s="60"/>
      <c r="K289" s="59" t="str">
        <f t="shared" si="2231"/>
        <v/>
      </c>
      <c r="L289" s="60"/>
      <c r="M289" s="59" t="str">
        <f t="shared" si="2232"/>
        <v/>
      </c>
      <c r="N289" s="60"/>
      <c r="O289" s="59" t="str">
        <f t="shared" si="2233"/>
        <v/>
      </c>
      <c r="P289" s="60"/>
      <c r="Q289" s="59" t="str">
        <f t="shared" si="2234"/>
        <v/>
      </c>
      <c r="R289" s="60"/>
      <c r="S289" s="59" t="str">
        <f t="shared" si="2235"/>
        <v/>
      </c>
      <c r="T289" s="60"/>
      <c r="U289" s="59" t="str">
        <f t="shared" si="2236"/>
        <v/>
      </c>
      <c r="V289" s="60"/>
      <c r="W289" s="59" t="str">
        <f t="shared" si="2237"/>
        <v/>
      </c>
      <c r="X289" s="95"/>
      <c r="Y289" s="59" t="str">
        <f t="shared" si="2238"/>
        <v/>
      </c>
      <c r="Z289" s="95"/>
      <c r="AA289" s="59" t="str">
        <f t="shared" si="2239"/>
        <v/>
      </c>
      <c r="AB289" s="60"/>
      <c r="AC289" s="59" t="str">
        <f t="shared" si="2240"/>
        <v/>
      </c>
      <c r="AD289" s="60"/>
      <c r="AE289" s="59" t="str">
        <f t="shared" si="2241"/>
        <v/>
      </c>
      <c r="AF289" s="95"/>
      <c r="AG289" s="59" t="str">
        <f t="shared" si="2242"/>
        <v/>
      </c>
      <c r="AH289" s="95">
        <f t="shared" si="2283"/>
        <v>500</v>
      </c>
      <c r="AI289" s="59">
        <f t="shared" si="2243"/>
        <v>1050</v>
      </c>
      <c r="AJ289" s="60"/>
      <c r="AK289" s="59" t="str">
        <f t="shared" si="2244"/>
        <v/>
      </c>
      <c r="AL289" s="60"/>
      <c r="AM289" s="59" t="str">
        <f t="shared" si="2245"/>
        <v/>
      </c>
      <c r="AN289" s="60"/>
      <c r="AO289" s="59" t="str">
        <f t="shared" si="2246"/>
        <v/>
      </c>
      <c r="AP289" s="60"/>
      <c r="AQ289" s="59" t="str">
        <f t="shared" si="2247"/>
        <v/>
      </c>
      <c r="AR289" s="60"/>
      <c r="AS289" s="59" t="str">
        <f t="shared" si="2248"/>
        <v/>
      </c>
      <c r="AT289" s="60"/>
      <c r="AU289" s="59" t="str">
        <f t="shared" si="2249"/>
        <v/>
      </c>
      <c r="AV289" s="60"/>
      <c r="AW289" s="59" t="str">
        <f t="shared" si="2250"/>
        <v/>
      </c>
      <c r="AX289" s="60"/>
      <c r="AY289" s="59" t="str">
        <f t="shared" si="2251"/>
        <v/>
      </c>
      <c r="AZ289" s="60"/>
      <c r="BA289" s="59" t="str">
        <f t="shared" si="2252"/>
        <v/>
      </c>
      <c r="BB289" s="60"/>
      <c r="BC289" s="59" t="str">
        <f t="shared" si="2253"/>
        <v/>
      </c>
      <c r="BD289" s="61">
        <f t="shared" si="2281"/>
        <v>500</v>
      </c>
      <c r="BE289" s="59">
        <f t="shared" si="2254"/>
        <v>1050</v>
      </c>
      <c r="BF289" s="208">
        <f t="shared" si="2282"/>
        <v>0</v>
      </c>
      <c r="BG289" s="205">
        <f t="shared" si="2255"/>
        <v>0</v>
      </c>
      <c r="BH289" s="184"/>
      <c r="BI289" s="209">
        <f t="shared" si="2256"/>
        <v>0</v>
      </c>
      <c r="BJ289" s="209">
        <f t="shared" si="2257"/>
        <v>0</v>
      </c>
      <c r="BK289" s="209">
        <f t="shared" si="2258"/>
        <v>0</v>
      </c>
      <c r="BL289" s="209">
        <f t="shared" si="2259"/>
        <v>0</v>
      </c>
      <c r="BM289" s="209">
        <f t="shared" si="2260"/>
        <v>0</v>
      </c>
      <c r="BN289" s="209">
        <f t="shared" si="2261"/>
        <v>0</v>
      </c>
      <c r="BO289" s="209">
        <f t="shared" si="2262"/>
        <v>0</v>
      </c>
      <c r="BP289" s="209">
        <f t="shared" si="2263"/>
        <v>0</v>
      </c>
      <c r="BQ289" s="209">
        <f t="shared" si="2264"/>
        <v>0</v>
      </c>
      <c r="BR289" s="209">
        <f t="shared" si="2265"/>
        <v>0</v>
      </c>
      <c r="BS289" s="209">
        <f t="shared" si="2266"/>
        <v>0</v>
      </c>
      <c r="BT289" s="209">
        <f t="shared" si="2267"/>
        <v>0</v>
      </c>
      <c r="BU289" s="209">
        <f t="shared" si="2268"/>
        <v>0</v>
      </c>
      <c r="BV289" s="209">
        <f t="shared" si="2269"/>
        <v>500</v>
      </c>
      <c r="BW289" s="209">
        <f t="shared" si="2270"/>
        <v>0</v>
      </c>
      <c r="BX289" s="209">
        <f t="shared" si="2271"/>
        <v>0</v>
      </c>
      <c r="BY289" s="209">
        <f t="shared" si="2272"/>
        <v>0</v>
      </c>
      <c r="BZ289" s="209">
        <f t="shared" si="2273"/>
        <v>0</v>
      </c>
      <c r="CA289" s="209">
        <f t="shared" si="2274"/>
        <v>0</v>
      </c>
      <c r="CB289" s="209">
        <f t="shared" si="2275"/>
        <v>0</v>
      </c>
      <c r="CC289" s="209">
        <f t="shared" si="2276"/>
        <v>0</v>
      </c>
      <c r="CD289" s="209">
        <f t="shared" si="2277"/>
        <v>0</v>
      </c>
      <c r="CE289" s="209">
        <f t="shared" si="2278"/>
        <v>0</v>
      </c>
      <c r="CF289" s="209">
        <f t="shared" si="2279"/>
        <v>0</v>
      </c>
    </row>
    <row r="290" spans="2:85" outlineLevel="1">
      <c r="C290" s="27" t="s">
        <v>994</v>
      </c>
      <c r="D290" s="55">
        <v>150</v>
      </c>
      <c r="E290" s="88" t="s">
        <v>875</v>
      </c>
      <c r="F290" s="56">
        <v>2.68</v>
      </c>
      <c r="G290" s="57">
        <f t="shared" si="2280"/>
        <v>402</v>
      </c>
      <c r="H290" s="28"/>
      <c r="I290" s="59" t="str">
        <f t="shared" si="2230"/>
        <v/>
      </c>
      <c r="J290" s="60"/>
      <c r="K290" s="59" t="str">
        <f t="shared" si="2231"/>
        <v/>
      </c>
      <c r="L290" s="60"/>
      <c r="M290" s="59" t="str">
        <f t="shared" si="2232"/>
        <v/>
      </c>
      <c r="N290" s="60"/>
      <c r="O290" s="59" t="str">
        <f t="shared" si="2233"/>
        <v/>
      </c>
      <c r="P290" s="60"/>
      <c r="Q290" s="59" t="str">
        <f t="shared" si="2234"/>
        <v/>
      </c>
      <c r="R290" s="60"/>
      <c r="S290" s="59" t="str">
        <f t="shared" si="2235"/>
        <v/>
      </c>
      <c r="T290" s="60"/>
      <c r="U290" s="59" t="str">
        <f t="shared" si="2236"/>
        <v/>
      </c>
      <c r="V290" s="60"/>
      <c r="W290" s="59" t="str">
        <f t="shared" si="2237"/>
        <v/>
      </c>
      <c r="X290" s="95"/>
      <c r="Y290" s="59" t="str">
        <f t="shared" si="2238"/>
        <v/>
      </c>
      <c r="Z290" s="95"/>
      <c r="AA290" s="59" t="str">
        <f t="shared" si="2239"/>
        <v/>
      </c>
      <c r="AB290" s="60"/>
      <c r="AC290" s="59" t="str">
        <f t="shared" si="2240"/>
        <v/>
      </c>
      <c r="AD290" s="60"/>
      <c r="AE290" s="59" t="str">
        <f t="shared" si="2241"/>
        <v/>
      </c>
      <c r="AF290" s="95"/>
      <c r="AG290" s="59" t="str">
        <f t="shared" si="2242"/>
        <v/>
      </c>
      <c r="AH290" s="95">
        <f t="shared" si="2283"/>
        <v>150</v>
      </c>
      <c r="AI290" s="59">
        <f t="shared" si="2243"/>
        <v>402</v>
      </c>
      <c r="AJ290" s="60"/>
      <c r="AK290" s="59" t="str">
        <f t="shared" si="2244"/>
        <v/>
      </c>
      <c r="AL290" s="60"/>
      <c r="AM290" s="59" t="str">
        <f t="shared" si="2245"/>
        <v/>
      </c>
      <c r="AN290" s="60"/>
      <c r="AO290" s="59" t="str">
        <f t="shared" si="2246"/>
        <v/>
      </c>
      <c r="AP290" s="60"/>
      <c r="AQ290" s="59" t="str">
        <f t="shared" si="2247"/>
        <v/>
      </c>
      <c r="AR290" s="60"/>
      <c r="AS290" s="59" t="str">
        <f t="shared" si="2248"/>
        <v/>
      </c>
      <c r="AT290" s="60"/>
      <c r="AU290" s="59" t="str">
        <f t="shared" si="2249"/>
        <v/>
      </c>
      <c r="AV290" s="60"/>
      <c r="AW290" s="59" t="str">
        <f t="shared" si="2250"/>
        <v/>
      </c>
      <c r="AX290" s="60"/>
      <c r="AY290" s="59" t="str">
        <f t="shared" si="2251"/>
        <v/>
      </c>
      <c r="AZ290" s="60"/>
      <c r="BA290" s="59" t="str">
        <f t="shared" si="2252"/>
        <v/>
      </c>
      <c r="BB290" s="60"/>
      <c r="BC290" s="59" t="str">
        <f t="shared" si="2253"/>
        <v/>
      </c>
      <c r="BD290" s="61">
        <f t="shared" si="2281"/>
        <v>150</v>
      </c>
      <c r="BE290" s="59">
        <f t="shared" si="2254"/>
        <v>402</v>
      </c>
      <c r="BF290" s="208">
        <f t="shared" si="2282"/>
        <v>0</v>
      </c>
      <c r="BG290" s="205">
        <f t="shared" si="2255"/>
        <v>0</v>
      </c>
      <c r="BH290" s="184"/>
      <c r="BI290" s="209">
        <f t="shared" si="2256"/>
        <v>0</v>
      </c>
      <c r="BJ290" s="209">
        <f t="shared" si="2257"/>
        <v>0</v>
      </c>
      <c r="BK290" s="209">
        <f t="shared" si="2258"/>
        <v>0</v>
      </c>
      <c r="BL290" s="209">
        <f t="shared" si="2259"/>
        <v>0</v>
      </c>
      <c r="BM290" s="209">
        <f t="shared" si="2260"/>
        <v>0</v>
      </c>
      <c r="BN290" s="209">
        <f t="shared" si="2261"/>
        <v>0</v>
      </c>
      <c r="BO290" s="209">
        <f t="shared" si="2262"/>
        <v>0</v>
      </c>
      <c r="BP290" s="209">
        <f t="shared" si="2263"/>
        <v>0</v>
      </c>
      <c r="BQ290" s="209">
        <f t="shared" si="2264"/>
        <v>0</v>
      </c>
      <c r="BR290" s="209">
        <f t="shared" si="2265"/>
        <v>0</v>
      </c>
      <c r="BS290" s="209">
        <f t="shared" si="2266"/>
        <v>0</v>
      </c>
      <c r="BT290" s="209">
        <f t="shared" si="2267"/>
        <v>0</v>
      </c>
      <c r="BU290" s="209">
        <f t="shared" si="2268"/>
        <v>0</v>
      </c>
      <c r="BV290" s="209">
        <f t="shared" si="2269"/>
        <v>150</v>
      </c>
      <c r="BW290" s="209">
        <f t="shared" si="2270"/>
        <v>0</v>
      </c>
      <c r="BX290" s="209">
        <f t="shared" si="2271"/>
        <v>0</v>
      </c>
      <c r="BY290" s="209">
        <f t="shared" si="2272"/>
        <v>0</v>
      </c>
      <c r="BZ290" s="209">
        <f t="shared" si="2273"/>
        <v>0</v>
      </c>
      <c r="CA290" s="209">
        <f t="shared" si="2274"/>
        <v>0</v>
      </c>
      <c r="CB290" s="209">
        <f t="shared" si="2275"/>
        <v>0</v>
      </c>
      <c r="CC290" s="209">
        <f t="shared" si="2276"/>
        <v>0</v>
      </c>
      <c r="CD290" s="209">
        <f t="shared" si="2277"/>
        <v>0</v>
      </c>
      <c r="CE290" s="209">
        <f t="shared" si="2278"/>
        <v>0</v>
      </c>
      <c r="CF290" s="209">
        <f t="shared" si="2279"/>
        <v>0</v>
      </c>
    </row>
    <row r="291" spans="2:85" outlineLevel="1">
      <c r="C291" s="27" t="s">
        <v>995</v>
      </c>
      <c r="D291" s="55">
        <v>5</v>
      </c>
      <c r="E291" s="88" t="s">
        <v>828</v>
      </c>
      <c r="F291" s="56">
        <v>11.88</v>
      </c>
      <c r="G291" s="57">
        <f t="shared" si="2280"/>
        <v>59.400000000000006</v>
      </c>
      <c r="H291" s="28"/>
      <c r="I291" s="59" t="str">
        <f t="shared" si="2230"/>
        <v/>
      </c>
      <c r="J291" s="60"/>
      <c r="K291" s="59" t="str">
        <f t="shared" si="2231"/>
        <v/>
      </c>
      <c r="L291" s="60"/>
      <c r="M291" s="59" t="str">
        <f t="shared" si="2232"/>
        <v/>
      </c>
      <c r="N291" s="60"/>
      <c r="O291" s="59" t="str">
        <f t="shared" si="2233"/>
        <v/>
      </c>
      <c r="P291" s="60"/>
      <c r="Q291" s="59" t="str">
        <f t="shared" si="2234"/>
        <v/>
      </c>
      <c r="R291" s="60"/>
      <c r="S291" s="59" t="str">
        <f t="shared" si="2235"/>
        <v/>
      </c>
      <c r="T291" s="60"/>
      <c r="U291" s="59" t="str">
        <f t="shared" si="2236"/>
        <v/>
      </c>
      <c r="V291" s="60"/>
      <c r="W291" s="59" t="str">
        <f t="shared" si="2237"/>
        <v/>
      </c>
      <c r="X291" s="95"/>
      <c r="Y291" s="59" t="str">
        <f t="shared" si="2238"/>
        <v/>
      </c>
      <c r="Z291" s="95"/>
      <c r="AA291" s="59" t="str">
        <f t="shared" si="2239"/>
        <v/>
      </c>
      <c r="AB291" s="60"/>
      <c r="AC291" s="59" t="str">
        <f t="shared" si="2240"/>
        <v/>
      </c>
      <c r="AD291" s="60"/>
      <c r="AE291" s="59" t="str">
        <f t="shared" si="2241"/>
        <v/>
      </c>
      <c r="AF291" s="95"/>
      <c r="AG291" s="59" t="str">
        <f t="shared" si="2242"/>
        <v/>
      </c>
      <c r="AH291" s="95"/>
      <c r="AI291" s="59" t="str">
        <f t="shared" si="2243"/>
        <v/>
      </c>
      <c r="AJ291" s="60"/>
      <c r="AK291" s="59" t="str">
        <f t="shared" si="2244"/>
        <v/>
      </c>
      <c r="AL291" s="60"/>
      <c r="AM291" s="59" t="str">
        <f t="shared" si="2245"/>
        <v/>
      </c>
      <c r="AN291" s="60"/>
      <c r="AO291" s="59" t="str">
        <f t="shared" si="2246"/>
        <v/>
      </c>
      <c r="AP291" s="60"/>
      <c r="AQ291" s="59" t="str">
        <f t="shared" si="2247"/>
        <v/>
      </c>
      <c r="AR291" s="60"/>
      <c r="AS291" s="59" t="str">
        <f t="shared" si="2248"/>
        <v/>
      </c>
      <c r="AT291" s="60"/>
      <c r="AU291" s="59" t="str">
        <f t="shared" si="2249"/>
        <v/>
      </c>
      <c r="AV291" s="60"/>
      <c r="AW291" s="59" t="str">
        <f t="shared" si="2250"/>
        <v/>
      </c>
      <c r="AX291" s="60"/>
      <c r="AY291" s="59" t="str">
        <f t="shared" si="2251"/>
        <v/>
      </c>
      <c r="AZ291" s="60"/>
      <c r="BA291" s="59" t="str">
        <f t="shared" si="2252"/>
        <v/>
      </c>
      <c r="BB291" s="60"/>
      <c r="BC291" s="59" t="str">
        <f t="shared" si="2253"/>
        <v/>
      </c>
      <c r="BD291" s="61">
        <f t="shared" si="2281"/>
        <v>0</v>
      </c>
      <c r="BE291" s="59">
        <f t="shared" si="2254"/>
        <v>0</v>
      </c>
      <c r="BF291" s="208">
        <f t="shared" si="2282"/>
        <v>5</v>
      </c>
      <c r="BG291" s="205">
        <f t="shared" si="2255"/>
        <v>59.400000000000006</v>
      </c>
      <c r="BH291" s="184"/>
      <c r="BI291" s="209">
        <f t="shared" si="2256"/>
        <v>0</v>
      </c>
      <c r="BJ291" s="209">
        <f t="shared" si="2257"/>
        <v>0</v>
      </c>
      <c r="BK291" s="209">
        <f t="shared" si="2258"/>
        <v>0</v>
      </c>
      <c r="BL291" s="209">
        <f t="shared" si="2259"/>
        <v>0</v>
      </c>
      <c r="BM291" s="209">
        <f t="shared" si="2260"/>
        <v>0</v>
      </c>
      <c r="BN291" s="209">
        <f t="shared" si="2261"/>
        <v>0</v>
      </c>
      <c r="BO291" s="209">
        <f t="shared" si="2262"/>
        <v>0</v>
      </c>
      <c r="BP291" s="209">
        <f t="shared" si="2263"/>
        <v>0</v>
      </c>
      <c r="BQ291" s="209">
        <f t="shared" si="2264"/>
        <v>0</v>
      </c>
      <c r="BR291" s="209">
        <f t="shared" si="2265"/>
        <v>0</v>
      </c>
      <c r="BS291" s="209">
        <f t="shared" si="2266"/>
        <v>0</v>
      </c>
      <c r="BT291" s="209">
        <f t="shared" si="2267"/>
        <v>0</v>
      </c>
      <c r="BU291" s="209">
        <f t="shared" si="2268"/>
        <v>0</v>
      </c>
      <c r="BV291" s="209">
        <f t="shared" si="2269"/>
        <v>0</v>
      </c>
      <c r="BW291" s="209">
        <f t="shared" si="2270"/>
        <v>0</v>
      </c>
      <c r="BX291" s="209">
        <f t="shared" si="2271"/>
        <v>0</v>
      </c>
      <c r="BY291" s="209">
        <f t="shared" si="2272"/>
        <v>0</v>
      </c>
      <c r="BZ291" s="209">
        <f t="shared" si="2273"/>
        <v>0</v>
      </c>
      <c r="CA291" s="209">
        <f t="shared" si="2274"/>
        <v>0</v>
      </c>
      <c r="CB291" s="209">
        <f t="shared" si="2275"/>
        <v>0</v>
      </c>
      <c r="CC291" s="209">
        <f t="shared" si="2276"/>
        <v>0</v>
      </c>
      <c r="CD291" s="209">
        <f t="shared" si="2277"/>
        <v>0</v>
      </c>
      <c r="CE291" s="209">
        <f t="shared" si="2278"/>
        <v>0</v>
      </c>
      <c r="CF291" s="209">
        <f t="shared" si="2279"/>
        <v>0</v>
      </c>
    </row>
    <row r="292" spans="2:85" outlineLevel="1">
      <c r="C292" s="27" t="s">
        <v>996</v>
      </c>
      <c r="D292" s="55">
        <v>1</v>
      </c>
      <c r="E292" s="88" t="s">
        <v>828</v>
      </c>
      <c r="F292" s="56">
        <v>73.81</v>
      </c>
      <c r="G292" s="57">
        <f t="shared" si="2280"/>
        <v>73.81</v>
      </c>
      <c r="H292" s="28"/>
      <c r="I292" s="59" t="str">
        <f t="shared" si="2230"/>
        <v/>
      </c>
      <c r="J292" s="60"/>
      <c r="K292" s="59" t="str">
        <f t="shared" si="2231"/>
        <v/>
      </c>
      <c r="L292" s="60"/>
      <c r="M292" s="59" t="str">
        <f t="shared" si="2232"/>
        <v/>
      </c>
      <c r="N292" s="60"/>
      <c r="O292" s="59" t="str">
        <f t="shared" si="2233"/>
        <v/>
      </c>
      <c r="P292" s="60"/>
      <c r="Q292" s="59" t="str">
        <f t="shared" si="2234"/>
        <v/>
      </c>
      <c r="R292" s="60"/>
      <c r="S292" s="59" t="str">
        <f t="shared" si="2235"/>
        <v/>
      </c>
      <c r="T292" s="60"/>
      <c r="U292" s="59" t="str">
        <f t="shared" si="2236"/>
        <v/>
      </c>
      <c r="V292" s="60"/>
      <c r="W292" s="59" t="str">
        <f t="shared" si="2237"/>
        <v/>
      </c>
      <c r="X292" s="95"/>
      <c r="Y292" s="59" t="str">
        <f t="shared" si="2238"/>
        <v/>
      </c>
      <c r="Z292" s="95"/>
      <c r="AA292" s="59" t="str">
        <f t="shared" si="2239"/>
        <v/>
      </c>
      <c r="AB292" s="60"/>
      <c r="AC292" s="59" t="str">
        <f t="shared" si="2240"/>
        <v/>
      </c>
      <c r="AD292" s="60"/>
      <c r="AE292" s="59" t="str">
        <f t="shared" si="2241"/>
        <v/>
      </c>
      <c r="AF292" s="95"/>
      <c r="AG292" s="59" t="str">
        <f t="shared" si="2242"/>
        <v/>
      </c>
      <c r="AH292" s="95"/>
      <c r="AI292" s="59" t="str">
        <f t="shared" si="2243"/>
        <v/>
      </c>
      <c r="AJ292" s="60"/>
      <c r="AK292" s="59" t="str">
        <f t="shared" si="2244"/>
        <v/>
      </c>
      <c r="AL292" s="60"/>
      <c r="AM292" s="59" t="str">
        <f t="shared" si="2245"/>
        <v/>
      </c>
      <c r="AN292" s="60"/>
      <c r="AO292" s="59" t="str">
        <f t="shared" si="2246"/>
        <v/>
      </c>
      <c r="AP292" s="60"/>
      <c r="AQ292" s="59" t="str">
        <f t="shared" si="2247"/>
        <v/>
      </c>
      <c r="AR292" s="60"/>
      <c r="AS292" s="59" t="str">
        <f t="shared" si="2248"/>
        <v/>
      </c>
      <c r="AT292" s="60"/>
      <c r="AU292" s="59" t="str">
        <f t="shared" si="2249"/>
        <v/>
      </c>
      <c r="AV292" s="60"/>
      <c r="AW292" s="59" t="str">
        <f t="shared" si="2250"/>
        <v/>
      </c>
      <c r="AX292" s="60"/>
      <c r="AY292" s="59" t="str">
        <f t="shared" si="2251"/>
        <v/>
      </c>
      <c r="AZ292" s="60"/>
      <c r="BA292" s="59" t="str">
        <f t="shared" si="2252"/>
        <v/>
      </c>
      <c r="BB292" s="60"/>
      <c r="BC292" s="59" t="str">
        <f t="shared" si="2253"/>
        <v/>
      </c>
      <c r="BD292" s="61">
        <f t="shared" si="2281"/>
        <v>0</v>
      </c>
      <c r="BE292" s="59">
        <f t="shared" si="2254"/>
        <v>0</v>
      </c>
      <c r="BF292" s="208">
        <f t="shared" si="2282"/>
        <v>1</v>
      </c>
      <c r="BG292" s="205">
        <f t="shared" si="2255"/>
        <v>73.81</v>
      </c>
      <c r="BH292" s="184"/>
      <c r="BI292" s="209">
        <f t="shared" si="2256"/>
        <v>0</v>
      </c>
      <c r="BJ292" s="209">
        <f t="shared" si="2257"/>
        <v>0</v>
      </c>
      <c r="BK292" s="209">
        <f t="shared" si="2258"/>
        <v>0</v>
      </c>
      <c r="BL292" s="209">
        <f t="shared" si="2259"/>
        <v>0</v>
      </c>
      <c r="BM292" s="209">
        <f t="shared" si="2260"/>
        <v>0</v>
      </c>
      <c r="BN292" s="209">
        <f t="shared" si="2261"/>
        <v>0</v>
      </c>
      <c r="BO292" s="209">
        <f t="shared" si="2262"/>
        <v>0</v>
      </c>
      <c r="BP292" s="209">
        <f t="shared" si="2263"/>
        <v>0</v>
      </c>
      <c r="BQ292" s="209">
        <f t="shared" si="2264"/>
        <v>0</v>
      </c>
      <c r="BR292" s="209">
        <f t="shared" si="2265"/>
        <v>0</v>
      </c>
      <c r="BS292" s="209">
        <f t="shared" si="2266"/>
        <v>0</v>
      </c>
      <c r="BT292" s="209">
        <f t="shared" si="2267"/>
        <v>0</v>
      </c>
      <c r="BU292" s="209">
        <f t="shared" si="2268"/>
        <v>0</v>
      </c>
      <c r="BV292" s="209">
        <f t="shared" si="2269"/>
        <v>0</v>
      </c>
      <c r="BW292" s="209">
        <f t="shared" si="2270"/>
        <v>0</v>
      </c>
      <c r="BX292" s="209">
        <f t="shared" si="2271"/>
        <v>0</v>
      </c>
      <c r="BY292" s="209">
        <f t="shared" si="2272"/>
        <v>0</v>
      </c>
      <c r="BZ292" s="209">
        <f t="shared" si="2273"/>
        <v>0</v>
      </c>
      <c r="CA292" s="209">
        <f t="shared" si="2274"/>
        <v>0</v>
      </c>
      <c r="CB292" s="209">
        <f t="shared" si="2275"/>
        <v>0</v>
      </c>
      <c r="CC292" s="209">
        <f t="shared" si="2276"/>
        <v>0</v>
      </c>
      <c r="CD292" s="209">
        <f t="shared" si="2277"/>
        <v>0</v>
      </c>
      <c r="CE292" s="209">
        <f t="shared" si="2278"/>
        <v>0</v>
      </c>
      <c r="CF292" s="209">
        <f t="shared" si="2279"/>
        <v>0</v>
      </c>
    </row>
    <row r="293" spans="2:85" outlineLevel="1">
      <c r="C293" s="27" t="s">
        <v>997</v>
      </c>
      <c r="D293" s="55">
        <v>250</v>
      </c>
      <c r="E293" s="88" t="s">
        <v>875</v>
      </c>
      <c r="F293" s="56">
        <v>2.09</v>
      </c>
      <c r="G293" s="57">
        <f t="shared" si="2280"/>
        <v>522.5</v>
      </c>
      <c r="H293" s="28"/>
      <c r="I293" s="59" t="str">
        <f t="shared" si="2230"/>
        <v/>
      </c>
      <c r="J293" s="60"/>
      <c r="K293" s="59" t="str">
        <f t="shared" si="2231"/>
        <v/>
      </c>
      <c r="L293" s="60"/>
      <c r="M293" s="59" t="str">
        <f t="shared" si="2232"/>
        <v/>
      </c>
      <c r="N293" s="60"/>
      <c r="O293" s="59" t="str">
        <f t="shared" si="2233"/>
        <v/>
      </c>
      <c r="P293" s="60"/>
      <c r="Q293" s="59" t="str">
        <f t="shared" si="2234"/>
        <v/>
      </c>
      <c r="R293" s="60"/>
      <c r="S293" s="59" t="str">
        <f t="shared" si="2235"/>
        <v/>
      </c>
      <c r="T293" s="60"/>
      <c r="U293" s="59" t="str">
        <f t="shared" si="2236"/>
        <v/>
      </c>
      <c r="V293" s="60"/>
      <c r="W293" s="59" t="str">
        <f t="shared" si="2237"/>
        <v/>
      </c>
      <c r="X293" s="95"/>
      <c r="Y293" s="59" t="str">
        <f t="shared" si="2238"/>
        <v/>
      </c>
      <c r="Z293" s="95"/>
      <c r="AA293" s="59" t="str">
        <f t="shared" si="2239"/>
        <v/>
      </c>
      <c r="AB293" s="60"/>
      <c r="AC293" s="59" t="str">
        <f t="shared" si="2240"/>
        <v/>
      </c>
      <c r="AD293" s="60"/>
      <c r="AE293" s="59" t="str">
        <f t="shared" si="2241"/>
        <v/>
      </c>
      <c r="AF293" s="95"/>
      <c r="AG293" s="59" t="str">
        <f t="shared" si="2242"/>
        <v/>
      </c>
      <c r="AH293" s="95">
        <f t="shared" si="2283"/>
        <v>250</v>
      </c>
      <c r="AI293" s="59">
        <f t="shared" si="2243"/>
        <v>522.5</v>
      </c>
      <c r="AJ293" s="60"/>
      <c r="AK293" s="59" t="str">
        <f t="shared" si="2244"/>
        <v/>
      </c>
      <c r="AL293" s="60"/>
      <c r="AM293" s="59" t="str">
        <f t="shared" si="2245"/>
        <v/>
      </c>
      <c r="AN293" s="60"/>
      <c r="AO293" s="59" t="str">
        <f t="shared" si="2246"/>
        <v/>
      </c>
      <c r="AP293" s="60"/>
      <c r="AQ293" s="59" t="str">
        <f t="shared" si="2247"/>
        <v/>
      </c>
      <c r="AR293" s="60"/>
      <c r="AS293" s="59" t="str">
        <f t="shared" si="2248"/>
        <v/>
      </c>
      <c r="AT293" s="60"/>
      <c r="AU293" s="59" t="str">
        <f t="shared" si="2249"/>
        <v/>
      </c>
      <c r="AV293" s="60"/>
      <c r="AW293" s="59" t="str">
        <f t="shared" si="2250"/>
        <v/>
      </c>
      <c r="AX293" s="60"/>
      <c r="AY293" s="59" t="str">
        <f t="shared" si="2251"/>
        <v/>
      </c>
      <c r="AZ293" s="60"/>
      <c r="BA293" s="59" t="str">
        <f t="shared" si="2252"/>
        <v/>
      </c>
      <c r="BB293" s="60"/>
      <c r="BC293" s="59" t="str">
        <f t="shared" si="2253"/>
        <v/>
      </c>
      <c r="BD293" s="61">
        <f t="shared" si="2281"/>
        <v>250</v>
      </c>
      <c r="BE293" s="59">
        <f t="shared" si="2254"/>
        <v>522.5</v>
      </c>
      <c r="BF293" s="208">
        <f t="shared" si="2282"/>
        <v>0</v>
      </c>
      <c r="BG293" s="205">
        <f t="shared" si="2255"/>
        <v>0</v>
      </c>
      <c r="BH293" s="184"/>
      <c r="BI293" s="209">
        <f t="shared" si="2256"/>
        <v>0</v>
      </c>
      <c r="BJ293" s="209">
        <f t="shared" si="2257"/>
        <v>0</v>
      </c>
      <c r="BK293" s="209">
        <f t="shared" si="2258"/>
        <v>0</v>
      </c>
      <c r="BL293" s="209">
        <f t="shared" si="2259"/>
        <v>0</v>
      </c>
      <c r="BM293" s="209">
        <f t="shared" si="2260"/>
        <v>0</v>
      </c>
      <c r="BN293" s="209">
        <f t="shared" si="2261"/>
        <v>0</v>
      </c>
      <c r="BO293" s="209">
        <f t="shared" si="2262"/>
        <v>0</v>
      </c>
      <c r="BP293" s="209">
        <f t="shared" si="2263"/>
        <v>0</v>
      </c>
      <c r="BQ293" s="209">
        <f t="shared" si="2264"/>
        <v>0</v>
      </c>
      <c r="BR293" s="209">
        <f t="shared" si="2265"/>
        <v>0</v>
      </c>
      <c r="BS293" s="209">
        <f t="shared" si="2266"/>
        <v>0</v>
      </c>
      <c r="BT293" s="209">
        <f t="shared" si="2267"/>
        <v>0</v>
      </c>
      <c r="BU293" s="209">
        <f t="shared" si="2268"/>
        <v>0</v>
      </c>
      <c r="BV293" s="209">
        <f t="shared" si="2269"/>
        <v>250</v>
      </c>
      <c r="BW293" s="209">
        <f t="shared" si="2270"/>
        <v>0</v>
      </c>
      <c r="BX293" s="209">
        <f t="shared" si="2271"/>
        <v>0</v>
      </c>
      <c r="BY293" s="209">
        <f t="shared" si="2272"/>
        <v>0</v>
      </c>
      <c r="BZ293" s="209">
        <f t="shared" si="2273"/>
        <v>0</v>
      </c>
      <c r="CA293" s="209">
        <f t="shared" si="2274"/>
        <v>0</v>
      </c>
      <c r="CB293" s="209">
        <f t="shared" si="2275"/>
        <v>0</v>
      </c>
      <c r="CC293" s="209">
        <f t="shared" si="2276"/>
        <v>0</v>
      </c>
      <c r="CD293" s="209">
        <f t="shared" si="2277"/>
        <v>0</v>
      </c>
      <c r="CE293" s="209">
        <f t="shared" si="2278"/>
        <v>0</v>
      </c>
      <c r="CF293" s="209">
        <f t="shared" si="2279"/>
        <v>0</v>
      </c>
    </row>
    <row r="294" spans="2:85" ht="22.5" outlineLevel="1">
      <c r="C294" s="27" t="s">
        <v>998</v>
      </c>
      <c r="D294" s="55">
        <v>1</v>
      </c>
      <c r="E294" s="88" t="s">
        <v>819</v>
      </c>
      <c r="F294" s="56">
        <v>8035.5</v>
      </c>
      <c r="G294" s="57">
        <f t="shared" si="2280"/>
        <v>8035.5</v>
      </c>
      <c r="H294" s="28"/>
      <c r="I294" s="59" t="str">
        <f t="shared" si="2230"/>
        <v/>
      </c>
      <c r="J294" s="60"/>
      <c r="K294" s="59" t="str">
        <f t="shared" si="2231"/>
        <v/>
      </c>
      <c r="L294" s="60"/>
      <c r="M294" s="59" t="str">
        <f t="shared" si="2232"/>
        <v/>
      </c>
      <c r="N294" s="60"/>
      <c r="O294" s="59" t="str">
        <f t="shared" si="2233"/>
        <v/>
      </c>
      <c r="P294" s="60"/>
      <c r="Q294" s="59" t="str">
        <f t="shared" si="2234"/>
        <v/>
      </c>
      <c r="R294" s="60"/>
      <c r="S294" s="59" t="str">
        <f t="shared" si="2235"/>
        <v/>
      </c>
      <c r="T294" s="60"/>
      <c r="U294" s="59" t="str">
        <f t="shared" si="2236"/>
        <v/>
      </c>
      <c r="V294" s="60"/>
      <c r="W294" s="59" t="str">
        <f t="shared" si="2237"/>
        <v/>
      </c>
      <c r="X294" s="95"/>
      <c r="Y294" s="59" t="str">
        <f t="shared" si="2238"/>
        <v/>
      </c>
      <c r="Z294" s="95"/>
      <c r="AA294" s="59" t="str">
        <f t="shared" si="2239"/>
        <v/>
      </c>
      <c r="AB294" s="60"/>
      <c r="AC294" s="59" t="str">
        <f t="shared" si="2240"/>
        <v/>
      </c>
      <c r="AD294" s="60"/>
      <c r="AE294" s="59" t="str">
        <f t="shared" si="2241"/>
        <v/>
      </c>
      <c r="AF294" s="95"/>
      <c r="AG294" s="59" t="str">
        <f t="shared" si="2242"/>
        <v/>
      </c>
      <c r="AH294" s="98"/>
      <c r="AI294" s="59" t="str">
        <f t="shared" si="2243"/>
        <v/>
      </c>
      <c r="AJ294" s="60"/>
      <c r="AK294" s="59" t="str">
        <f t="shared" si="2244"/>
        <v/>
      </c>
      <c r="AL294" s="60"/>
      <c r="AM294" s="59" t="str">
        <f t="shared" si="2245"/>
        <v/>
      </c>
      <c r="AN294" s="60"/>
      <c r="AO294" s="59" t="str">
        <f t="shared" si="2246"/>
        <v/>
      </c>
      <c r="AP294" s="60"/>
      <c r="AQ294" s="59" t="str">
        <f t="shared" si="2247"/>
        <v/>
      </c>
      <c r="AR294" s="60"/>
      <c r="AS294" s="59" t="str">
        <f t="shared" si="2248"/>
        <v/>
      </c>
      <c r="AT294" s="60"/>
      <c r="AU294" s="59" t="str">
        <f t="shared" si="2249"/>
        <v/>
      </c>
      <c r="AV294" s="60"/>
      <c r="AW294" s="59" t="str">
        <f t="shared" si="2250"/>
        <v/>
      </c>
      <c r="AX294" s="60"/>
      <c r="AY294" s="59" t="str">
        <f t="shared" si="2251"/>
        <v/>
      </c>
      <c r="AZ294" s="60"/>
      <c r="BA294" s="59" t="str">
        <f t="shared" si="2252"/>
        <v/>
      </c>
      <c r="BB294" s="60"/>
      <c r="BC294" s="59" t="str">
        <f t="shared" si="2253"/>
        <v/>
      </c>
      <c r="BD294" s="61">
        <f t="shared" si="2281"/>
        <v>0</v>
      </c>
      <c r="BE294" s="59">
        <f t="shared" si="2254"/>
        <v>0</v>
      </c>
      <c r="BF294" s="208">
        <f t="shared" si="2282"/>
        <v>1</v>
      </c>
      <c r="BG294" s="205">
        <f t="shared" si="2255"/>
        <v>8035.5</v>
      </c>
      <c r="BH294" s="184"/>
      <c r="BI294" s="209">
        <f t="shared" si="2256"/>
        <v>0</v>
      </c>
      <c r="BJ294" s="209">
        <f t="shared" si="2257"/>
        <v>0</v>
      </c>
      <c r="BK294" s="209">
        <f t="shared" si="2258"/>
        <v>0</v>
      </c>
      <c r="BL294" s="209">
        <f t="shared" si="2259"/>
        <v>0</v>
      </c>
      <c r="BM294" s="209">
        <f t="shared" si="2260"/>
        <v>0</v>
      </c>
      <c r="BN294" s="209">
        <f t="shared" si="2261"/>
        <v>0</v>
      </c>
      <c r="BO294" s="209">
        <f t="shared" si="2262"/>
        <v>0</v>
      </c>
      <c r="BP294" s="209">
        <f t="shared" si="2263"/>
        <v>0</v>
      </c>
      <c r="BQ294" s="209">
        <f t="shared" si="2264"/>
        <v>0</v>
      </c>
      <c r="BR294" s="209">
        <f t="shared" si="2265"/>
        <v>0</v>
      </c>
      <c r="BS294" s="209">
        <f t="shared" si="2266"/>
        <v>0</v>
      </c>
      <c r="BT294" s="209">
        <f t="shared" si="2267"/>
        <v>0</v>
      </c>
      <c r="BU294" s="209">
        <f t="shared" si="2268"/>
        <v>0</v>
      </c>
      <c r="BV294" s="209">
        <f t="shared" si="2269"/>
        <v>0</v>
      </c>
      <c r="BW294" s="209">
        <f t="shared" si="2270"/>
        <v>0</v>
      </c>
      <c r="BX294" s="209">
        <f t="shared" si="2271"/>
        <v>0</v>
      </c>
      <c r="BY294" s="209">
        <f t="shared" si="2272"/>
        <v>0</v>
      </c>
      <c r="BZ294" s="209">
        <f t="shared" si="2273"/>
        <v>0</v>
      </c>
      <c r="CA294" s="209">
        <f t="shared" si="2274"/>
        <v>0</v>
      </c>
      <c r="CB294" s="209">
        <f t="shared" si="2275"/>
        <v>0</v>
      </c>
      <c r="CC294" s="209">
        <f t="shared" si="2276"/>
        <v>0</v>
      </c>
      <c r="CD294" s="209">
        <f t="shared" si="2277"/>
        <v>0</v>
      </c>
      <c r="CE294" s="209">
        <f t="shared" si="2278"/>
        <v>0</v>
      </c>
      <c r="CF294" s="209">
        <f t="shared" si="2279"/>
        <v>0</v>
      </c>
      <c r="CG294" s="220" t="s">
        <v>1042</v>
      </c>
    </row>
    <row r="295" spans="2:85" ht="22.5" outlineLevel="1">
      <c r="C295" s="27" t="s">
        <v>999</v>
      </c>
      <c r="G295" s="57"/>
      <c r="H295" s="28"/>
      <c r="I295" s="59" t="str">
        <f t="shared" si="2230"/>
        <v/>
      </c>
      <c r="J295" s="60"/>
      <c r="K295" s="59" t="str">
        <f t="shared" si="2231"/>
        <v/>
      </c>
      <c r="L295" s="60"/>
      <c r="M295" s="59" t="str">
        <f t="shared" si="2232"/>
        <v/>
      </c>
      <c r="N295" s="60"/>
      <c r="O295" s="59" t="str">
        <f t="shared" si="2233"/>
        <v/>
      </c>
      <c r="P295" s="60"/>
      <c r="Q295" s="59" t="str">
        <f t="shared" si="2234"/>
        <v/>
      </c>
      <c r="R295" s="60"/>
      <c r="S295" s="59" t="str">
        <f t="shared" si="2235"/>
        <v/>
      </c>
      <c r="T295" s="60"/>
      <c r="U295" s="59" t="str">
        <f t="shared" si="2236"/>
        <v/>
      </c>
      <c r="V295" s="60"/>
      <c r="W295" s="59" t="str">
        <f t="shared" si="2237"/>
        <v/>
      </c>
      <c r="X295" s="95"/>
      <c r="Y295" s="59" t="str">
        <f t="shared" si="2238"/>
        <v/>
      </c>
      <c r="Z295" s="95"/>
      <c r="AA295" s="59" t="str">
        <f t="shared" si="2239"/>
        <v/>
      </c>
      <c r="AB295" s="60"/>
      <c r="AC295" s="59" t="str">
        <f t="shared" si="2240"/>
        <v/>
      </c>
      <c r="AD295" s="60"/>
      <c r="AE295" s="59" t="str">
        <f t="shared" si="2241"/>
        <v/>
      </c>
      <c r="AF295" s="95"/>
      <c r="AG295" s="59" t="str">
        <f t="shared" si="2242"/>
        <v/>
      </c>
      <c r="AH295" s="95"/>
      <c r="AI295" s="59" t="str">
        <f t="shared" si="2243"/>
        <v/>
      </c>
      <c r="AJ295" s="60"/>
      <c r="AK295" s="59" t="str">
        <f t="shared" si="2244"/>
        <v/>
      </c>
      <c r="AL295" s="60"/>
      <c r="AM295" s="59" t="str">
        <f t="shared" si="2245"/>
        <v/>
      </c>
      <c r="AN295" s="60"/>
      <c r="AO295" s="59" t="str">
        <f t="shared" si="2246"/>
        <v/>
      </c>
      <c r="AP295" s="60"/>
      <c r="AQ295" s="59" t="str">
        <f t="shared" si="2247"/>
        <v/>
      </c>
      <c r="AR295" s="60"/>
      <c r="AS295" s="59" t="str">
        <f t="shared" si="2248"/>
        <v/>
      </c>
      <c r="AT295" s="60"/>
      <c r="AU295" s="59" t="str">
        <f t="shared" si="2249"/>
        <v/>
      </c>
      <c r="AV295" s="60"/>
      <c r="AW295" s="59" t="str">
        <f t="shared" si="2250"/>
        <v/>
      </c>
      <c r="AX295" s="60"/>
      <c r="AY295" s="59" t="str">
        <f t="shared" si="2251"/>
        <v/>
      </c>
      <c r="AZ295" s="60"/>
      <c r="BA295" s="59" t="str">
        <f t="shared" si="2252"/>
        <v/>
      </c>
      <c r="BB295" s="60"/>
      <c r="BC295" s="59" t="str">
        <f t="shared" si="2253"/>
        <v/>
      </c>
      <c r="BD295" s="61"/>
      <c r="BE295" s="59" t="str">
        <f t="shared" si="2254"/>
        <v/>
      </c>
      <c r="BF295" s="208"/>
      <c r="BG295" s="205" t="str">
        <f t="shared" si="2255"/>
        <v/>
      </c>
      <c r="BH295" s="184"/>
      <c r="BI295" s="209">
        <f t="shared" si="2256"/>
        <v>0</v>
      </c>
      <c r="BJ295" s="209">
        <f t="shared" si="2257"/>
        <v>0</v>
      </c>
      <c r="BK295" s="209">
        <f t="shared" si="2258"/>
        <v>0</v>
      </c>
      <c r="BL295" s="209">
        <f t="shared" si="2259"/>
        <v>0</v>
      </c>
      <c r="BM295" s="209">
        <f t="shared" si="2260"/>
        <v>0</v>
      </c>
      <c r="BN295" s="209">
        <f t="shared" si="2261"/>
        <v>0</v>
      </c>
      <c r="BO295" s="209">
        <f t="shared" si="2262"/>
        <v>0</v>
      </c>
      <c r="BP295" s="209">
        <f t="shared" si="2263"/>
        <v>0</v>
      </c>
      <c r="BQ295" s="209">
        <f t="shared" si="2264"/>
        <v>0</v>
      </c>
      <c r="BR295" s="209">
        <f t="shared" si="2265"/>
        <v>0</v>
      </c>
      <c r="BS295" s="209">
        <f t="shared" si="2266"/>
        <v>0</v>
      </c>
      <c r="BT295" s="209">
        <f t="shared" si="2267"/>
        <v>0</v>
      </c>
      <c r="BU295" s="209">
        <f t="shared" si="2268"/>
        <v>0</v>
      </c>
      <c r="BV295" s="209">
        <f t="shared" si="2269"/>
        <v>0</v>
      </c>
      <c r="BW295" s="209">
        <f t="shared" si="2270"/>
        <v>0</v>
      </c>
      <c r="BX295" s="209">
        <f t="shared" si="2271"/>
        <v>0</v>
      </c>
      <c r="BY295" s="209">
        <f t="shared" si="2272"/>
        <v>0</v>
      </c>
      <c r="BZ295" s="209">
        <f t="shared" si="2273"/>
        <v>0</v>
      </c>
      <c r="CA295" s="209">
        <f t="shared" si="2274"/>
        <v>0</v>
      </c>
      <c r="CB295" s="209">
        <f t="shared" si="2275"/>
        <v>0</v>
      </c>
      <c r="CC295" s="209">
        <f t="shared" si="2276"/>
        <v>0</v>
      </c>
      <c r="CD295" s="209">
        <f t="shared" si="2277"/>
        <v>0</v>
      </c>
      <c r="CE295" s="209">
        <f t="shared" si="2278"/>
        <v>0</v>
      </c>
      <c r="CF295" s="209">
        <f t="shared" si="2279"/>
        <v>0</v>
      </c>
    </row>
    <row r="296" spans="2:85" outlineLevel="1">
      <c r="C296" s="27" t="s">
        <v>991</v>
      </c>
      <c r="D296" s="55">
        <v>215</v>
      </c>
      <c r="E296" s="88" t="s">
        <v>875</v>
      </c>
      <c r="F296" s="56">
        <v>2.36</v>
      </c>
      <c r="G296" s="57">
        <f t="shared" si="2280"/>
        <v>507.4</v>
      </c>
      <c r="H296" s="28"/>
      <c r="I296" s="59" t="str">
        <f t="shared" si="2230"/>
        <v/>
      </c>
      <c r="J296" s="60"/>
      <c r="K296" s="59" t="str">
        <f t="shared" si="2231"/>
        <v/>
      </c>
      <c r="L296" s="60"/>
      <c r="M296" s="59" t="str">
        <f t="shared" si="2232"/>
        <v/>
      </c>
      <c r="N296" s="60"/>
      <c r="O296" s="59" t="str">
        <f t="shared" si="2233"/>
        <v/>
      </c>
      <c r="P296" s="60"/>
      <c r="Q296" s="59" t="str">
        <f t="shared" si="2234"/>
        <v/>
      </c>
      <c r="R296" s="60"/>
      <c r="S296" s="59" t="str">
        <f t="shared" si="2235"/>
        <v/>
      </c>
      <c r="T296" s="60"/>
      <c r="U296" s="59" t="str">
        <f t="shared" si="2236"/>
        <v/>
      </c>
      <c r="V296" s="60"/>
      <c r="W296" s="59" t="str">
        <f t="shared" si="2237"/>
        <v/>
      </c>
      <c r="X296" s="95"/>
      <c r="Y296" s="59" t="str">
        <f t="shared" si="2238"/>
        <v/>
      </c>
      <c r="Z296" s="95"/>
      <c r="AA296" s="59" t="str">
        <f t="shared" si="2239"/>
        <v/>
      </c>
      <c r="AB296" s="60"/>
      <c r="AC296" s="59" t="str">
        <f t="shared" si="2240"/>
        <v/>
      </c>
      <c r="AD296" s="60"/>
      <c r="AE296" s="59" t="str">
        <f t="shared" si="2241"/>
        <v/>
      </c>
      <c r="AF296" s="95"/>
      <c r="AG296" s="59" t="str">
        <f t="shared" si="2242"/>
        <v/>
      </c>
      <c r="AH296" s="95">
        <f t="shared" si="2283"/>
        <v>215</v>
      </c>
      <c r="AI296" s="59">
        <f t="shared" si="2243"/>
        <v>507.4</v>
      </c>
      <c r="AJ296" s="60"/>
      <c r="AK296" s="59" t="str">
        <f t="shared" si="2244"/>
        <v/>
      </c>
      <c r="AL296" s="60"/>
      <c r="AM296" s="59" t="str">
        <f t="shared" si="2245"/>
        <v/>
      </c>
      <c r="AN296" s="60"/>
      <c r="AO296" s="59" t="str">
        <f t="shared" si="2246"/>
        <v/>
      </c>
      <c r="AP296" s="60"/>
      <c r="AQ296" s="59" t="str">
        <f t="shared" si="2247"/>
        <v/>
      </c>
      <c r="AR296" s="60"/>
      <c r="AS296" s="59" t="str">
        <f t="shared" si="2248"/>
        <v/>
      </c>
      <c r="AT296" s="60"/>
      <c r="AU296" s="59" t="str">
        <f t="shared" si="2249"/>
        <v/>
      </c>
      <c r="AV296" s="60"/>
      <c r="AW296" s="59" t="str">
        <f t="shared" si="2250"/>
        <v/>
      </c>
      <c r="AX296" s="60"/>
      <c r="AY296" s="59" t="str">
        <f t="shared" si="2251"/>
        <v/>
      </c>
      <c r="AZ296" s="60"/>
      <c r="BA296" s="59" t="str">
        <f t="shared" si="2252"/>
        <v/>
      </c>
      <c r="BB296" s="60"/>
      <c r="BC296" s="59" t="str">
        <f t="shared" si="2253"/>
        <v/>
      </c>
      <c r="BD296" s="61">
        <f t="shared" si="2281"/>
        <v>215</v>
      </c>
      <c r="BE296" s="59">
        <f t="shared" si="2254"/>
        <v>507.4</v>
      </c>
      <c r="BF296" s="208">
        <f t="shared" si="2282"/>
        <v>0</v>
      </c>
      <c r="BG296" s="205">
        <f t="shared" si="2255"/>
        <v>0</v>
      </c>
      <c r="BH296" s="184"/>
      <c r="BI296" s="209">
        <f t="shared" si="2256"/>
        <v>0</v>
      </c>
      <c r="BJ296" s="209">
        <f t="shared" si="2257"/>
        <v>0</v>
      </c>
      <c r="BK296" s="209">
        <f t="shared" si="2258"/>
        <v>0</v>
      </c>
      <c r="BL296" s="209">
        <f t="shared" si="2259"/>
        <v>0</v>
      </c>
      <c r="BM296" s="209">
        <f t="shared" si="2260"/>
        <v>0</v>
      </c>
      <c r="BN296" s="209">
        <f t="shared" si="2261"/>
        <v>0</v>
      </c>
      <c r="BO296" s="209">
        <f t="shared" si="2262"/>
        <v>0</v>
      </c>
      <c r="BP296" s="209">
        <f t="shared" si="2263"/>
        <v>0</v>
      </c>
      <c r="BQ296" s="209">
        <f t="shared" si="2264"/>
        <v>0</v>
      </c>
      <c r="BR296" s="209">
        <f t="shared" si="2265"/>
        <v>0</v>
      </c>
      <c r="BS296" s="209">
        <f t="shared" si="2266"/>
        <v>0</v>
      </c>
      <c r="BT296" s="209">
        <f t="shared" si="2267"/>
        <v>0</v>
      </c>
      <c r="BU296" s="209">
        <f t="shared" si="2268"/>
        <v>0</v>
      </c>
      <c r="BV296" s="209">
        <f t="shared" si="2269"/>
        <v>215</v>
      </c>
      <c r="BW296" s="209">
        <f t="shared" si="2270"/>
        <v>0</v>
      </c>
      <c r="BX296" s="209">
        <f t="shared" si="2271"/>
        <v>0</v>
      </c>
      <c r="BY296" s="209">
        <f t="shared" si="2272"/>
        <v>0</v>
      </c>
      <c r="BZ296" s="209">
        <f t="shared" si="2273"/>
        <v>0</v>
      </c>
      <c r="CA296" s="209">
        <f t="shared" si="2274"/>
        <v>0</v>
      </c>
      <c r="CB296" s="209">
        <f t="shared" si="2275"/>
        <v>0</v>
      </c>
      <c r="CC296" s="209">
        <f t="shared" si="2276"/>
        <v>0</v>
      </c>
      <c r="CD296" s="209">
        <f t="shared" si="2277"/>
        <v>0</v>
      </c>
      <c r="CE296" s="209">
        <f t="shared" si="2278"/>
        <v>0</v>
      </c>
      <c r="CF296" s="209">
        <f t="shared" si="2279"/>
        <v>0</v>
      </c>
    </row>
    <row r="297" spans="2:85" outlineLevel="1">
      <c r="C297" s="27" t="s">
        <v>992</v>
      </c>
      <c r="D297" s="55">
        <v>215</v>
      </c>
      <c r="E297" s="88" t="s">
        <v>875</v>
      </c>
      <c r="F297" s="56">
        <v>2.76</v>
      </c>
      <c r="G297" s="57">
        <f t="shared" si="2280"/>
        <v>593.4</v>
      </c>
      <c r="H297" s="28"/>
      <c r="I297" s="59" t="str">
        <f t="shared" si="2230"/>
        <v/>
      </c>
      <c r="J297" s="60"/>
      <c r="K297" s="59" t="str">
        <f t="shared" si="2231"/>
        <v/>
      </c>
      <c r="L297" s="60"/>
      <c r="M297" s="59" t="str">
        <f t="shared" si="2232"/>
        <v/>
      </c>
      <c r="N297" s="60"/>
      <c r="O297" s="59" t="str">
        <f t="shared" si="2233"/>
        <v/>
      </c>
      <c r="P297" s="60"/>
      <c r="Q297" s="59" t="str">
        <f t="shared" si="2234"/>
        <v/>
      </c>
      <c r="R297" s="60"/>
      <c r="S297" s="59" t="str">
        <f t="shared" si="2235"/>
        <v/>
      </c>
      <c r="T297" s="60"/>
      <c r="U297" s="59" t="str">
        <f t="shared" si="2236"/>
        <v/>
      </c>
      <c r="V297" s="60"/>
      <c r="W297" s="59" t="str">
        <f t="shared" si="2237"/>
        <v/>
      </c>
      <c r="X297" s="95"/>
      <c r="Y297" s="59" t="str">
        <f t="shared" si="2238"/>
        <v/>
      </c>
      <c r="Z297" s="95"/>
      <c r="AA297" s="59" t="str">
        <f t="shared" si="2239"/>
        <v/>
      </c>
      <c r="AB297" s="60"/>
      <c r="AC297" s="59" t="str">
        <f t="shared" si="2240"/>
        <v/>
      </c>
      <c r="AD297" s="60"/>
      <c r="AE297" s="59" t="str">
        <f t="shared" si="2241"/>
        <v/>
      </c>
      <c r="AF297" s="95"/>
      <c r="AG297" s="59" t="str">
        <f t="shared" si="2242"/>
        <v/>
      </c>
      <c r="AH297" s="95">
        <f t="shared" si="2283"/>
        <v>215</v>
      </c>
      <c r="AI297" s="59">
        <f t="shared" si="2243"/>
        <v>593.4</v>
      </c>
      <c r="AJ297" s="60"/>
      <c r="AK297" s="59" t="str">
        <f t="shared" si="2244"/>
        <v/>
      </c>
      <c r="AL297" s="60"/>
      <c r="AM297" s="59" t="str">
        <f t="shared" si="2245"/>
        <v/>
      </c>
      <c r="AN297" s="60"/>
      <c r="AO297" s="59" t="str">
        <f t="shared" si="2246"/>
        <v/>
      </c>
      <c r="AP297" s="60"/>
      <c r="AQ297" s="59" t="str">
        <f t="shared" si="2247"/>
        <v/>
      </c>
      <c r="AR297" s="60"/>
      <c r="AS297" s="59" t="str">
        <f t="shared" si="2248"/>
        <v/>
      </c>
      <c r="AT297" s="60"/>
      <c r="AU297" s="59" t="str">
        <f t="shared" si="2249"/>
        <v/>
      </c>
      <c r="AV297" s="60"/>
      <c r="AW297" s="59" t="str">
        <f t="shared" si="2250"/>
        <v/>
      </c>
      <c r="AX297" s="60"/>
      <c r="AY297" s="59" t="str">
        <f t="shared" si="2251"/>
        <v/>
      </c>
      <c r="AZ297" s="60"/>
      <c r="BA297" s="59" t="str">
        <f t="shared" si="2252"/>
        <v/>
      </c>
      <c r="BB297" s="60"/>
      <c r="BC297" s="59" t="str">
        <f t="shared" si="2253"/>
        <v/>
      </c>
      <c r="BD297" s="61">
        <f t="shared" si="2281"/>
        <v>215</v>
      </c>
      <c r="BE297" s="59">
        <f t="shared" si="2254"/>
        <v>593.4</v>
      </c>
      <c r="BF297" s="208">
        <f t="shared" si="2282"/>
        <v>0</v>
      </c>
      <c r="BG297" s="205">
        <f t="shared" si="2255"/>
        <v>0</v>
      </c>
      <c r="BH297" s="184"/>
      <c r="BI297" s="209">
        <f t="shared" si="2256"/>
        <v>0</v>
      </c>
      <c r="BJ297" s="209">
        <f t="shared" si="2257"/>
        <v>0</v>
      </c>
      <c r="BK297" s="209">
        <f t="shared" si="2258"/>
        <v>0</v>
      </c>
      <c r="BL297" s="209">
        <f t="shared" si="2259"/>
        <v>0</v>
      </c>
      <c r="BM297" s="209">
        <f t="shared" si="2260"/>
        <v>0</v>
      </c>
      <c r="BN297" s="209">
        <f t="shared" si="2261"/>
        <v>0</v>
      </c>
      <c r="BO297" s="209">
        <f t="shared" si="2262"/>
        <v>0</v>
      </c>
      <c r="BP297" s="209">
        <f t="shared" si="2263"/>
        <v>0</v>
      </c>
      <c r="BQ297" s="209">
        <f t="shared" si="2264"/>
        <v>0</v>
      </c>
      <c r="BR297" s="209">
        <f t="shared" si="2265"/>
        <v>0</v>
      </c>
      <c r="BS297" s="209">
        <f t="shared" si="2266"/>
        <v>0</v>
      </c>
      <c r="BT297" s="209">
        <f t="shared" si="2267"/>
        <v>0</v>
      </c>
      <c r="BU297" s="209">
        <f t="shared" si="2268"/>
        <v>0</v>
      </c>
      <c r="BV297" s="209">
        <f t="shared" si="2269"/>
        <v>215</v>
      </c>
      <c r="BW297" s="209">
        <f t="shared" si="2270"/>
        <v>0</v>
      </c>
      <c r="BX297" s="209">
        <f t="shared" si="2271"/>
        <v>0</v>
      </c>
      <c r="BY297" s="209">
        <f t="shared" si="2272"/>
        <v>0</v>
      </c>
      <c r="BZ297" s="209">
        <f t="shared" si="2273"/>
        <v>0</v>
      </c>
      <c r="CA297" s="209">
        <f t="shared" si="2274"/>
        <v>0</v>
      </c>
      <c r="CB297" s="209">
        <f t="shared" si="2275"/>
        <v>0</v>
      </c>
      <c r="CC297" s="209">
        <f t="shared" si="2276"/>
        <v>0</v>
      </c>
      <c r="CD297" s="209">
        <f t="shared" si="2277"/>
        <v>0</v>
      </c>
      <c r="CE297" s="209">
        <f t="shared" si="2278"/>
        <v>0</v>
      </c>
      <c r="CF297" s="209">
        <f t="shared" si="2279"/>
        <v>0</v>
      </c>
    </row>
    <row r="298" spans="2:85" outlineLevel="1">
      <c r="C298" s="27" t="s">
        <v>994</v>
      </c>
      <c r="D298" s="55">
        <v>215</v>
      </c>
      <c r="E298" s="88" t="s">
        <v>875</v>
      </c>
      <c r="F298" s="56">
        <v>2.68</v>
      </c>
      <c r="G298" s="57">
        <f t="shared" si="2280"/>
        <v>576.20000000000005</v>
      </c>
      <c r="H298" s="28"/>
      <c r="I298" s="59" t="str">
        <f t="shared" si="2230"/>
        <v/>
      </c>
      <c r="J298" s="60"/>
      <c r="K298" s="59" t="str">
        <f t="shared" si="2231"/>
        <v/>
      </c>
      <c r="L298" s="60"/>
      <c r="M298" s="59" t="str">
        <f t="shared" si="2232"/>
        <v/>
      </c>
      <c r="N298" s="60"/>
      <c r="O298" s="59" t="str">
        <f t="shared" si="2233"/>
        <v/>
      </c>
      <c r="P298" s="60"/>
      <c r="Q298" s="59" t="str">
        <f t="shared" si="2234"/>
        <v/>
      </c>
      <c r="R298" s="60"/>
      <c r="S298" s="59" t="str">
        <f t="shared" si="2235"/>
        <v/>
      </c>
      <c r="T298" s="60"/>
      <c r="U298" s="59" t="str">
        <f t="shared" si="2236"/>
        <v/>
      </c>
      <c r="V298" s="60"/>
      <c r="W298" s="59" t="str">
        <f t="shared" si="2237"/>
        <v/>
      </c>
      <c r="X298" s="95"/>
      <c r="Y298" s="59" t="str">
        <f t="shared" si="2238"/>
        <v/>
      </c>
      <c r="Z298" s="95"/>
      <c r="AA298" s="59" t="str">
        <f t="shared" si="2239"/>
        <v/>
      </c>
      <c r="AB298" s="60"/>
      <c r="AC298" s="59" t="str">
        <f t="shared" si="2240"/>
        <v/>
      </c>
      <c r="AD298" s="60"/>
      <c r="AE298" s="59" t="str">
        <f t="shared" si="2241"/>
        <v/>
      </c>
      <c r="AF298" s="95"/>
      <c r="AG298" s="59" t="str">
        <f t="shared" si="2242"/>
        <v/>
      </c>
      <c r="AH298" s="95">
        <f t="shared" si="2283"/>
        <v>215</v>
      </c>
      <c r="AI298" s="59">
        <f t="shared" si="2243"/>
        <v>576.20000000000005</v>
      </c>
      <c r="AJ298" s="60"/>
      <c r="AK298" s="59" t="str">
        <f t="shared" si="2244"/>
        <v/>
      </c>
      <c r="AL298" s="60"/>
      <c r="AM298" s="59" t="str">
        <f t="shared" si="2245"/>
        <v/>
      </c>
      <c r="AN298" s="60"/>
      <c r="AO298" s="59" t="str">
        <f t="shared" si="2246"/>
        <v/>
      </c>
      <c r="AP298" s="60"/>
      <c r="AQ298" s="59" t="str">
        <f t="shared" si="2247"/>
        <v/>
      </c>
      <c r="AR298" s="60"/>
      <c r="AS298" s="59" t="str">
        <f t="shared" si="2248"/>
        <v/>
      </c>
      <c r="AT298" s="60"/>
      <c r="AU298" s="59" t="str">
        <f t="shared" si="2249"/>
        <v/>
      </c>
      <c r="AV298" s="60"/>
      <c r="AW298" s="59" t="str">
        <f t="shared" si="2250"/>
        <v/>
      </c>
      <c r="AX298" s="60"/>
      <c r="AY298" s="59" t="str">
        <f t="shared" si="2251"/>
        <v/>
      </c>
      <c r="AZ298" s="60"/>
      <c r="BA298" s="59" t="str">
        <f t="shared" si="2252"/>
        <v/>
      </c>
      <c r="BB298" s="60"/>
      <c r="BC298" s="59" t="str">
        <f t="shared" si="2253"/>
        <v/>
      </c>
      <c r="BD298" s="61">
        <f t="shared" si="2281"/>
        <v>215</v>
      </c>
      <c r="BE298" s="59">
        <f t="shared" si="2254"/>
        <v>576.20000000000005</v>
      </c>
      <c r="BF298" s="208">
        <f t="shared" si="2282"/>
        <v>0</v>
      </c>
      <c r="BG298" s="205">
        <f t="shared" si="2255"/>
        <v>0</v>
      </c>
      <c r="BH298" s="184"/>
      <c r="BI298" s="209">
        <f t="shared" si="2256"/>
        <v>0</v>
      </c>
      <c r="BJ298" s="209">
        <f t="shared" si="2257"/>
        <v>0</v>
      </c>
      <c r="BK298" s="209">
        <f t="shared" si="2258"/>
        <v>0</v>
      </c>
      <c r="BL298" s="209">
        <f t="shared" si="2259"/>
        <v>0</v>
      </c>
      <c r="BM298" s="209">
        <f t="shared" si="2260"/>
        <v>0</v>
      </c>
      <c r="BN298" s="209">
        <f t="shared" si="2261"/>
        <v>0</v>
      </c>
      <c r="BO298" s="209">
        <f t="shared" si="2262"/>
        <v>0</v>
      </c>
      <c r="BP298" s="209">
        <f t="shared" si="2263"/>
        <v>0</v>
      </c>
      <c r="BQ298" s="209">
        <f t="shared" si="2264"/>
        <v>0</v>
      </c>
      <c r="BR298" s="209">
        <f t="shared" si="2265"/>
        <v>0</v>
      </c>
      <c r="BS298" s="209">
        <f t="shared" si="2266"/>
        <v>0</v>
      </c>
      <c r="BT298" s="209">
        <f t="shared" si="2267"/>
        <v>0</v>
      </c>
      <c r="BU298" s="209">
        <f t="shared" si="2268"/>
        <v>0</v>
      </c>
      <c r="BV298" s="209">
        <f t="shared" si="2269"/>
        <v>215</v>
      </c>
      <c r="BW298" s="209">
        <f t="shared" si="2270"/>
        <v>0</v>
      </c>
      <c r="BX298" s="209">
        <f t="shared" si="2271"/>
        <v>0</v>
      </c>
      <c r="BY298" s="209">
        <f t="shared" si="2272"/>
        <v>0</v>
      </c>
      <c r="BZ298" s="209">
        <f t="shared" si="2273"/>
        <v>0</v>
      </c>
      <c r="CA298" s="209">
        <f t="shared" si="2274"/>
        <v>0</v>
      </c>
      <c r="CB298" s="209">
        <f t="shared" si="2275"/>
        <v>0</v>
      </c>
      <c r="CC298" s="209">
        <f t="shared" si="2276"/>
        <v>0</v>
      </c>
      <c r="CD298" s="209">
        <f t="shared" si="2277"/>
        <v>0</v>
      </c>
      <c r="CE298" s="209">
        <f t="shared" si="2278"/>
        <v>0</v>
      </c>
      <c r="CF298" s="209">
        <f t="shared" si="2279"/>
        <v>0</v>
      </c>
    </row>
    <row r="299" spans="2:85" outlineLevel="1">
      <c r="C299" s="27" t="s">
        <v>1000</v>
      </c>
      <c r="D299" s="55">
        <v>215</v>
      </c>
      <c r="E299" s="88" t="s">
        <v>875</v>
      </c>
      <c r="F299" s="56">
        <v>5.45</v>
      </c>
      <c r="G299" s="57">
        <f t="shared" si="2280"/>
        <v>1171.75</v>
      </c>
      <c r="H299" s="28"/>
      <c r="I299" s="59" t="str">
        <f t="shared" si="2230"/>
        <v/>
      </c>
      <c r="J299" s="60"/>
      <c r="K299" s="59" t="str">
        <f t="shared" si="2231"/>
        <v/>
      </c>
      <c r="L299" s="60"/>
      <c r="M299" s="59" t="str">
        <f t="shared" si="2232"/>
        <v/>
      </c>
      <c r="N299" s="60"/>
      <c r="O299" s="59" t="str">
        <f t="shared" si="2233"/>
        <v/>
      </c>
      <c r="P299" s="60"/>
      <c r="Q299" s="59" t="str">
        <f t="shared" si="2234"/>
        <v/>
      </c>
      <c r="R299" s="60"/>
      <c r="S299" s="59" t="str">
        <f t="shared" si="2235"/>
        <v/>
      </c>
      <c r="T299" s="60"/>
      <c r="U299" s="59" t="str">
        <f t="shared" si="2236"/>
        <v/>
      </c>
      <c r="V299" s="60"/>
      <c r="W299" s="59" t="str">
        <f t="shared" si="2237"/>
        <v/>
      </c>
      <c r="X299" s="95"/>
      <c r="Y299" s="59" t="str">
        <f t="shared" si="2238"/>
        <v/>
      </c>
      <c r="Z299" s="95"/>
      <c r="AA299" s="59" t="str">
        <f t="shared" si="2239"/>
        <v/>
      </c>
      <c r="AB299" s="60"/>
      <c r="AC299" s="59" t="str">
        <f t="shared" si="2240"/>
        <v/>
      </c>
      <c r="AD299" s="60"/>
      <c r="AE299" s="59" t="str">
        <f t="shared" si="2241"/>
        <v/>
      </c>
      <c r="AF299" s="95"/>
      <c r="AG299" s="59" t="str">
        <f t="shared" si="2242"/>
        <v/>
      </c>
      <c r="AH299" s="95">
        <f t="shared" si="2283"/>
        <v>215</v>
      </c>
      <c r="AI299" s="59">
        <f t="shared" si="2243"/>
        <v>1171.75</v>
      </c>
      <c r="AJ299" s="60"/>
      <c r="AK299" s="59" t="str">
        <f t="shared" si="2244"/>
        <v/>
      </c>
      <c r="AL299" s="60"/>
      <c r="AM299" s="59" t="str">
        <f t="shared" si="2245"/>
        <v/>
      </c>
      <c r="AN299" s="60"/>
      <c r="AO299" s="59" t="str">
        <f t="shared" si="2246"/>
        <v/>
      </c>
      <c r="AP299" s="60"/>
      <c r="AQ299" s="59" t="str">
        <f t="shared" si="2247"/>
        <v/>
      </c>
      <c r="AR299" s="60"/>
      <c r="AS299" s="59" t="str">
        <f t="shared" si="2248"/>
        <v/>
      </c>
      <c r="AT299" s="60"/>
      <c r="AU299" s="59" t="str">
        <f t="shared" si="2249"/>
        <v/>
      </c>
      <c r="AV299" s="60"/>
      <c r="AW299" s="59" t="str">
        <f t="shared" si="2250"/>
        <v/>
      </c>
      <c r="AX299" s="60"/>
      <c r="AY299" s="59" t="str">
        <f t="shared" si="2251"/>
        <v/>
      </c>
      <c r="AZ299" s="60"/>
      <c r="BA299" s="59" t="str">
        <f t="shared" si="2252"/>
        <v/>
      </c>
      <c r="BB299" s="60"/>
      <c r="BC299" s="59" t="str">
        <f t="shared" si="2253"/>
        <v/>
      </c>
      <c r="BD299" s="61">
        <f t="shared" si="2281"/>
        <v>215</v>
      </c>
      <c r="BE299" s="59">
        <f t="shared" si="2254"/>
        <v>1171.75</v>
      </c>
      <c r="BF299" s="208">
        <f t="shared" si="2282"/>
        <v>0</v>
      </c>
      <c r="BG299" s="205">
        <f t="shared" si="2255"/>
        <v>0</v>
      </c>
      <c r="BH299" s="184"/>
      <c r="BI299" s="209">
        <f t="shared" si="2256"/>
        <v>0</v>
      </c>
      <c r="BJ299" s="209">
        <f t="shared" si="2257"/>
        <v>0</v>
      </c>
      <c r="BK299" s="209">
        <f t="shared" si="2258"/>
        <v>0</v>
      </c>
      <c r="BL299" s="209">
        <f t="shared" si="2259"/>
        <v>0</v>
      </c>
      <c r="BM299" s="209">
        <f t="shared" si="2260"/>
        <v>0</v>
      </c>
      <c r="BN299" s="209">
        <f t="shared" si="2261"/>
        <v>0</v>
      </c>
      <c r="BO299" s="209">
        <f t="shared" si="2262"/>
        <v>0</v>
      </c>
      <c r="BP299" s="209">
        <f t="shared" si="2263"/>
        <v>0</v>
      </c>
      <c r="BQ299" s="209">
        <f t="shared" si="2264"/>
        <v>0</v>
      </c>
      <c r="BR299" s="209">
        <f t="shared" si="2265"/>
        <v>0</v>
      </c>
      <c r="BS299" s="209">
        <f t="shared" si="2266"/>
        <v>0</v>
      </c>
      <c r="BT299" s="209">
        <f t="shared" si="2267"/>
        <v>0</v>
      </c>
      <c r="BU299" s="209">
        <f t="shared" si="2268"/>
        <v>0</v>
      </c>
      <c r="BV299" s="209">
        <f t="shared" si="2269"/>
        <v>215</v>
      </c>
      <c r="BW299" s="209">
        <f t="shared" si="2270"/>
        <v>0</v>
      </c>
      <c r="BX299" s="209">
        <f t="shared" si="2271"/>
        <v>0</v>
      </c>
      <c r="BY299" s="209">
        <f t="shared" si="2272"/>
        <v>0</v>
      </c>
      <c r="BZ299" s="209">
        <f t="shared" si="2273"/>
        <v>0</v>
      </c>
      <c r="CA299" s="209">
        <f t="shared" si="2274"/>
        <v>0</v>
      </c>
      <c r="CB299" s="209">
        <f t="shared" si="2275"/>
        <v>0</v>
      </c>
      <c r="CC299" s="209">
        <f t="shared" si="2276"/>
        <v>0</v>
      </c>
      <c r="CD299" s="209">
        <f t="shared" si="2277"/>
        <v>0</v>
      </c>
      <c r="CE299" s="209">
        <f t="shared" si="2278"/>
        <v>0</v>
      </c>
      <c r="CF299" s="209">
        <f t="shared" si="2279"/>
        <v>0</v>
      </c>
    </row>
    <row r="300" spans="2:85" outlineLevel="1">
      <c r="C300" s="27" t="s">
        <v>1001</v>
      </c>
      <c r="D300" s="55">
        <v>20</v>
      </c>
      <c r="E300" s="88" t="s">
        <v>828</v>
      </c>
      <c r="F300" s="56">
        <v>1.77</v>
      </c>
      <c r="G300" s="57">
        <f t="shared" si="2280"/>
        <v>35.4</v>
      </c>
      <c r="H300" s="28"/>
      <c r="I300" s="59" t="str">
        <f t="shared" si="2230"/>
        <v/>
      </c>
      <c r="J300" s="60"/>
      <c r="K300" s="59" t="str">
        <f t="shared" si="2231"/>
        <v/>
      </c>
      <c r="L300" s="60"/>
      <c r="M300" s="59" t="str">
        <f t="shared" si="2232"/>
        <v/>
      </c>
      <c r="N300" s="60"/>
      <c r="O300" s="59" t="str">
        <f t="shared" si="2233"/>
        <v/>
      </c>
      <c r="P300" s="60"/>
      <c r="Q300" s="59" t="str">
        <f t="shared" si="2234"/>
        <v/>
      </c>
      <c r="R300" s="60"/>
      <c r="S300" s="59" t="str">
        <f t="shared" si="2235"/>
        <v/>
      </c>
      <c r="T300" s="60"/>
      <c r="U300" s="59" t="str">
        <f t="shared" si="2236"/>
        <v/>
      </c>
      <c r="V300" s="60"/>
      <c r="W300" s="59" t="str">
        <f t="shared" si="2237"/>
        <v/>
      </c>
      <c r="X300" s="95"/>
      <c r="Y300" s="59" t="str">
        <f t="shared" si="2238"/>
        <v/>
      </c>
      <c r="Z300" s="95"/>
      <c r="AA300" s="59" t="str">
        <f t="shared" si="2239"/>
        <v/>
      </c>
      <c r="AB300" s="60"/>
      <c r="AC300" s="59" t="str">
        <f t="shared" si="2240"/>
        <v/>
      </c>
      <c r="AD300" s="60"/>
      <c r="AE300" s="59" t="str">
        <f t="shared" si="2241"/>
        <v/>
      </c>
      <c r="AF300" s="95"/>
      <c r="AG300" s="59" t="str">
        <f t="shared" si="2242"/>
        <v/>
      </c>
      <c r="AH300" s="95">
        <f t="shared" si="2283"/>
        <v>20</v>
      </c>
      <c r="AI300" s="59">
        <f t="shared" si="2243"/>
        <v>35.4</v>
      </c>
      <c r="AJ300" s="60"/>
      <c r="AK300" s="59" t="str">
        <f t="shared" si="2244"/>
        <v/>
      </c>
      <c r="AL300" s="60"/>
      <c r="AM300" s="59" t="str">
        <f t="shared" si="2245"/>
        <v/>
      </c>
      <c r="AN300" s="60"/>
      <c r="AO300" s="59" t="str">
        <f t="shared" si="2246"/>
        <v/>
      </c>
      <c r="AP300" s="60"/>
      <c r="AQ300" s="59" t="str">
        <f t="shared" si="2247"/>
        <v/>
      </c>
      <c r="AR300" s="60"/>
      <c r="AS300" s="59" t="str">
        <f t="shared" si="2248"/>
        <v/>
      </c>
      <c r="AT300" s="60"/>
      <c r="AU300" s="59" t="str">
        <f t="shared" si="2249"/>
        <v/>
      </c>
      <c r="AV300" s="60"/>
      <c r="AW300" s="59" t="str">
        <f t="shared" si="2250"/>
        <v/>
      </c>
      <c r="AX300" s="60"/>
      <c r="AY300" s="59" t="str">
        <f t="shared" si="2251"/>
        <v/>
      </c>
      <c r="AZ300" s="60"/>
      <c r="BA300" s="59" t="str">
        <f t="shared" si="2252"/>
        <v/>
      </c>
      <c r="BB300" s="60"/>
      <c r="BC300" s="59" t="str">
        <f t="shared" si="2253"/>
        <v/>
      </c>
      <c r="BD300" s="61">
        <f t="shared" si="2281"/>
        <v>20</v>
      </c>
      <c r="BE300" s="59">
        <f t="shared" si="2254"/>
        <v>35.4</v>
      </c>
      <c r="BF300" s="208">
        <f t="shared" si="2282"/>
        <v>0</v>
      </c>
      <c r="BG300" s="205">
        <f t="shared" si="2255"/>
        <v>0</v>
      </c>
      <c r="BH300" s="184"/>
      <c r="BI300" s="209">
        <f t="shared" si="2256"/>
        <v>0</v>
      </c>
      <c r="BJ300" s="209">
        <f t="shared" si="2257"/>
        <v>0</v>
      </c>
      <c r="BK300" s="209">
        <f t="shared" si="2258"/>
        <v>0</v>
      </c>
      <c r="BL300" s="209">
        <f t="shared" si="2259"/>
        <v>0</v>
      </c>
      <c r="BM300" s="209">
        <f t="shared" si="2260"/>
        <v>0</v>
      </c>
      <c r="BN300" s="209">
        <f t="shared" si="2261"/>
        <v>0</v>
      </c>
      <c r="BO300" s="209">
        <f t="shared" si="2262"/>
        <v>0</v>
      </c>
      <c r="BP300" s="209">
        <f t="shared" si="2263"/>
        <v>0</v>
      </c>
      <c r="BQ300" s="209">
        <f t="shared" si="2264"/>
        <v>0</v>
      </c>
      <c r="BR300" s="209">
        <f t="shared" si="2265"/>
        <v>0</v>
      </c>
      <c r="BS300" s="209">
        <f t="shared" si="2266"/>
        <v>0</v>
      </c>
      <c r="BT300" s="209">
        <f t="shared" si="2267"/>
        <v>0</v>
      </c>
      <c r="BU300" s="209">
        <f t="shared" si="2268"/>
        <v>0</v>
      </c>
      <c r="BV300" s="209">
        <f t="shared" si="2269"/>
        <v>20</v>
      </c>
      <c r="BW300" s="209">
        <f t="shared" si="2270"/>
        <v>0</v>
      </c>
      <c r="BX300" s="209">
        <f t="shared" si="2271"/>
        <v>0</v>
      </c>
      <c r="BY300" s="209">
        <f t="shared" si="2272"/>
        <v>0</v>
      </c>
      <c r="BZ300" s="209">
        <f t="shared" si="2273"/>
        <v>0</v>
      </c>
      <c r="CA300" s="209">
        <f t="shared" si="2274"/>
        <v>0</v>
      </c>
      <c r="CB300" s="209">
        <f t="shared" si="2275"/>
        <v>0</v>
      </c>
      <c r="CC300" s="209">
        <f t="shared" si="2276"/>
        <v>0</v>
      </c>
      <c r="CD300" s="209">
        <f t="shared" si="2277"/>
        <v>0</v>
      </c>
      <c r="CE300" s="209">
        <f t="shared" si="2278"/>
        <v>0</v>
      </c>
      <c r="CF300" s="209">
        <f t="shared" si="2279"/>
        <v>0</v>
      </c>
    </row>
    <row r="301" spans="2:85" outlineLevel="1">
      <c r="C301" s="27" t="s">
        <v>1002</v>
      </c>
      <c r="G301" s="57"/>
      <c r="H301" s="28"/>
      <c r="I301" s="59" t="str">
        <f t="shared" si="2230"/>
        <v/>
      </c>
      <c r="J301" s="60"/>
      <c r="K301" s="59" t="str">
        <f t="shared" si="2231"/>
        <v/>
      </c>
      <c r="L301" s="60"/>
      <c r="M301" s="59" t="str">
        <f t="shared" si="2232"/>
        <v/>
      </c>
      <c r="N301" s="60"/>
      <c r="O301" s="59" t="str">
        <f t="shared" si="2233"/>
        <v/>
      </c>
      <c r="P301" s="60"/>
      <c r="Q301" s="59" t="str">
        <f t="shared" si="2234"/>
        <v/>
      </c>
      <c r="R301" s="60"/>
      <c r="S301" s="59" t="str">
        <f t="shared" si="2235"/>
        <v/>
      </c>
      <c r="T301" s="60"/>
      <c r="U301" s="59" t="str">
        <f t="shared" si="2236"/>
        <v/>
      </c>
      <c r="V301" s="60"/>
      <c r="W301" s="59" t="str">
        <f t="shared" si="2237"/>
        <v/>
      </c>
      <c r="X301" s="95"/>
      <c r="Y301" s="59" t="str">
        <f t="shared" si="2238"/>
        <v/>
      </c>
      <c r="Z301" s="95"/>
      <c r="AA301" s="59" t="str">
        <f t="shared" si="2239"/>
        <v/>
      </c>
      <c r="AB301" s="60"/>
      <c r="AC301" s="59" t="str">
        <f t="shared" si="2240"/>
        <v/>
      </c>
      <c r="AD301" s="60"/>
      <c r="AE301" s="59" t="str">
        <f t="shared" si="2241"/>
        <v/>
      </c>
      <c r="AF301" s="95"/>
      <c r="AG301" s="59" t="str">
        <f t="shared" si="2242"/>
        <v/>
      </c>
      <c r="AH301" s="95"/>
      <c r="AI301" s="59" t="str">
        <f t="shared" si="2243"/>
        <v/>
      </c>
      <c r="AJ301" s="60"/>
      <c r="AK301" s="59" t="str">
        <f t="shared" si="2244"/>
        <v/>
      </c>
      <c r="AL301" s="60"/>
      <c r="AM301" s="59" t="str">
        <f t="shared" si="2245"/>
        <v/>
      </c>
      <c r="AN301" s="60"/>
      <c r="AO301" s="59" t="str">
        <f t="shared" si="2246"/>
        <v/>
      </c>
      <c r="AP301" s="60"/>
      <c r="AQ301" s="59" t="str">
        <f t="shared" si="2247"/>
        <v/>
      </c>
      <c r="AR301" s="60"/>
      <c r="AS301" s="59" t="str">
        <f t="shared" si="2248"/>
        <v/>
      </c>
      <c r="AT301" s="60"/>
      <c r="AU301" s="59" t="str">
        <f t="shared" si="2249"/>
        <v/>
      </c>
      <c r="AV301" s="60"/>
      <c r="AW301" s="59" t="str">
        <f t="shared" si="2250"/>
        <v/>
      </c>
      <c r="AX301" s="60"/>
      <c r="AY301" s="59" t="str">
        <f t="shared" si="2251"/>
        <v/>
      </c>
      <c r="AZ301" s="60"/>
      <c r="BA301" s="59" t="str">
        <f t="shared" si="2252"/>
        <v/>
      </c>
      <c r="BB301" s="60"/>
      <c r="BC301" s="59" t="str">
        <f t="shared" si="2253"/>
        <v/>
      </c>
      <c r="BD301" s="61"/>
      <c r="BE301" s="59" t="str">
        <f t="shared" si="2254"/>
        <v/>
      </c>
      <c r="BF301" s="208"/>
      <c r="BG301" s="205" t="str">
        <f t="shared" si="2255"/>
        <v/>
      </c>
      <c r="BH301" s="184"/>
      <c r="BI301" s="209">
        <f t="shared" si="2256"/>
        <v>0</v>
      </c>
      <c r="BJ301" s="209">
        <f t="shared" si="2257"/>
        <v>0</v>
      </c>
      <c r="BK301" s="209">
        <f t="shared" si="2258"/>
        <v>0</v>
      </c>
      <c r="BL301" s="209">
        <f t="shared" si="2259"/>
        <v>0</v>
      </c>
      <c r="BM301" s="209">
        <f t="shared" si="2260"/>
        <v>0</v>
      </c>
      <c r="BN301" s="209">
        <f t="shared" si="2261"/>
        <v>0</v>
      </c>
      <c r="BO301" s="209">
        <f t="shared" si="2262"/>
        <v>0</v>
      </c>
      <c r="BP301" s="209">
        <f t="shared" si="2263"/>
        <v>0</v>
      </c>
      <c r="BQ301" s="209">
        <f t="shared" si="2264"/>
        <v>0</v>
      </c>
      <c r="BR301" s="209">
        <f t="shared" si="2265"/>
        <v>0</v>
      </c>
      <c r="BS301" s="209">
        <f t="shared" si="2266"/>
        <v>0</v>
      </c>
      <c r="BT301" s="209">
        <f t="shared" si="2267"/>
        <v>0</v>
      </c>
      <c r="BU301" s="209">
        <f t="shared" si="2268"/>
        <v>0</v>
      </c>
      <c r="BV301" s="209">
        <f t="shared" si="2269"/>
        <v>0</v>
      </c>
      <c r="BW301" s="209">
        <f t="shared" si="2270"/>
        <v>0</v>
      </c>
      <c r="BX301" s="209">
        <f t="shared" si="2271"/>
        <v>0</v>
      </c>
      <c r="BY301" s="209">
        <f t="shared" si="2272"/>
        <v>0</v>
      </c>
      <c r="BZ301" s="209">
        <f t="shared" si="2273"/>
        <v>0</v>
      </c>
      <c r="CA301" s="209">
        <f t="shared" si="2274"/>
        <v>0</v>
      </c>
      <c r="CB301" s="209">
        <f t="shared" si="2275"/>
        <v>0</v>
      </c>
      <c r="CC301" s="209">
        <f t="shared" si="2276"/>
        <v>0</v>
      </c>
      <c r="CD301" s="209">
        <f t="shared" si="2277"/>
        <v>0</v>
      </c>
      <c r="CE301" s="209">
        <f t="shared" si="2278"/>
        <v>0</v>
      </c>
      <c r="CF301" s="209">
        <f t="shared" si="2279"/>
        <v>0</v>
      </c>
    </row>
    <row r="302" spans="2:85" outlineLevel="1">
      <c r="C302" s="27" t="s">
        <v>991</v>
      </c>
      <c r="D302" s="55">
        <v>85.7</v>
      </c>
      <c r="E302" s="88" t="s">
        <v>875</v>
      </c>
      <c r="F302" s="56">
        <v>2.36</v>
      </c>
      <c r="G302" s="57">
        <f t="shared" si="2280"/>
        <v>202.25200000000001</v>
      </c>
      <c r="H302" s="28"/>
      <c r="I302" s="59" t="str">
        <f t="shared" si="2230"/>
        <v/>
      </c>
      <c r="J302" s="60"/>
      <c r="K302" s="59" t="str">
        <f t="shared" si="2231"/>
        <v/>
      </c>
      <c r="L302" s="60"/>
      <c r="M302" s="59" t="str">
        <f t="shared" si="2232"/>
        <v/>
      </c>
      <c r="N302" s="60"/>
      <c r="O302" s="59" t="str">
        <f t="shared" si="2233"/>
        <v/>
      </c>
      <c r="P302" s="60"/>
      <c r="Q302" s="59" t="str">
        <f t="shared" si="2234"/>
        <v/>
      </c>
      <c r="R302" s="60"/>
      <c r="S302" s="59" t="str">
        <f t="shared" si="2235"/>
        <v/>
      </c>
      <c r="T302" s="60"/>
      <c r="U302" s="59" t="str">
        <f t="shared" si="2236"/>
        <v/>
      </c>
      <c r="V302" s="60"/>
      <c r="W302" s="59" t="str">
        <f t="shared" si="2237"/>
        <v/>
      </c>
      <c r="X302" s="95"/>
      <c r="Y302" s="59" t="str">
        <f t="shared" si="2238"/>
        <v/>
      </c>
      <c r="Z302" s="95"/>
      <c r="AA302" s="59" t="str">
        <f t="shared" si="2239"/>
        <v/>
      </c>
      <c r="AB302" s="60"/>
      <c r="AC302" s="59" t="str">
        <f t="shared" si="2240"/>
        <v/>
      </c>
      <c r="AD302" s="60"/>
      <c r="AE302" s="59" t="str">
        <f t="shared" si="2241"/>
        <v/>
      </c>
      <c r="AF302" s="95"/>
      <c r="AG302" s="59" t="str">
        <f t="shared" si="2242"/>
        <v/>
      </c>
      <c r="AH302" s="95">
        <f t="shared" si="2283"/>
        <v>85.7</v>
      </c>
      <c r="AI302" s="59">
        <f t="shared" si="2243"/>
        <v>202.25200000000001</v>
      </c>
      <c r="AJ302" s="60"/>
      <c r="AK302" s="59" t="str">
        <f t="shared" si="2244"/>
        <v/>
      </c>
      <c r="AL302" s="60"/>
      <c r="AM302" s="59" t="str">
        <f t="shared" si="2245"/>
        <v/>
      </c>
      <c r="AN302" s="60"/>
      <c r="AO302" s="59" t="str">
        <f t="shared" si="2246"/>
        <v/>
      </c>
      <c r="AP302" s="60"/>
      <c r="AQ302" s="59" t="str">
        <f t="shared" si="2247"/>
        <v/>
      </c>
      <c r="AR302" s="60"/>
      <c r="AS302" s="59" t="str">
        <f t="shared" si="2248"/>
        <v/>
      </c>
      <c r="AT302" s="60"/>
      <c r="AU302" s="59" t="str">
        <f t="shared" si="2249"/>
        <v/>
      </c>
      <c r="AV302" s="60"/>
      <c r="AW302" s="59" t="str">
        <f t="shared" si="2250"/>
        <v/>
      </c>
      <c r="AX302" s="60"/>
      <c r="AY302" s="59" t="str">
        <f t="shared" si="2251"/>
        <v/>
      </c>
      <c r="AZ302" s="60"/>
      <c r="BA302" s="59" t="str">
        <f t="shared" si="2252"/>
        <v/>
      </c>
      <c r="BB302" s="60"/>
      <c r="BC302" s="59" t="str">
        <f t="shared" si="2253"/>
        <v/>
      </c>
      <c r="BD302" s="61">
        <f t="shared" si="2281"/>
        <v>85.7</v>
      </c>
      <c r="BE302" s="59">
        <f t="shared" si="2254"/>
        <v>202.25200000000001</v>
      </c>
      <c r="BF302" s="208">
        <f t="shared" si="2282"/>
        <v>0</v>
      </c>
      <c r="BG302" s="205">
        <f t="shared" si="2255"/>
        <v>0</v>
      </c>
      <c r="BH302" s="184"/>
      <c r="BI302" s="209">
        <f t="shared" si="2256"/>
        <v>0</v>
      </c>
      <c r="BJ302" s="209">
        <f t="shared" si="2257"/>
        <v>0</v>
      </c>
      <c r="BK302" s="209">
        <f t="shared" si="2258"/>
        <v>0</v>
      </c>
      <c r="BL302" s="209">
        <f t="shared" si="2259"/>
        <v>0</v>
      </c>
      <c r="BM302" s="209">
        <f t="shared" si="2260"/>
        <v>0</v>
      </c>
      <c r="BN302" s="209">
        <f t="shared" si="2261"/>
        <v>0</v>
      </c>
      <c r="BO302" s="209">
        <f t="shared" si="2262"/>
        <v>0</v>
      </c>
      <c r="BP302" s="209">
        <f t="shared" si="2263"/>
        <v>0</v>
      </c>
      <c r="BQ302" s="209">
        <f t="shared" si="2264"/>
        <v>0</v>
      </c>
      <c r="BR302" s="209">
        <f t="shared" si="2265"/>
        <v>0</v>
      </c>
      <c r="BS302" s="209">
        <f t="shared" si="2266"/>
        <v>0</v>
      </c>
      <c r="BT302" s="209">
        <f t="shared" si="2267"/>
        <v>0</v>
      </c>
      <c r="BU302" s="209">
        <f t="shared" si="2268"/>
        <v>0</v>
      </c>
      <c r="BV302" s="209">
        <f t="shared" si="2269"/>
        <v>85.7</v>
      </c>
      <c r="BW302" s="209">
        <f t="shared" si="2270"/>
        <v>0</v>
      </c>
      <c r="BX302" s="209">
        <f t="shared" si="2271"/>
        <v>0</v>
      </c>
      <c r="BY302" s="209">
        <f t="shared" si="2272"/>
        <v>0</v>
      </c>
      <c r="BZ302" s="209">
        <f t="shared" si="2273"/>
        <v>0</v>
      </c>
      <c r="CA302" s="209">
        <f t="shared" si="2274"/>
        <v>0</v>
      </c>
      <c r="CB302" s="209">
        <f t="shared" si="2275"/>
        <v>0</v>
      </c>
      <c r="CC302" s="209">
        <f t="shared" si="2276"/>
        <v>0</v>
      </c>
      <c r="CD302" s="209">
        <f t="shared" si="2277"/>
        <v>0</v>
      </c>
      <c r="CE302" s="209">
        <f t="shared" si="2278"/>
        <v>0</v>
      </c>
      <c r="CF302" s="209">
        <f t="shared" si="2279"/>
        <v>0</v>
      </c>
    </row>
    <row r="303" spans="2:85" outlineLevel="1">
      <c r="C303" s="27" t="s">
        <v>993</v>
      </c>
      <c r="D303" s="55">
        <v>85.7</v>
      </c>
      <c r="E303" s="88" t="s">
        <v>875</v>
      </c>
      <c r="F303" s="56">
        <v>2.68</v>
      </c>
      <c r="G303" s="57">
        <f t="shared" si="2280"/>
        <v>229.67600000000002</v>
      </c>
      <c r="H303" s="28"/>
      <c r="I303" s="59" t="str">
        <f t="shared" si="2230"/>
        <v/>
      </c>
      <c r="J303" s="60"/>
      <c r="K303" s="59" t="str">
        <f t="shared" si="2231"/>
        <v/>
      </c>
      <c r="L303" s="60"/>
      <c r="M303" s="59" t="str">
        <f t="shared" si="2232"/>
        <v/>
      </c>
      <c r="N303" s="60"/>
      <c r="O303" s="59" t="str">
        <f t="shared" si="2233"/>
        <v/>
      </c>
      <c r="P303" s="60"/>
      <c r="Q303" s="59" t="str">
        <f t="shared" si="2234"/>
        <v/>
      </c>
      <c r="R303" s="60"/>
      <c r="S303" s="59" t="str">
        <f t="shared" si="2235"/>
        <v/>
      </c>
      <c r="T303" s="60"/>
      <c r="U303" s="59" t="str">
        <f t="shared" si="2236"/>
        <v/>
      </c>
      <c r="V303" s="60"/>
      <c r="W303" s="59" t="str">
        <f t="shared" si="2237"/>
        <v/>
      </c>
      <c r="X303" s="95"/>
      <c r="Y303" s="59" t="str">
        <f t="shared" si="2238"/>
        <v/>
      </c>
      <c r="Z303" s="95"/>
      <c r="AA303" s="59" t="str">
        <f t="shared" si="2239"/>
        <v/>
      </c>
      <c r="AB303" s="60"/>
      <c r="AC303" s="59" t="str">
        <f t="shared" si="2240"/>
        <v/>
      </c>
      <c r="AD303" s="60"/>
      <c r="AE303" s="59" t="str">
        <f t="shared" si="2241"/>
        <v/>
      </c>
      <c r="AF303" s="95"/>
      <c r="AG303" s="59" t="str">
        <f t="shared" si="2242"/>
        <v/>
      </c>
      <c r="AH303" s="95">
        <f t="shared" si="2283"/>
        <v>85.7</v>
      </c>
      <c r="AI303" s="59">
        <f t="shared" si="2243"/>
        <v>229.67600000000002</v>
      </c>
      <c r="AJ303" s="60"/>
      <c r="AK303" s="59" t="str">
        <f t="shared" si="2244"/>
        <v/>
      </c>
      <c r="AL303" s="60"/>
      <c r="AM303" s="59" t="str">
        <f t="shared" si="2245"/>
        <v/>
      </c>
      <c r="AN303" s="60"/>
      <c r="AO303" s="59" t="str">
        <f t="shared" si="2246"/>
        <v/>
      </c>
      <c r="AP303" s="60"/>
      <c r="AQ303" s="59" t="str">
        <f t="shared" si="2247"/>
        <v/>
      </c>
      <c r="AR303" s="60"/>
      <c r="AS303" s="59" t="str">
        <f t="shared" si="2248"/>
        <v/>
      </c>
      <c r="AT303" s="60"/>
      <c r="AU303" s="59" t="str">
        <f t="shared" si="2249"/>
        <v/>
      </c>
      <c r="AV303" s="60"/>
      <c r="AW303" s="59" t="str">
        <f t="shared" si="2250"/>
        <v/>
      </c>
      <c r="AX303" s="60"/>
      <c r="AY303" s="59" t="str">
        <f t="shared" si="2251"/>
        <v/>
      </c>
      <c r="AZ303" s="60"/>
      <c r="BA303" s="59" t="str">
        <f t="shared" si="2252"/>
        <v/>
      </c>
      <c r="BB303" s="60"/>
      <c r="BC303" s="59" t="str">
        <f t="shared" si="2253"/>
        <v/>
      </c>
      <c r="BD303" s="61">
        <f t="shared" si="2281"/>
        <v>85.7</v>
      </c>
      <c r="BE303" s="59">
        <f t="shared" si="2254"/>
        <v>229.67600000000002</v>
      </c>
      <c r="BF303" s="208">
        <f t="shared" si="2282"/>
        <v>0</v>
      </c>
      <c r="BG303" s="205">
        <f t="shared" si="2255"/>
        <v>0</v>
      </c>
      <c r="BH303" s="184"/>
      <c r="BI303" s="209">
        <f t="shared" si="2256"/>
        <v>0</v>
      </c>
      <c r="BJ303" s="209">
        <f t="shared" si="2257"/>
        <v>0</v>
      </c>
      <c r="BK303" s="209">
        <f t="shared" si="2258"/>
        <v>0</v>
      </c>
      <c r="BL303" s="209">
        <f t="shared" si="2259"/>
        <v>0</v>
      </c>
      <c r="BM303" s="209">
        <f t="shared" si="2260"/>
        <v>0</v>
      </c>
      <c r="BN303" s="209">
        <f t="shared" si="2261"/>
        <v>0</v>
      </c>
      <c r="BO303" s="209">
        <f t="shared" si="2262"/>
        <v>0</v>
      </c>
      <c r="BP303" s="209">
        <f t="shared" si="2263"/>
        <v>0</v>
      </c>
      <c r="BQ303" s="209">
        <f t="shared" si="2264"/>
        <v>0</v>
      </c>
      <c r="BR303" s="209">
        <f t="shared" si="2265"/>
        <v>0</v>
      </c>
      <c r="BS303" s="209">
        <f t="shared" si="2266"/>
        <v>0</v>
      </c>
      <c r="BT303" s="209">
        <f t="shared" si="2267"/>
        <v>0</v>
      </c>
      <c r="BU303" s="209">
        <f t="shared" si="2268"/>
        <v>0</v>
      </c>
      <c r="BV303" s="209">
        <f t="shared" si="2269"/>
        <v>85.7</v>
      </c>
      <c r="BW303" s="209">
        <f t="shared" si="2270"/>
        <v>0</v>
      </c>
      <c r="BX303" s="209">
        <f t="shared" si="2271"/>
        <v>0</v>
      </c>
      <c r="BY303" s="209">
        <f t="shared" si="2272"/>
        <v>0</v>
      </c>
      <c r="BZ303" s="209">
        <f t="shared" si="2273"/>
        <v>0</v>
      </c>
      <c r="CA303" s="209">
        <f t="shared" si="2274"/>
        <v>0</v>
      </c>
      <c r="CB303" s="209">
        <f t="shared" si="2275"/>
        <v>0</v>
      </c>
      <c r="CC303" s="209">
        <f t="shared" si="2276"/>
        <v>0</v>
      </c>
      <c r="CD303" s="209">
        <f t="shared" si="2277"/>
        <v>0</v>
      </c>
      <c r="CE303" s="209">
        <f t="shared" si="2278"/>
        <v>0</v>
      </c>
      <c r="CF303" s="209">
        <f t="shared" si="2279"/>
        <v>0</v>
      </c>
    </row>
    <row r="304" spans="2:85" s="6" customFormat="1" ht="18" customHeight="1">
      <c r="B304" s="62" t="s">
        <v>988</v>
      </c>
      <c r="C304" s="25" t="s">
        <v>989</v>
      </c>
      <c r="D304" s="49"/>
      <c r="E304" s="85"/>
      <c r="F304" s="50"/>
      <c r="G304" s="63">
        <f>+SUM(G305:G326)</f>
        <v>22470.89</v>
      </c>
      <c r="H304" s="51"/>
      <c r="I304" s="52" t="str">
        <f>IF(SUM(I305:I326)=0,"",SUM(I305:I326))</f>
        <v/>
      </c>
      <c r="J304" s="53"/>
      <c r="K304" s="52" t="str">
        <f>IF(SUM(K305:K326)=0,"",SUM(K305:K326))</f>
        <v/>
      </c>
      <c r="L304" s="53"/>
      <c r="M304" s="52" t="str">
        <f>IF(SUM(M305:M326)=0,"",SUM(M305:M326))</f>
        <v/>
      </c>
      <c r="N304" s="53"/>
      <c r="O304" s="52" t="str">
        <f>IF(SUM(O305:O326)=0,"",SUM(O305:O326))</f>
        <v/>
      </c>
      <c r="P304" s="51"/>
      <c r="Q304" s="52" t="str">
        <f>IF(SUM(Q305:Q326)=0,"",SUM(Q305:Q326))</f>
        <v/>
      </c>
      <c r="R304" s="53"/>
      <c r="S304" s="52" t="str">
        <f>IF(SUM(S305:S326)=0,"",SUM(S305:S326))</f>
        <v/>
      </c>
      <c r="T304" s="53"/>
      <c r="U304" s="52" t="str">
        <f>IF(SUM(U305:U326)=0,"",SUM(U305:U326))</f>
        <v/>
      </c>
      <c r="V304" s="53"/>
      <c r="W304" s="52" t="str">
        <f>IF(SUM(W305:W326)=0,"",SUM(W305:W326))</f>
        <v/>
      </c>
      <c r="X304" s="51"/>
      <c r="Y304" s="52" t="str">
        <f>IF(SUM(Y305:Y326)=0,"",SUM(Y305:Y326))</f>
        <v/>
      </c>
      <c r="Z304" s="53"/>
      <c r="AA304" s="52" t="str">
        <f>IF(SUM(AA305:AA326)=0,"",SUM(AA305:AA326))</f>
        <v/>
      </c>
      <c r="AB304" s="53"/>
      <c r="AC304" s="52" t="str">
        <f>IF(SUM(AC305:AC326)=0,"",SUM(AC305:AC326))</f>
        <v/>
      </c>
      <c r="AD304" s="53"/>
      <c r="AE304" s="52" t="str">
        <f>IF(SUM(AE305:AE326)=0,"",SUM(AE305:AE326))</f>
        <v/>
      </c>
      <c r="AF304" s="192"/>
      <c r="AG304" s="52" t="str">
        <f>IF(SUM(AG305:AG326)=0,"",SUM(AG305:AG326))</f>
        <v/>
      </c>
      <c r="AH304" s="91"/>
      <c r="AI304" s="52" t="str">
        <f>IF(SUM(AI305:AI326)=0,"",SUM(AI305:AI326))</f>
        <v/>
      </c>
      <c r="AJ304" s="53"/>
      <c r="AK304" s="52" t="str">
        <f>IF(SUM(AK305:AK326)=0,"",SUM(AK305:AK326))</f>
        <v/>
      </c>
      <c r="AL304" s="53"/>
      <c r="AM304" s="52" t="str">
        <f>IF(SUM(AM305:AM326)=0,"",SUM(AM305:AM326))</f>
        <v/>
      </c>
      <c r="AN304" s="51"/>
      <c r="AO304" s="52" t="str">
        <f>IF(SUM(AO305:AO326)=0,"",SUM(AO305:AO326))</f>
        <v/>
      </c>
      <c r="AP304" s="53"/>
      <c r="AQ304" s="52" t="str">
        <f>IF(SUM(AQ305:AQ326)=0,"",SUM(AQ305:AQ326))</f>
        <v/>
      </c>
      <c r="AR304" s="53"/>
      <c r="AS304" s="52" t="str">
        <f>IF(SUM(AS305:AS326)=0,"",SUM(AS305:AS326))</f>
        <v/>
      </c>
      <c r="AT304" s="53"/>
      <c r="AU304" s="52" t="str">
        <f>IF(SUM(AU305:AU326)=0,"",SUM(AU305:AU326))</f>
        <v/>
      </c>
      <c r="AV304" s="51"/>
      <c r="AW304" s="52" t="str">
        <f>IF(SUM(AW305:AW326)=0,"",SUM(AW305:AW326))</f>
        <v/>
      </c>
      <c r="AX304" s="53"/>
      <c r="AY304" s="52" t="str">
        <f>IF(SUM(AY305:AY326)=0,"",SUM(AY305:AY326))</f>
        <v/>
      </c>
      <c r="AZ304" s="53"/>
      <c r="BA304" s="52" t="str">
        <f>IF(SUM(BA305:BA326)=0,"",SUM(BA305:BA326))</f>
        <v/>
      </c>
      <c r="BB304" s="53"/>
      <c r="BC304" s="52" t="str">
        <f>IF(SUM(BC305:BC326)=0,"",SUM(BC305:BC326))</f>
        <v/>
      </c>
      <c r="BD304" s="54"/>
      <c r="BE304" s="63">
        <f>+SUM(BE305:BE326)</f>
        <v>0</v>
      </c>
      <c r="BF304" s="54"/>
      <c r="BG304" s="52">
        <f>+SUM(BG305:BG326)</f>
        <v>22470.89</v>
      </c>
      <c r="BH304" s="210"/>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row>
    <row r="305" spans="2:84" ht="112.5" outlineLevel="1">
      <c r="B305" s="202"/>
      <c r="C305" s="27" t="s">
        <v>1004</v>
      </c>
      <c r="D305" s="199"/>
      <c r="E305" s="200"/>
      <c r="F305" s="201"/>
      <c r="G305" s="203"/>
      <c r="H305" s="204"/>
      <c r="I305" s="205" t="str">
        <f>+IF(OR($F305="",H305=""),"",$F305*H305)</f>
        <v/>
      </c>
      <c r="J305" s="206"/>
      <c r="K305" s="205" t="str">
        <f>+IF(OR($F305="",J305=""),"",$F305*J305)</f>
        <v/>
      </c>
      <c r="L305" s="206"/>
      <c r="M305" s="205" t="str">
        <f>+IF(OR($F305="",L305=""),"",$F305*L305)</f>
        <v/>
      </c>
      <c r="N305" s="206"/>
      <c r="O305" s="205" t="str">
        <f>+IF(OR($F305="",N305=""),"",$F305*N305)</f>
        <v/>
      </c>
      <c r="P305" s="206"/>
      <c r="Q305" s="205" t="str">
        <f>+IF(OR($F305="",P305=""),"",$F305*P305)</f>
        <v/>
      </c>
      <c r="R305" s="206"/>
      <c r="S305" s="205" t="str">
        <f>+IF(OR($F305="",R305=""),"",$F305*R305)</f>
        <v/>
      </c>
      <c r="T305" s="206"/>
      <c r="U305" s="205" t="str">
        <f>+IF(OR($F305="",T305=""),"",$F305*T305)</f>
        <v/>
      </c>
      <c r="V305" s="206"/>
      <c r="W305" s="205" t="str">
        <f>+IF(OR($F305="",V305=""),"",$F305*V305)</f>
        <v/>
      </c>
      <c r="X305" s="207"/>
      <c r="Y305" s="205" t="str">
        <f>+IF(OR($F305="",X305=""),"",$F305*X305)</f>
        <v/>
      </c>
      <c r="Z305" s="207"/>
      <c r="AA305" s="205" t="str">
        <f>+IF(OR($F305="",Z305=""),"",$F305*Z305)</f>
        <v/>
      </c>
      <c r="AB305" s="207"/>
      <c r="AC305" s="205" t="str">
        <f>+IF(OR($F305="",AB305=""),"",$F305*AB305)</f>
        <v/>
      </c>
      <c r="AD305" s="207"/>
      <c r="AE305" s="205" t="str">
        <f>+IF(OR($F305="",AD305=""),"",$F305*AD305)</f>
        <v/>
      </c>
      <c r="AF305" s="207"/>
      <c r="AG305" s="205" t="str">
        <f>+IF(OR($F305="",AF305=""),"",$F305*AF305)</f>
        <v/>
      </c>
      <c r="AH305" s="207"/>
      <c r="AI305" s="205" t="str">
        <f>+IF(OR($F305="",AH305=""),"",$F305*AH305)</f>
        <v/>
      </c>
      <c r="AJ305" s="206"/>
      <c r="AK305" s="205" t="str">
        <f>+IF(OR($F305="",AJ305=""),"",$F305*AJ305)</f>
        <v/>
      </c>
      <c r="AL305" s="206"/>
      <c r="AM305" s="205" t="str">
        <f>+IF(OR($F305="",AL305=""),"",$F305*AL305)</f>
        <v/>
      </c>
      <c r="AN305" s="206"/>
      <c r="AO305" s="205" t="str">
        <f>+IF(OR($F305="",AN305=""),"",$F305*AN305)</f>
        <v/>
      </c>
      <c r="AP305" s="206"/>
      <c r="AQ305" s="205" t="str">
        <f>+IF(OR($F305="",AP305=""),"",$F305*AP305)</f>
        <v/>
      </c>
      <c r="AR305" s="206"/>
      <c r="AS305" s="205" t="str">
        <f>+IF(OR($F305="",AR305=""),"",$F305*AR305)</f>
        <v/>
      </c>
      <c r="AT305" s="206"/>
      <c r="AU305" s="205" t="str">
        <f>+IF(OR($F305="",AT305=""),"",$F305*AT305)</f>
        <v/>
      </c>
      <c r="AV305" s="206"/>
      <c r="AW305" s="205" t="str">
        <f>+IF(OR($F305="",AV305=""),"",$F305*AV305)</f>
        <v/>
      </c>
      <c r="AX305" s="206"/>
      <c r="AY305" s="205" t="str">
        <f>+IF(OR($F305="",AX305=""),"",$F305*AX305)</f>
        <v/>
      </c>
      <c r="AZ305" s="206"/>
      <c r="BA305" s="205" t="str">
        <f>+IF(OR($F305="",AZ305=""),"",$F305*AZ305)</f>
        <v/>
      </c>
      <c r="BB305" s="206"/>
      <c r="BC305" s="205" t="str">
        <f>+IF(OR($F305="",BB305=""),"",$F305*BB305)</f>
        <v/>
      </c>
      <c r="BD305" s="208">
        <f>+SUM(BI305:CF305)</f>
        <v>0</v>
      </c>
      <c r="BE305" s="205" t="str">
        <f>+IF(OR($F305="",BD305=""),"",$F305*BD305)</f>
        <v/>
      </c>
      <c r="BF305" s="208">
        <f>+D305-BD305</f>
        <v>0</v>
      </c>
      <c r="BG305" s="205" t="str">
        <f>+IF(OR($F305="",BF305=""),"",$F305*BF305)</f>
        <v/>
      </c>
      <c r="BH305" s="184"/>
      <c r="BI305" s="209">
        <f>+H305</f>
        <v>0</v>
      </c>
      <c r="BJ305" s="209">
        <f>+J305</f>
        <v>0</v>
      </c>
      <c r="BK305" s="209">
        <f>+L305</f>
        <v>0</v>
      </c>
      <c r="BL305" s="209">
        <f>+N305</f>
        <v>0</v>
      </c>
      <c r="BM305" s="209">
        <f>+P305</f>
        <v>0</v>
      </c>
      <c r="BN305" s="209">
        <f>+R305</f>
        <v>0</v>
      </c>
      <c r="BO305" s="209">
        <f>+T305</f>
        <v>0</v>
      </c>
      <c r="BP305" s="209">
        <f>+V305</f>
        <v>0</v>
      </c>
      <c r="BQ305" s="209">
        <f>+X305</f>
        <v>0</v>
      </c>
      <c r="BR305" s="209">
        <f>+Z305</f>
        <v>0</v>
      </c>
      <c r="BS305" s="209">
        <f>+AB305</f>
        <v>0</v>
      </c>
      <c r="BT305" s="209">
        <f>+AD305</f>
        <v>0</v>
      </c>
      <c r="BU305" s="209">
        <f>+AF305</f>
        <v>0</v>
      </c>
      <c r="BV305" s="209">
        <f>+AH305</f>
        <v>0</v>
      </c>
      <c r="BW305" s="209">
        <f>+AJ305</f>
        <v>0</v>
      </c>
      <c r="BX305" s="209">
        <f>+AL305</f>
        <v>0</v>
      </c>
      <c r="BY305" s="209">
        <f>+AN305</f>
        <v>0</v>
      </c>
      <c r="BZ305" s="209">
        <f>+AP305</f>
        <v>0</v>
      </c>
      <c r="CA305" s="209">
        <f>+AR305</f>
        <v>0</v>
      </c>
      <c r="CB305" s="209">
        <f>+AT305</f>
        <v>0</v>
      </c>
      <c r="CC305" s="209">
        <f>+AV305</f>
        <v>0</v>
      </c>
      <c r="CD305" s="209">
        <f>+AX305</f>
        <v>0</v>
      </c>
      <c r="CE305" s="209">
        <f>+AZ305</f>
        <v>0</v>
      </c>
      <c r="CF305" s="209">
        <f>+BB305</f>
        <v>0</v>
      </c>
    </row>
    <row r="306" spans="2:84" ht="33.75" outlineLevel="1">
      <c r="C306" s="27" t="s">
        <v>1005</v>
      </c>
      <c r="D306" s="55">
        <v>-7</v>
      </c>
      <c r="E306" s="88" t="s">
        <v>828</v>
      </c>
      <c r="F306" s="56">
        <v>578.89</v>
      </c>
      <c r="G306" s="57">
        <f t="shared" ref="G306:G326" si="2284">+D306*F306</f>
        <v>-4052.23</v>
      </c>
      <c r="H306" s="28"/>
      <c r="I306" s="59" t="str">
        <f t="shared" ref="I306:I326" si="2285">+IF(OR($F306="",H306=""),"",$F306*H306)</f>
        <v/>
      </c>
      <c r="J306" s="60"/>
      <c r="K306" s="59" t="str">
        <f t="shared" ref="K306:K326" si="2286">+IF(OR($F306="",J306=""),"",$F306*J306)</f>
        <v/>
      </c>
      <c r="L306" s="60"/>
      <c r="M306" s="59" t="str">
        <f t="shared" ref="M306:M326" si="2287">+IF(OR($F306="",L306=""),"",$F306*L306)</f>
        <v/>
      </c>
      <c r="N306" s="60"/>
      <c r="O306" s="59" t="str">
        <f t="shared" ref="O306:O326" si="2288">+IF(OR($F306="",N306=""),"",$F306*N306)</f>
        <v/>
      </c>
      <c r="P306" s="60"/>
      <c r="Q306" s="59" t="str">
        <f t="shared" ref="Q306:Q326" si="2289">+IF(OR($F306="",P306=""),"",$F306*P306)</f>
        <v/>
      </c>
      <c r="R306" s="60"/>
      <c r="S306" s="59" t="str">
        <f t="shared" ref="S306:S326" si="2290">+IF(OR($F306="",R306=""),"",$F306*R306)</f>
        <v/>
      </c>
      <c r="T306" s="60"/>
      <c r="U306" s="59" t="str">
        <f t="shared" ref="U306:U326" si="2291">+IF(OR($F306="",T306=""),"",$F306*T306)</f>
        <v/>
      </c>
      <c r="V306" s="60"/>
      <c r="W306" s="59" t="str">
        <f t="shared" ref="W306:W326" si="2292">+IF(OR($F306="",V306=""),"",$F306*V306)</f>
        <v/>
      </c>
      <c r="X306" s="95"/>
      <c r="Y306" s="59" t="str">
        <f t="shared" ref="Y306:Y326" si="2293">+IF(OR($F306="",X306=""),"",$F306*X306)</f>
        <v/>
      </c>
      <c r="Z306" s="95"/>
      <c r="AA306" s="59" t="str">
        <f t="shared" ref="AA306:AA326" si="2294">+IF(OR($F306="",Z306=""),"",$F306*Z306)</f>
        <v/>
      </c>
      <c r="AB306" s="60"/>
      <c r="AC306" s="59" t="str">
        <f t="shared" ref="AC306:AC326" si="2295">+IF(OR($F306="",AB306=""),"",$F306*AB306)</f>
        <v/>
      </c>
      <c r="AD306" s="60"/>
      <c r="AE306" s="59" t="str">
        <f t="shared" ref="AE306:AE326" si="2296">+IF(OR($F306="",AD306=""),"",$F306*AD306)</f>
        <v/>
      </c>
      <c r="AF306" s="95"/>
      <c r="AG306" s="59" t="str">
        <f t="shared" ref="AG306:AG326" si="2297">+IF(OR($F306="",AF306=""),"",$F306*AF306)</f>
        <v/>
      </c>
      <c r="AH306" s="95"/>
      <c r="AI306" s="59" t="str">
        <f t="shared" ref="AI306:AI326" si="2298">+IF(OR($F306="",AH306=""),"",$F306*AH306)</f>
        <v/>
      </c>
      <c r="AJ306" s="60"/>
      <c r="AK306" s="59" t="str">
        <f t="shared" ref="AK306:AK326" si="2299">+IF(OR($F306="",AJ306=""),"",$F306*AJ306)</f>
        <v/>
      </c>
      <c r="AL306" s="60"/>
      <c r="AM306" s="59" t="str">
        <f t="shared" ref="AM306:AM326" si="2300">+IF(OR($F306="",AL306=""),"",$F306*AL306)</f>
        <v/>
      </c>
      <c r="AN306" s="60"/>
      <c r="AO306" s="59" t="str">
        <f t="shared" ref="AO306:AO326" si="2301">+IF(OR($F306="",AN306=""),"",$F306*AN306)</f>
        <v/>
      </c>
      <c r="AP306" s="60"/>
      <c r="AQ306" s="59" t="str">
        <f t="shared" ref="AQ306:AQ326" si="2302">+IF(OR($F306="",AP306=""),"",$F306*AP306)</f>
        <v/>
      </c>
      <c r="AR306" s="60"/>
      <c r="AS306" s="59" t="str">
        <f t="shared" ref="AS306:AS326" si="2303">+IF(OR($F306="",AR306=""),"",$F306*AR306)</f>
        <v/>
      </c>
      <c r="AT306" s="60"/>
      <c r="AU306" s="59" t="str">
        <f t="shared" ref="AU306:AU326" si="2304">+IF(OR($F306="",AT306=""),"",$F306*AT306)</f>
        <v/>
      </c>
      <c r="AV306" s="60"/>
      <c r="AW306" s="59" t="str">
        <f t="shared" ref="AW306:AW326" si="2305">+IF(OR($F306="",AV306=""),"",$F306*AV306)</f>
        <v/>
      </c>
      <c r="AX306" s="60"/>
      <c r="AY306" s="59" t="str">
        <f t="shared" ref="AY306:AY326" si="2306">+IF(OR($F306="",AX306=""),"",$F306*AX306)</f>
        <v/>
      </c>
      <c r="AZ306" s="60"/>
      <c r="BA306" s="59" t="str">
        <f t="shared" ref="BA306:BA326" si="2307">+IF(OR($F306="",AZ306=""),"",$F306*AZ306)</f>
        <v/>
      </c>
      <c r="BB306" s="60"/>
      <c r="BC306" s="59" t="str">
        <f t="shared" ref="BC306:BC326" si="2308">+IF(OR($F306="",BB306=""),"",$F306*BB306)</f>
        <v/>
      </c>
      <c r="BD306" s="61">
        <f t="shared" ref="BD306:BD326" si="2309">+SUM(BI306:CF306)</f>
        <v>0</v>
      </c>
      <c r="BE306" s="59">
        <f t="shared" ref="BE306:BE326" si="2310">+IF(OR($F306="",BD306=""),"",$F306*BD306)</f>
        <v>0</v>
      </c>
      <c r="BF306" s="208">
        <f t="shared" ref="BF306:BF326" si="2311">+D306-BD306</f>
        <v>-7</v>
      </c>
      <c r="BG306" s="205">
        <f t="shared" ref="BG306:BG326" si="2312">+IF(OR($F306="",BF306=""),"",$F306*BF306)</f>
        <v>-4052.23</v>
      </c>
      <c r="BH306" s="184"/>
      <c r="BI306" s="209">
        <f t="shared" ref="BI306:BI326" si="2313">+H306</f>
        <v>0</v>
      </c>
      <c r="BJ306" s="209">
        <f t="shared" ref="BJ306:BJ326" si="2314">+J306</f>
        <v>0</v>
      </c>
      <c r="BK306" s="209">
        <f t="shared" ref="BK306:BK326" si="2315">+L306</f>
        <v>0</v>
      </c>
      <c r="BL306" s="209">
        <f t="shared" ref="BL306:BL326" si="2316">+N306</f>
        <v>0</v>
      </c>
      <c r="BM306" s="209">
        <f t="shared" ref="BM306:BM326" si="2317">+P306</f>
        <v>0</v>
      </c>
      <c r="BN306" s="209">
        <f t="shared" ref="BN306:BN326" si="2318">+R306</f>
        <v>0</v>
      </c>
      <c r="BO306" s="209">
        <f t="shared" ref="BO306:BO326" si="2319">+T306</f>
        <v>0</v>
      </c>
      <c r="BP306" s="209">
        <f t="shared" ref="BP306:BP326" si="2320">+V306</f>
        <v>0</v>
      </c>
      <c r="BQ306" s="209">
        <f t="shared" ref="BQ306:BQ326" si="2321">+X306</f>
        <v>0</v>
      </c>
      <c r="BR306" s="209">
        <f t="shared" ref="BR306:BR326" si="2322">+Z306</f>
        <v>0</v>
      </c>
      <c r="BS306" s="209">
        <f t="shared" ref="BS306:BS326" si="2323">+AB306</f>
        <v>0</v>
      </c>
      <c r="BT306" s="209">
        <f t="shared" ref="BT306:BT326" si="2324">+AD306</f>
        <v>0</v>
      </c>
      <c r="BU306" s="209">
        <f t="shared" ref="BU306:BU326" si="2325">+AF306</f>
        <v>0</v>
      </c>
      <c r="BV306" s="209">
        <f t="shared" ref="BV306:BV326" si="2326">+AH306</f>
        <v>0</v>
      </c>
      <c r="BW306" s="209">
        <f t="shared" ref="BW306:BW326" si="2327">+AJ306</f>
        <v>0</v>
      </c>
      <c r="BX306" s="209">
        <f t="shared" ref="BX306:BX326" si="2328">+AL306</f>
        <v>0</v>
      </c>
      <c r="BY306" s="209">
        <f t="shared" ref="BY306:BY326" si="2329">+AN306</f>
        <v>0</v>
      </c>
      <c r="BZ306" s="209">
        <f t="shared" ref="BZ306:BZ326" si="2330">+AP306</f>
        <v>0</v>
      </c>
      <c r="CA306" s="209">
        <f t="shared" ref="CA306:CA326" si="2331">+AR306</f>
        <v>0</v>
      </c>
      <c r="CB306" s="209">
        <f t="shared" ref="CB306:CB326" si="2332">+AT306</f>
        <v>0</v>
      </c>
      <c r="CC306" s="209">
        <f t="shared" ref="CC306:CC326" si="2333">+AV306</f>
        <v>0</v>
      </c>
      <c r="CD306" s="209">
        <f t="shared" ref="CD306:CD326" si="2334">+AX306</f>
        <v>0</v>
      </c>
      <c r="CE306" s="209">
        <f t="shared" ref="CE306:CE326" si="2335">+AZ306</f>
        <v>0</v>
      </c>
      <c r="CF306" s="209">
        <f t="shared" ref="CF306:CF326" si="2336">+BB306</f>
        <v>0</v>
      </c>
    </row>
    <row r="307" spans="2:84" ht="33.75" outlineLevel="1">
      <c r="C307" s="27" t="s">
        <v>1006</v>
      </c>
      <c r="G307" s="57"/>
      <c r="H307" s="28"/>
      <c r="I307" s="59" t="str">
        <f t="shared" si="2285"/>
        <v/>
      </c>
      <c r="J307" s="60"/>
      <c r="K307" s="59" t="str">
        <f t="shared" si="2286"/>
        <v/>
      </c>
      <c r="L307" s="60"/>
      <c r="M307" s="59" t="str">
        <f t="shared" si="2287"/>
        <v/>
      </c>
      <c r="N307" s="60"/>
      <c r="O307" s="59" t="str">
        <f t="shared" si="2288"/>
        <v/>
      </c>
      <c r="P307" s="60"/>
      <c r="Q307" s="59" t="str">
        <f t="shared" si="2289"/>
        <v/>
      </c>
      <c r="R307" s="60"/>
      <c r="S307" s="59" t="str">
        <f t="shared" si="2290"/>
        <v/>
      </c>
      <c r="T307" s="60"/>
      <c r="U307" s="59" t="str">
        <f t="shared" si="2291"/>
        <v/>
      </c>
      <c r="V307" s="60"/>
      <c r="W307" s="59" t="str">
        <f t="shared" si="2292"/>
        <v/>
      </c>
      <c r="X307" s="95"/>
      <c r="Y307" s="59" t="str">
        <f t="shared" si="2293"/>
        <v/>
      </c>
      <c r="Z307" s="95"/>
      <c r="AA307" s="59" t="str">
        <f t="shared" si="2294"/>
        <v/>
      </c>
      <c r="AB307" s="60"/>
      <c r="AC307" s="59" t="str">
        <f t="shared" si="2295"/>
        <v/>
      </c>
      <c r="AD307" s="60"/>
      <c r="AE307" s="59" t="str">
        <f t="shared" si="2296"/>
        <v/>
      </c>
      <c r="AF307" s="95"/>
      <c r="AG307" s="59" t="str">
        <f t="shared" si="2297"/>
        <v/>
      </c>
      <c r="AH307" s="95"/>
      <c r="AI307" s="59" t="str">
        <f t="shared" si="2298"/>
        <v/>
      </c>
      <c r="AJ307" s="60"/>
      <c r="AK307" s="59" t="str">
        <f t="shared" si="2299"/>
        <v/>
      </c>
      <c r="AL307" s="60"/>
      <c r="AM307" s="59" t="str">
        <f t="shared" si="2300"/>
        <v/>
      </c>
      <c r="AN307" s="60"/>
      <c r="AO307" s="59" t="str">
        <f t="shared" si="2301"/>
        <v/>
      </c>
      <c r="AP307" s="60"/>
      <c r="AQ307" s="59" t="str">
        <f t="shared" si="2302"/>
        <v/>
      </c>
      <c r="AR307" s="60"/>
      <c r="AS307" s="59" t="str">
        <f t="shared" si="2303"/>
        <v/>
      </c>
      <c r="AT307" s="60"/>
      <c r="AU307" s="59" t="str">
        <f t="shared" si="2304"/>
        <v/>
      </c>
      <c r="AV307" s="60"/>
      <c r="AW307" s="59" t="str">
        <f t="shared" si="2305"/>
        <v/>
      </c>
      <c r="AX307" s="60"/>
      <c r="AY307" s="59" t="str">
        <f t="shared" si="2306"/>
        <v/>
      </c>
      <c r="AZ307" s="60"/>
      <c r="BA307" s="59" t="str">
        <f t="shared" si="2307"/>
        <v/>
      </c>
      <c r="BB307" s="60"/>
      <c r="BC307" s="59" t="str">
        <f t="shared" si="2308"/>
        <v/>
      </c>
      <c r="BD307" s="61">
        <f t="shared" si="2309"/>
        <v>0</v>
      </c>
      <c r="BE307" s="59" t="str">
        <f t="shared" si="2310"/>
        <v/>
      </c>
      <c r="BF307" s="208">
        <f t="shared" si="2311"/>
        <v>0</v>
      </c>
      <c r="BG307" s="205" t="str">
        <f t="shared" si="2312"/>
        <v/>
      </c>
      <c r="BH307" s="184"/>
      <c r="BI307" s="209">
        <f t="shared" si="2313"/>
        <v>0</v>
      </c>
      <c r="BJ307" s="209">
        <f t="shared" si="2314"/>
        <v>0</v>
      </c>
      <c r="BK307" s="209">
        <f t="shared" si="2315"/>
        <v>0</v>
      </c>
      <c r="BL307" s="209">
        <f t="shared" si="2316"/>
        <v>0</v>
      </c>
      <c r="BM307" s="209">
        <f t="shared" si="2317"/>
        <v>0</v>
      </c>
      <c r="BN307" s="209">
        <f t="shared" si="2318"/>
        <v>0</v>
      </c>
      <c r="BO307" s="209">
        <f t="shared" si="2319"/>
        <v>0</v>
      </c>
      <c r="BP307" s="209">
        <f t="shared" si="2320"/>
        <v>0</v>
      </c>
      <c r="BQ307" s="209">
        <f t="shared" si="2321"/>
        <v>0</v>
      </c>
      <c r="BR307" s="209">
        <f t="shared" si="2322"/>
        <v>0</v>
      </c>
      <c r="BS307" s="209">
        <f t="shared" si="2323"/>
        <v>0</v>
      </c>
      <c r="BT307" s="209">
        <f t="shared" si="2324"/>
        <v>0</v>
      </c>
      <c r="BU307" s="209">
        <f t="shared" si="2325"/>
        <v>0</v>
      </c>
      <c r="BV307" s="209">
        <f t="shared" si="2326"/>
        <v>0</v>
      </c>
      <c r="BW307" s="209">
        <f t="shared" si="2327"/>
        <v>0</v>
      </c>
      <c r="BX307" s="209">
        <f t="shared" si="2328"/>
        <v>0</v>
      </c>
      <c r="BY307" s="209">
        <f t="shared" si="2329"/>
        <v>0</v>
      </c>
      <c r="BZ307" s="209">
        <f t="shared" si="2330"/>
        <v>0</v>
      </c>
      <c r="CA307" s="209">
        <f t="shared" si="2331"/>
        <v>0</v>
      </c>
      <c r="CB307" s="209">
        <f t="shared" si="2332"/>
        <v>0</v>
      </c>
      <c r="CC307" s="209">
        <f t="shared" si="2333"/>
        <v>0</v>
      </c>
      <c r="CD307" s="209">
        <f t="shared" si="2334"/>
        <v>0</v>
      </c>
      <c r="CE307" s="209">
        <f t="shared" si="2335"/>
        <v>0</v>
      </c>
      <c r="CF307" s="209">
        <f t="shared" si="2336"/>
        <v>0</v>
      </c>
    </row>
    <row r="308" spans="2:84" ht="22.5" outlineLevel="1">
      <c r="C308" s="27" t="s">
        <v>1007</v>
      </c>
      <c r="D308" s="55">
        <v>-2</v>
      </c>
      <c r="E308" s="88" t="s">
        <v>828</v>
      </c>
      <c r="F308" s="56">
        <v>802.38</v>
      </c>
      <c r="G308" s="57">
        <f t="shared" si="2284"/>
        <v>-1604.76</v>
      </c>
      <c r="H308" s="28"/>
      <c r="I308" s="59" t="str">
        <f t="shared" si="2285"/>
        <v/>
      </c>
      <c r="J308" s="60"/>
      <c r="K308" s="59" t="str">
        <f t="shared" si="2286"/>
        <v/>
      </c>
      <c r="L308" s="60"/>
      <c r="M308" s="59" t="str">
        <f t="shared" si="2287"/>
        <v/>
      </c>
      <c r="N308" s="60"/>
      <c r="O308" s="59" t="str">
        <f t="shared" si="2288"/>
        <v/>
      </c>
      <c r="P308" s="60"/>
      <c r="Q308" s="59" t="str">
        <f t="shared" si="2289"/>
        <v/>
      </c>
      <c r="R308" s="60"/>
      <c r="S308" s="59" t="str">
        <f t="shared" si="2290"/>
        <v/>
      </c>
      <c r="T308" s="60"/>
      <c r="U308" s="59" t="str">
        <f t="shared" si="2291"/>
        <v/>
      </c>
      <c r="V308" s="60"/>
      <c r="W308" s="59" t="str">
        <f t="shared" si="2292"/>
        <v/>
      </c>
      <c r="X308" s="95"/>
      <c r="Y308" s="59" t="str">
        <f t="shared" si="2293"/>
        <v/>
      </c>
      <c r="Z308" s="95"/>
      <c r="AA308" s="59" t="str">
        <f t="shared" si="2294"/>
        <v/>
      </c>
      <c r="AB308" s="60"/>
      <c r="AC308" s="59" t="str">
        <f t="shared" si="2295"/>
        <v/>
      </c>
      <c r="AD308" s="60"/>
      <c r="AE308" s="59" t="str">
        <f t="shared" si="2296"/>
        <v/>
      </c>
      <c r="AF308" s="95"/>
      <c r="AG308" s="59" t="str">
        <f t="shared" si="2297"/>
        <v/>
      </c>
      <c r="AH308" s="95"/>
      <c r="AI308" s="59" t="str">
        <f t="shared" si="2298"/>
        <v/>
      </c>
      <c r="AJ308" s="60"/>
      <c r="AK308" s="59" t="str">
        <f t="shared" si="2299"/>
        <v/>
      </c>
      <c r="AL308" s="60"/>
      <c r="AM308" s="59" t="str">
        <f t="shared" si="2300"/>
        <v/>
      </c>
      <c r="AN308" s="60"/>
      <c r="AO308" s="59" t="str">
        <f t="shared" si="2301"/>
        <v/>
      </c>
      <c r="AP308" s="60"/>
      <c r="AQ308" s="59" t="str">
        <f t="shared" si="2302"/>
        <v/>
      </c>
      <c r="AR308" s="60"/>
      <c r="AS308" s="59" t="str">
        <f t="shared" si="2303"/>
        <v/>
      </c>
      <c r="AT308" s="60"/>
      <c r="AU308" s="59" t="str">
        <f t="shared" si="2304"/>
        <v/>
      </c>
      <c r="AV308" s="60"/>
      <c r="AW308" s="59" t="str">
        <f t="shared" si="2305"/>
        <v/>
      </c>
      <c r="AX308" s="60"/>
      <c r="AY308" s="59" t="str">
        <f t="shared" si="2306"/>
        <v/>
      </c>
      <c r="AZ308" s="60"/>
      <c r="BA308" s="59" t="str">
        <f t="shared" si="2307"/>
        <v/>
      </c>
      <c r="BB308" s="60"/>
      <c r="BC308" s="59" t="str">
        <f t="shared" si="2308"/>
        <v/>
      </c>
      <c r="BD308" s="61">
        <f t="shared" si="2309"/>
        <v>0</v>
      </c>
      <c r="BE308" s="59">
        <f t="shared" si="2310"/>
        <v>0</v>
      </c>
      <c r="BF308" s="208">
        <f t="shared" si="2311"/>
        <v>-2</v>
      </c>
      <c r="BG308" s="205">
        <f t="shared" si="2312"/>
        <v>-1604.76</v>
      </c>
      <c r="BH308" s="184"/>
      <c r="BI308" s="209">
        <f t="shared" si="2313"/>
        <v>0</v>
      </c>
      <c r="BJ308" s="209">
        <f t="shared" si="2314"/>
        <v>0</v>
      </c>
      <c r="BK308" s="209">
        <f t="shared" si="2315"/>
        <v>0</v>
      </c>
      <c r="BL308" s="209">
        <f t="shared" si="2316"/>
        <v>0</v>
      </c>
      <c r="BM308" s="209">
        <f t="shared" si="2317"/>
        <v>0</v>
      </c>
      <c r="BN308" s="209">
        <f t="shared" si="2318"/>
        <v>0</v>
      </c>
      <c r="BO308" s="209">
        <f t="shared" si="2319"/>
        <v>0</v>
      </c>
      <c r="BP308" s="209">
        <f t="shared" si="2320"/>
        <v>0</v>
      </c>
      <c r="BQ308" s="209">
        <f t="shared" si="2321"/>
        <v>0</v>
      </c>
      <c r="BR308" s="209">
        <f t="shared" si="2322"/>
        <v>0</v>
      </c>
      <c r="BS308" s="209">
        <f t="shared" si="2323"/>
        <v>0</v>
      </c>
      <c r="BT308" s="209">
        <f t="shared" si="2324"/>
        <v>0</v>
      </c>
      <c r="BU308" s="209">
        <f t="shared" si="2325"/>
        <v>0</v>
      </c>
      <c r="BV308" s="209">
        <f t="shared" si="2326"/>
        <v>0</v>
      </c>
      <c r="BW308" s="209">
        <f t="shared" si="2327"/>
        <v>0</v>
      </c>
      <c r="BX308" s="209">
        <f t="shared" si="2328"/>
        <v>0</v>
      </c>
      <c r="BY308" s="209">
        <f t="shared" si="2329"/>
        <v>0</v>
      </c>
      <c r="BZ308" s="209">
        <f t="shared" si="2330"/>
        <v>0</v>
      </c>
      <c r="CA308" s="209">
        <f t="shared" si="2331"/>
        <v>0</v>
      </c>
      <c r="CB308" s="209">
        <f t="shared" si="2332"/>
        <v>0</v>
      </c>
      <c r="CC308" s="209">
        <f t="shared" si="2333"/>
        <v>0</v>
      </c>
      <c r="CD308" s="209">
        <f t="shared" si="2334"/>
        <v>0</v>
      </c>
      <c r="CE308" s="209">
        <f t="shared" si="2335"/>
        <v>0</v>
      </c>
      <c r="CF308" s="209">
        <f t="shared" si="2336"/>
        <v>0</v>
      </c>
    </row>
    <row r="309" spans="2:84" ht="33.75" outlineLevel="1">
      <c r="C309" s="27" t="s">
        <v>313</v>
      </c>
      <c r="D309" s="55">
        <v>-1</v>
      </c>
      <c r="E309" s="88" t="s">
        <v>828</v>
      </c>
      <c r="F309" s="56">
        <v>793.7</v>
      </c>
      <c r="G309" s="57">
        <f t="shared" si="2284"/>
        <v>-793.7</v>
      </c>
      <c r="H309" s="28"/>
      <c r="I309" s="59" t="str">
        <f t="shared" si="2285"/>
        <v/>
      </c>
      <c r="J309" s="60"/>
      <c r="K309" s="59" t="str">
        <f t="shared" si="2286"/>
        <v/>
      </c>
      <c r="L309" s="60"/>
      <c r="M309" s="59" t="str">
        <f t="shared" si="2287"/>
        <v/>
      </c>
      <c r="N309" s="60"/>
      <c r="O309" s="59" t="str">
        <f t="shared" si="2288"/>
        <v/>
      </c>
      <c r="P309" s="60"/>
      <c r="Q309" s="59" t="str">
        <f t="shared" si="2289"/>
        <v/>
      </c>
      <c r="R309" s="60"/>
      <c r="S309" s="59" t="str">
        <f t="shared" si="2290"/>
        <v/>
      </c>
      <c r="T309" s="60"/>
      <c r="U309" s="59" t="str">
        <f t="shared" si="2291"/>
        <v/>
      </c>
      <c r="V309" s="60"/>
      <c r="W309" s="59" t="str">
        <f t="shared" si="2292"/>
        <v/>
      </c>
      <c r="X309" s="95"/>
      <c r="Y309" s="59" t="str">
        <f t="shared" si="2293"/>
        <v/>
      </c>
      <c r="Z309" s="95"/>
      <c r="AA309" s="59" t="str">
        <f t="shared" si="2294"/>
        <v/>
      </c>
      <c r="AB309" s="60"/>
      <c r="AC309" s="59" t="str">
        <f t="shared" si="2295"/>
        <v/>
      </c>
      <c r="AD309" s="60"/>
      <c r="AE309" s="59" t="str">
        <f t="shared" si="2296"/>
        <v/>
      </c>
      <c r="AF309" s="95"/>
      <c r="AG309" s="59" t="str">
        <f t="shared" si="2297"/>
        <v/>
      </c>
      <c r="AH309" s="95"/>
      <c r="AI309" s="59" t="str">
        <f t="shared" si="2298"/>
        <v/>
      </c>
      <c r="AJ309" s="60"/>
      <c r="AK309" s="59" t="str">
        <f t="shared" si="2299"/>
        <v/>
      </c>
      <c r="AL309" s="60"/>
      <c r="AM309" s="59" t="str">
        <f t="shared" si="2300"/>
        <v/>
      </c>
      <c r="AN309" s="60"/>
      <c r="AO309" s="59" t="str">
        <f t="shared" si="2301"/>
        <v/>
      </c>
      <c r="AP309" s="60"/>
      <c r="AQ309" s="59" t="str">
        <f t="shared" si="2302"/>
        <v/>
      </c>
      <c r="AR309" s="60"/>
      <c r="AS309" s="59" t="str">
        <f t="shared" si="2303"/>
        <v/>
      </c>
      <c r="AT309" s="60"/>
      <c r="AU309" s="59" t="str">
        <f t="shared" si="2304"/>
        <v/>
      </c>
      <c r="AV309" s="60"/>
      <c r="AW309" s="59" t="str">
        <f t="shared" si="2305"/>
        <v/>
      </c>
      <c r="AX309" s="60"/>
      <c r="AY309" s="59" t="str">
        <f t="shared" si="2306"/>
        <v/>
      </c>
      <c r="AZ309" s="60"/>
      <c r="BA309" s="59" t="str">
        <f t="shared" si="2307"/>
        <v/>
      </c>
      <c r="BB309" s="60"/>
      <c r="BC309" s="59" t="str">
        <f t="shared" si="2308"/>
        <v/>
      </c>
      <c r="BD309" s="61">
        <f t="shared" si="2309"/>
        <v>0</v>
      </c>
      <c r="BE309" s="59">
        <f t="shared" si="2310"/>
        <v>0</v>
      </c>
      <c r="BF309" s="208">
        <f t="shared" si="2311"/>
        <v>-1</v>
      </c>
      <c r="BG309" s="205">
        <f t="shared" si="2312"/>
        <v>-793.7</v>
      </c>
      <c r="BH309" s="184"/>
      <c r="BI309" s="209">
        <f t="shared" si="2313"/>
        <v>0</v>
      </c>
      <c r="BJ309" s="209">
        <f t="shared" si="2314"/>
        <v>0</v>
      </c>
      <c r="BK309" s="209">
        <f t="shared" si="2315"/>
        <v>0</v>
      </c>
      <c r="BL309" s="209">
        <f t="shared" si="2316"/>
        <v>0</v>
      </c>
      <c r="BM309" s="209">
        <f t="shared" si="2317"/>
        <v>0</v>
      </c>
      <c r="BN309" s="209">
        <f t="shared" si="2318"/>
        <v>0</v>
      </c>
      <c r="BO309" s="209">
        <f t="shared" si="2319"/>
        <v>0</v>
      </c>
      <c r="BP309" s="209">
        <f t="shared" si="2320"/>
        <v>0</v>
      </c>
      <c r="BQ309" s="209">
        <f t="shared" si="2321"/>
        <v>0</v>
      </c>
      <c r="BR309" s="209">
        <f t="shared" si="2322"/>
        <v>0</v>
      </c>
      <c r="BS309" s="209">
        <f t="shared" si="2323"/>
        <v>0</v>
      </c>
      <c r="BT309" s="209">
        <f t="shared" si="2324"/>
        <v>0</v>
      </c>
      <c r="BU309" s="209">
        <f t="shared" si="2325"/>
        <v>0</v>
      </c>
      <c r="BV309" s="209">
        <f t="shared" si="2326"/>
        <v>0</v>
      </c>
      <c r="BW309" s="209">
        <f t="shared" si="2327"/>
        <v>0</v>
      </c>
      <c r="BX309" s="209">
        <f t="shared" si="2328"/>
        <v>0</v>
      </c>
      <c r="BY309" s="209">
        <f t="shared" si="2329"/>
        <v>0</v>
      </c>
      <c r="BZ309" s="209">
        <f t="shared" si="2330"/>
        <v>0</v>
      </c>
      <c r="CA309" s="209">
        <f t="shared" si="2331"/>
        <v>0</v>
      </c>
      <c r="CB309" s="209">
        <f t="shared" si="2332"/>
        <v>0</v>
      </c>
      <c r="CC309" s="209">
        <f t="shared" si="2333"/>
        <v>0</v>
      </c>
      <c r="CD309" s="209">
        <f t="shared" si="2334"/>
        <v>0</v>
      </c>
      <c r="CE309" s="209">
        <f t="shared" si="2335"/>
        <v>0</v>
      </c>
      <c r="CF309" s="209">
        <f t="shared" si="2336"/>
        <v>0</v>
      </c>
    </row>
    <row r="310" spans="2:84" ht="22.5" outlineLevel="1">
      <c r="C310" s="27" t="s">
        <v>1008</v>
      </c>
      <c r="D310" s="55">
        <v>-1</v>
      </c>
      <c r="E310" s="88" t="s">
        <v>828</v>
      </c>
      <c r="F310" s="56">
        <v>778.14</v>
      </c>
      <c r="G310" s="57">
        <f t="shared" si="2284"/>
        <v>-778.14</v>
      </c>
      <c r="H310" s="28"/>
      <c r="I310" s="59" t="str">
        <f t="shared" si="2285"/>
        <v/>
      </c>
      <c r="J310" s="60"/>
      <c r="K310" s="59" t="str">
        <f t="shared" si="2286"/>
        <v/>
      </c>
      <c r="L310" s="60"/>
      <c r="M310" s="59" t="str">
        <f t="shared" si="2287"/>
        <v/>
      </c>
      <c r="N310" s="60"/>
      <c r="O310" s="59" t="str">
        <f t="shared" si="2288"/>
        <v/>
      </c>
      <c r="P310" s="60"/>
      <c r="Q310" s="59" t="str">
        <f t="shared" si="2289"/>
        <v/>
      </c>
      <c r="R310" s="60"/>
      <c r="S310" s="59" t="str">
        <f t="shared" si="2290"/>
        <v/>
      </c>
      <c r="T310" s="60"/>
      <c r="U310" s="59" t="str">
        <f t="shared" si="2291"/>
        <v/>
      </c>
      <c r="V310" s="60"/>
      <c r="W310" s="59" t="str">
        <f t="shared" si="2292"/>
        <v/>
      </c>
      <c r="X310" s="95"/>
      <c r="Y310" s="59" t="str">
        <f t="shared" si="2293"/>
        <v/>
      </c>
      <c r="Z310" s="95"/>
      <c r="AA310" s="59" t="str">
        <f t="shared" si="2294"/>
        <v/>
      </c>
      <c r="AB310" s="60"/>
      <c r="AC310" s="59" t="str">
        <f t="shared" si="2295"/>
        <v/>
      </c>
      <c r="AD310" s="60"/>
      <c r="AE310" s="59" t="str">
        <f t="shared" si="2296"/>
        <v/>
      </c>
      <c r="AF310" s="95"/>
      <c r="AG310" s="59" t="str">
        <f t="shared" si="2297"/>
        <v/>
      </c>
      <c r="AH310" s="95"/>
      <c r="AI310" s="59" t="str">
        <f t="shared" si="2298"/>
        <v/>
      </c>
      <c r="AJ310" s="60"/>
      <c r="AK310" s="59" t="str">
        <f t="shared" si="2299"/>
        <v/>
      </c>
      <c r="AL310" s="60"/>
      <c r="AM310" s="59" t="str">
        <f t="shared" si="2300"/>
        <v/>
      </c>
      <c r="AN310" s="60"/>
      <c r="AO310" s="59" t="str">
        <f t="shared" si="2301"/>
        <v/>
      </c>
      <c r="AP310" s="60"/>
      <c r="AQ310" s="59" t="str">
        <f t="shared" si="2302"/>
        <v/>
      </c>
      <c r="AR310" s="60"/>
      <c r="AS310" s="59" t="str">
        <f t="shared" si="2303"/>
        <v/>
      </c>
      <c r="AT310" s="60"/>
      <c r="AU310" s="59" t="str">
        <f t="shared" si="2304"/>
        <v/>
      </c>
      <c r="AV310" s="60"/>
      <c r="AW310" s="59" t="str">
        <f t="shared" si="2305"/>
        <v/>
      </c>
      <c r="AX310" s="60"/>
      <c r="AY310" s="59" t="str">
        <f t="shared" si="2306"/>
        <v/>
      </c>
      <c r="AZ310" s="60"/>
      <c r="BA310" s="59" t="str">
        <f t="shared" si="2307"/>
        <v/>
      </c>
      <c r="BB310" s="60"/>
      <c r="BC310" s="59" t="str">
        <f t="shared" si="2308"/>
        <v/>
      </c>
      <c r="BD310" s="61">
        <f t="shared" si="2309"/>
        <v>0</v>
      </c>
      <c r="BE310" s="59">
        <f t="shared" si="2310"/>
        <v>0</v>
      </c>
      <c r="BF310" s="208">
        <f t="shared" si="2311"/>
        <v>-1</v>
      </c>
      <c r="BG310" s="205">
        <f t="shared" si="2312"/>
        <v>-778.14</v>
      </c>
      <c r="BH310" s="184"/>
      <c r="BI310" s="209">
        <f t="shared" si="2313"/>
        <v>0</v>
      </c>
      <c r="BJ310" s="209">
        <f t="shared" si="2314"/>
        <v>0</v>
      </c>
      <c r="BK310" s="209">
        <f t="shared" si="2315"/>
        <v>0</v>
      </c>
      <c r="BL310" s="209">
        <f t="shared" si="2316"/>
        <v>0</v>
      </c>
      <c r="BM310" s="209">
        <f t="shared" si="2317"/>
        <v>0</v>
      </c>
      <c r="BN310" s="209">
        <f t="shared" si="2318"/>
        <v>0</v>
      </c>
      <c r="BO310" s="209">
        <f t="shared" si="2319"/>
        <v>0</v>
      </c>
      <c r="BP310" s="209">
        <f t="shared" si="2320"/>
        <v>0</v>
      </c>
      <c r="BQ310" s="209">
        <f t="shared" si="2321"/>
        <v>0</v>
      </c>
      <c r="BR310" s="209">
        <f t="shared" si="2322"/>
        <v>0</v>
      </c>
      <c r="BS310" s="209">
        <f t="shared" si="2323"/>
        <v>0</v>
      </c>
      <c r="BT310" s="209">
        <f t="shared" si="2324"/>
        <v>0</v>
      </c>
      <c r="BU310" s="209">
        <f t="shared" si="2325"/>
        <v>0</v>
      </c>
      <c r="BV310" s="209">
        <f t="shared" si="2326"/>
        <v>0</v>
      </c>
      <c r="BW310" s="209">
        <f t="shared" si="2327"/>
        <v>0</v>
      </c>
      <c r="BX310" s="209">
        <f t="shared" si="2328"/>
        <v>0</v>
      </c>
      <c r="BY310" s="209">
        <f t="shared" si="2329"/>
        <v>0</v>
      </c>
      <c r="BZ310" s="209">
        <f t="shared" si="2330"/>
        <v>0</v>
      </c>
      <c r="CA310" s="209">
        <f t="shared" si="2331"/>
        <v>0</v>
      </c>
      <c r="CB310" s="209">
        <f t="shared" si="2332"/>
        <v>0</v>
      </c>
      <c r="CC310" s="209">
        <f t="shared" si="2333"/>
        <v>0</v>
      </c>
      <c r="CD310" s="209">
        <f t="shared" si="2334"/>
        <v>0</v>
      </c>
      <c r="CE310" s="209">
        <f t="shared" si="2335"/>
        <v>0</v>
      </c>
      <c r="CF310" s="209">
        <f t="shared" si="2336"/>
        <v>0</v>
      </c>
    </row>
    <row r="311" spans="2:84" ht="22.5" outlineLevel="1">
      <c r="C311" s="27" t="s">
        <v>1009</v>
      </c>
      <c r="D311" s="55">
        <v>-1</v>
      </c>
      <c r="E311" s="88" t="s">
        <v>828</v>
      </c>
      <c r="F311" s="56">
        <v>2491.36</v>
      </c>
      <c r="G311" s="57">
        <f t="shared" si="2284"/>
        <v>-2491.36</v>
      </c>
      <c r="H311" s="28"/>
      <c r="I311" s="59" t="str">
        <f t="shared" si="2285"/>
        <v/>
      </c>
      <c r="J311" s="60"/>
      <c r="K311" s="59" t="str">
        <f t="shared" si="2286"/>
        <v/>
      </c>
      <c r="L311" s="60"/>
      <c r="M311" s="59" t="str">
        <f t="shared" si="2287"/>
        <v/>
      </c>
      <c r="N311" s="60"/>
      <c r="O311" s="59" t="str">
        <f t="shared" si="2288"/>
        <v/>
      </c>
      <c r="P311" s="60"/>
      <c r="Q311" s="59" t="str">
        <f t="shared" si="2289"/>
        <v/>
      </c>
      <c r="R311" s="60"/>
      <c r="S311" s="59" t="str">
        <f t="shared" si="2290"/>
        <v/>
      </c>
      <c r="T311" s="60"/>
      <c r="U311" s="59" t="str">
        <f t="shared" si="2291"/>
        <v/>
      </c>
      <c r="V311" s="60"/>
      <c r="W311" s="59" t="str">
        <f t="shared" si="2292"/>
        <v/>
      </c>
      <c r="X311" s="95"/>
      <c r="Y311" s="59" t="str">
        <f t="shared" si="2293"/>
        <v/>
      </c>
      <c r="Z311" s="95"/>
      <c r="AA311" s="59" t="str">
        <f t="shared" si="2294"/>
        <v/>
      </c>
      <c r="AB311" s="60"/>
      <c r="AC311" s="59" t="str">
        <f t="shared" si="2295"/>
        <v/>
      </c>
      <c r="AD311" s="60"/>
      <c r="AE311" s="59" t="str">
        <f t="shared" si="2296"/>
        <v/>
      </c>
      <c r="AF311" s="95"/>
      <c r="AG311" s="59" t="str">
        <f t="shared" si="2297"/>
        <v/>
      </c>
      <c r="AH311" s="95"/>
      <c r="AI311" s="59" t="str">
        <f t="shared" si="2298"/>
        <v/>
      </c>
      <c r="AJ311" s="60"/>
      <c r="AK311" s="59" t="str">
        <f t="shared" si="2299"/>
        <v/>
      </c>
      <c r="AL311" s="60"/>
      <c r="AM311" s="59" t="str">
        <f t="shared" si="2300"/>
        <v/>
      </c>
      <c r="AN311" s="60"/>
      <c r="AO311" s="59" t="str">
        <f t="shared" si="2301"/>
        <v/>
      </c>
      <c r="AP311" s="60"/>
      <c r="AQ311" s="59" t="str">
        <f t="shared" si="2302"/>
        <v/>
      </c>
      <c r="AR311" s="60"/>
      <c r="AS311" s="59" t="str">
        <f t="shared" si="2303"/>
        <v/>
      </c>
      <c r="AT311" s="60"/>
      <c r="AU311" s="59" t="str">
        <f t="shared" si="2304"/>
        <v/>
      </c>
      <c r="AV311" s="60"/>
      <c r="AW311" s="59" t="str">
        <f t="shared" si="2305"/>
        <v/>
      </c>
      <c r="AX311" s="60"/>
      <c r="AY311" s="59" t="str">
        <f t="shared" si="2306"/>
        <v/>
      </c>
      <c r="AZ311" s="60"/>
      <c r="BA311" s="59" t="str">
        <f t="shared" si="2307"/>
        <v/>
      </c>
      <c r="BB311" s="60"/>
      <c r="BC311" s="59" t="str">
        <f t="shared" si="2308"/>
        <v/>
      </c>
      <c r="BD311" s="61">
        <f t="shared" si="2309"/>
        <v>0</v>
      </c>
      <c r="BE311" s="59">
        <f t="shared" si="2310"/>
        <v>0</v>
      </c>
      <c r="BF311" s="208">
        <f t="shared" si="2311"/>
        <v>-1</v>
      </c>
      <c r="BG311" s="205">
        <f t="shared" si="2312"/>
        <v>-2491.36</v>
      </c>
      <c r="BH311" s="184"/>
      <c r="BI311" s="209">
        <f t="shared" si="2313"/>
        <v>0</v>
      </c>
      <c r="BJ311" s="209">
        <f t="shared" si="2314"/>
        <v>0</v>
      </c>
      <c r="BK311" s="209">
        <f t="shared" si="2315"/>
        <v>0</v>
      </c>
      <c r="BL311" s="209">
        <f t="shared" si="2316"/>
        <v>0</v>
      </c>
      <c r="BM311" s="209">
        <f t="shared" si="2317"/>
        <v>0</v>
      </c>
      <c r="BN311" s="209">
        <f t="shared" si="2318"/>
        <v>0</v>
      </c>
      <c r="BO311" s="209">
        <f t="shared" si="2319"/>
        <v>0</v>
      </c>
      <c r="BP311" s="209">
        <f t="shared" si="2320"/>
        <v>0</v>
      </c>
      <c r="BQ311" s="209">
        <f t="shared" si="2321"/>
        <v>0</v>
      </c>
      <c r="BR311" s="209">
        <f t="shared" si="2322"/>
        <v>0</v>
      </c>
      <c r="BS311" s="209">
        <f t="shared" si="2323"/>
        <v>0</v>
      </c>
      <c r="BT311" s="209">
        <f t="shared" si="2324"/>
        <v>0</v>
      </c>
      <c r="BU311" s="209">
        <f t="shared" si="2325"/>
        <v>0</v>
      </c>
      <c r="BV311" s="209">
        <f t="shared" si="2326"/>
        <v>0</v>
      </c>
      <c r="BW311" s="209">
        <f t="shared" si="2327"/>
        <v>0</v>
      </c>
      <c r="BX311" s="209">
        <f t="shared" si="2328"/>
        <v>0</v>
      </c>
      <c r="BY311" s="209">
        <f t="shared" si="2329"/>
        <v>0</v>
      </c>
      <c r="BZ311" s="209">
        <f t="shared" si="2330"/>
        <v>0</v>
      </c>
      <c r="CA311" s="209">
        <f t="shared" si="2331"/>
        <v>0</v>
      </c>
      <c r="CB311" s="209">
        <f t="shared" si="2332"/>
        <v>0</v>
      </c>
      <c r="CC311" s="209">
        <f t="shared" si="2333"/>
        <v>0</v>
      </c>
      <c r="CD311" s="209">
        <f t="shared" si="2334"/>
        <v>0</v>
      </c>
      <c r="CE311" s="209">
        <f t="shared" si="2335"/>
        <v>0</v>
      </c>
      <c r="CF311" s="209">
        <f t="shared" si="2336"/>
        <v>0</v>
      </c>
    </row>
    <row r="312" spans="2:84" ht="56.25" outlineLevel="1">
      <c r="C312" s="27" t="s">
        <v>1010</v>
      </c>
      <c r="D312" s="55">
        <v>-7</v>
      </c>
      <c r="E312" s="88" t="s">
        <v>828</v>
      </c>
      <c r="F312" s="56">
        <v>1244.76</v>
      </c>
      <c r="G312" s="57">
        <f t="shared" si="2284"/>
        <v>-8713.32</v>
      </c>
      <c r="H312" s="28"/>
      <c r="I312" s="59" t="str">
        <f t="shared" si="2285"/>
        <v/>
      </c>
      <c r="J312" s="60"/>
      <c r="K312" s="59" t="str">
        <f t="shared" si="2286"/>
        <v/>
      </c>
      <c r="L312" s="60"/>
      <c r="M312" s="59" t="str">
        <f t="shared" si="2287"/>
        <v/>
      </c>
      <c r="N312" s="60"/>
      <c r="O312" s="59" t="str">
        <f t="shared" si="2288"/>
        <v/>
      </c>
      <c r="P312" s="60"/>
      <c r="Q312" s="59" t="str">
        <f t="shared" si="2289"/>
        <v/>
      </c>
      <c r="R312" s="60"/>
      <c r="S312" s="59" t="str">
        <f t="shared" si="2290"/>
        <v/>
      </c>
      <c r="T312" s="60"/>
      <c r="U312" s="59" t="str">
        <f t="shared" si="2291"/>
        <v/>
      </c>
      <c r="V312" s="60"/>
      <c r="W312" s="59" t="str">
        <f t="shared" si="2292"/>
        <v/>
      </c>
      <c r="X312" s="95"/>
      <c r="Y312" s="59" t="str">
        <f t="shared" si="2293"/>
        <v/>
      </c>
      <c r="Z312" s="95"/>
      <c r="AA312" s="59" t="str">
        <f t="shared" si="2294"/>
        <v/>
      </c>
      <c r="AB312" s="60"/>
      <c r="AC312" s="59" t="str">
        <f t="shared" si="2295"/>
        <v/>
      </c>
      <c r="AD312" s="60"/>
      <c r="AE312" s="59" t="str">
        <f t="shared" si="2296"/>
        <v/>
      </c>
      <c r="AF312" s="95"/>
      <c r="AG312" s="59" t="str">
        <f t="shared" si="2297"/>
        <v/>
      </c>
      <c r="AH312" s="95"/>
      <c r="AI312" s="59" t="str">
        <f t="shared" si="2298"/>
        <v/>
      </c>
      <c r="AJ312" s="60"/>
      <c r="AK312" s="59" t="str">
        <f t="shared" si="2299"/>
        <v/>
      </c>
      <c r="AL312" s="60"/>
      <c r="AM312" s="59" t="str">
        <f t="shared" si="2300"/>
        <v/>
      </c>
      <c r="AN312" s="60"/>
      <c r="AO312" s="59" t="str">
        <f t="shared" si="2301"/>
        <v/>
      </c>
      <c r="AP312" s="60"/>
      <c r="AQ312" s="59" t="str">
        <f t="shared" si="2302"/>
        <v/>
      </c>
      <c r="AR312" s="60"/>
      <c r="AS312" s="59" t="str">
        <f t="shared" si="2303"/>
        <v/>
      </c>
      <c r="AT312" s="60"/>
      <c r="AU312" s="59" t="str">
        <f t="shared" si="2304"/>
        <v/>
      </c>
      <c r="AV312" s="60"/>
      <c r="AW312" s="59" t="str">
        <f t="shared" si="2305"/>
        <v/>
      </c>
      <c r="AX312" s="60"/>
      <c r="AY312" s="59" t="str">
        <f t="shared" si="2306"/>
        <v/>
      </c>
      <c r="AZ312" s="60"/>
      <c r="BA312" s="59" t="str">
        <f t="shared" si="2307"/>
        <v/>
      </c>
      <c r="BB312" s="60"/>
      <c r="BC312" s="59" t="str">
        <f t="shared" si="2308"/>
        <v/>
      </c>
      <c r="BD312" s="61">
        <f t="shared" si="2309"/>
        <v>0</v>
      </c>
      <c r="BE312" s="59">
        <f t="shared" si="2310"/>
        <v>0</v>
      </c>
      <c r="BF312" s="208">
        <f t="shared" si="2311"/>
        <v>-7</v>
      </c>
      <c r="BG312" s="205">
        <f t="shared" si="2312"/>
        <v>-8713.32</v>
      </c>
      <c r="BH312" s="184"/>
      <c r="BI312" s="209">
        <f t="shared" si="2313"/>
        <v>0</v>
      </c>
      <c r="BJ312" s="209">
        <f t="shared" si="2314"/>
        <v>0</v>
      </c>
      <c r="BK312" s="209">
        <f t="shared" si="2315"/>
        <v>0</v>
      </c>
      <c r="BL312" s="209">
        <f t="shared" si="2316"/>
        <v>0</v>
      </c>
      <c r="BM312" s="209">
        <f t="shared" si="2317"/>
        <v>0</v>
      </c>
      <c r="BN312" s="209">
        <f t="shared" si="2318"/>
        <v>0</v>
      </c>
      <c r="BO312" s="209">
        <f t="shared" si="2319"/>
        <v>0</v>
      </c>
      <c r="BP312" s="209">
        <f t="shared" si="2320"/>
        <v>0</v>
      </c>
      <c r="BQ312" s="209">
        <f t="shared" si="2321"/>
        <v>0</v>
      </c>
      <c r="BR312" s="209">
        <f t="shared" si="2322"/>
        <v>0</v>
      </c>
      <c r="BS312" s="209">
        <f t="shared" si="2323"/>
        <v>0</v>
      </c>
      <c r="BT312" s="209">
        <f t="shared" si="2324"/>
        <v>0</v>
      </c>
      <c r="BU312" s="209">
        <f t="shared" si="2325"/>
        <v>0</v>
      </c>
      <c r="BV312" s="209">
        <f t="shared" si="2326"/>
        <v>0</v>
      </c>
      <c r="BW312" s="209">
        <f t="shared" si="2327"/>
        <v>0</v>
      </c>
      <c r="BX312" s="209">
        <f t="shared" si="2328"/>
        <v>0</v>
      </c>
      <c r="BY312" s="209">
        <f t="shared" si="2329"/>
        <v>0</v>
      </c>
      <c r="BZ312" s="209">
        <f t="shared" si="2330"/>
        <v>0</v>
      </c>
      <c r="CA312" s="209">
        <f t="shared" si="2331"/>
        <v>0</v>
      </c>
      <c r="CB312" s="209">
        <f t="shared" si="2332"/>
        <v>0</v>
      </c>
      <c r="CC312" s="209">
        <f t="shared" si="2333"/>
        <v>0</v>
      </c>
      <c r="CD312" s="209">
        <f t="shared" si="2334"/>
        <v>0</v>
      </c>
      <c r="CE312" s="209">
        <f t="shared" si="2335"/>
        <v>0</v>
      </c>
      <c r="CF312" s="209">
        <f t="shared" si="2336"/>
        <v>0</v>
      </c>
    </row>
    <row r="313" spans="2:84" ht="12.75" outlineLevel="1">
      <c r="C313" s="198"/>
      <c r="G313" s="57"/>
      <c r="H313" s="28"/>
      <c r="I313" s="59" t="str">
        <f t="shared" si="2285"/>
        <v/>
      </c>
      <c r="J313" s="60"/>
      <c r="K313" s="59" t="str">
        <f t="shared" si="2286"/>
        <v/>
      </c>
      <c r="L313" s="60"/>
      <c r="M313" s="59" t="str">
        <f t="shared" si="2287"/>
        <v/>
      </c>
      <c r="N313" s="60"/>
      <c r="O313" s="59" t="str">
        <f t="shared" si="2288"/>
        <v/>
      </c>
      <c r="P313" s="60"/>
      <c r="Q313" s="59" t="str">
        <f t="shared" si="2289"/>
        <v/>
      </c>
      <c r="R313" s="60"/>
      <c r="S313" s="59" t="str">
        <f t="shared" si="2290"/>
        <v/>
      </c>
      <c r="T313" s="60"/>
      <c r="U313" s="59" t="str">
        <f t="shared" si="2291"/>
        <v/>
      </c>
      <c r="V313" s="60"/>
      <c r="W313" s="59" t="str">
        <f t="shared" si="2292"/>
        <v/>
      </c>
      <c r="X313" s="95"/>
      <c r="Y313" s="59" t="str">
        <f t="shared" si="2293"/>
        <v/>
      </c>
      <c r="Z313" s="95"/>
      <c r="AA313" s="59" t="str">
        <f t="shared" si="2294"/>
        <v/>
      </c>
      <c r="AB313" s="60"/>
      <c r="AC313" s="59" t="str">
        <f t="shared" si="2295"/>
        <v/>
      </c>
      <c r="AD313" s="60"/>
      <c r="AE313" s="59" t="str">
        <f t="shared" si="2296"/>
        <v/>
      </c>
      <c r="AF313" s="95"/>
      <c r="AG313" s="59" t="str">
        <f t="shared" si="2297"/>
        <v/>
      </c>
      <c r="AH313" s="95"/>
      <c r="AI313" s="59" t="str">
        <f t="shared" si="2298"/>
        <v/>
      </c>
      <c r="AJ313" s="60"/>
      <c r="AK313" s="59" t="str">
        <f t="shared" si="2299"/>
        <v/>
      </c>
      <c r="AL313" s="60"/>
      <c r="AM313" s="59" t="str">
        <f t="shared" si="2300"/>
        <v/>
      </c>
      <c r="AN313" s="60"/>
      <c r="AO313" s="59" t="str">
        <f t="shared" si="2301"/>
        <v/>
      </c>
      <c r="AP313" s="60"/>
      <c r="AQ313" s="59" t="str">
        <f t="shared" si="2302"/>
        <v/>
      </c>
      <c r="AR313" s="60"/>
      <c r="AS313" s="59" t="str">
        <f t="shared" si="2303"/>
        <v/>
      </c>
      <c r="AT313" s="60"/>
      <c r="AU313" s="59" t="str">
        <f t="shared" si="2304"/>
        <v/>
      </c>
      <c r="AV313" s="60"/>
      <c r="AW313" s="59" t="str">
        <f t="shared" si="2305"/>
        <v/>
      </c>
      <c r="AX313" s="60"/>
      <c r="AY313" s="59" t="str">
        <f t="shared" si="2306"/>
        <v/>
      </c>
      <c r="AZ313" s="60"/>
      <c r="BA313" s="59" t="str">
        <f t="shared" si="2307"/>
        <v/>
      </c>
      <c r="BB313" s="60"/>
      <c r="BC313" s="59" t="str">
        <f t="shared" si="2308"/>
        <v/>
      </c>
      <c r="BD313" s="61">
        <f t="shared" si="2309"/>
        <v>0</v>
      </c>
      <c r="BE313" s="59" t="str">
        <f t="shared" si="2310"/>
        <v/>
      </c>
      <c r="BF313" s="208">
        <f t="shared" si="2311"/>
        <v>0</v>
      </c>
      <c r="BG313" s="205" t="str">
        <f t="shared" si="2312"/>
        <v/>
      </c>
      <c r="BH313" s="184"/>
      <c r="BI313" s="209">
        <f t="shared" si="2313"/>
        <v>0</v>
      </c>
      <c r="BJ313" s="209">
        <f t="shared" si="2314"/>
        <v>0</v>
      </c>
      <c r="BK313" s="209">
        <f t="shared" si="2315"/>
        <v>0</v>
      </c>
      <c r="BL313" s="209">
        <f t="shared" si="2316"/>
        <v>0</v>
      </c>
      <c r="BM313" s="209">
        <f t="shared" si="2317"/>
        <v>0</v>
      </c>
      <c r="BN313" s="209">
        <f t="shared" si="2318"/>
        <v>0</v>
      </c>
      <c r="BO313" s="209">
        <f t="shared" si="2319"/>
        <v>0</v>
      </c>
      <c r="BP313" s="209">
        <f t="shared" si="2320"/>
        <v>0</v>
      </c>
      <c r="BQ313" s="209">
        <f t="shared" si="2321"/>
        <v>0</v>
      </c>
      <c r="BR313" s="209">
        <f t="shared" si="2322"/>
        <v>0</v>
      </c>
      <c r="BS313" s="209">
        <f t="shared" si="2323"/>
        <v>0</v>
      </c>
      <c r="BT313" s="209">
        <f t="shared" si="2324"/>
        <v>0</v>
      </c>
      <c r="BU313" s="209">
        <f t="shared" si="2325"/>
        <v>0</v>
      </c>
      <c r="BV313" s="209">
        <f t="shared" si="2326"/>
        <v>0</v>
      </c>
      <c r="BW313" s="209">
        <f t="shared" si="2327"/>
        <v>0</v>
      </c>
      <c r="BX313" s="209">
        <f t="shared" si="2328"/>
        <v>0</v>
      </c>
      <c r="BY313" s="209">
        <f t="shared" si="2329"/>
        <v>0</v>
      </c>
      <c r="BZ313" s="209">
        <f t="shared" si="2330"/>
        <v>0</v>
      </c>
      <c r="CA313" s="209">
        <f t="shared" si="2331"/>
        <v>0</v>
      </c>
      <c r="CB313" s="209">
        <f t="shared" si="2332"/>
        <v>0</v>
      </c>
      <c r="CC313" s="209">
        <f t="shared" si="2333"/>
        <v>0</v>
      </c>
      <c r="CD313" s="209">
        <f t="shared" si="2334"/>
        <v>0</v>
      </c>
      <c r="CE313" s="209">
        <f t="shared" si="2335"/>
        <v>0</v>
      </c>
      <c r="CF313" s="209">
        <f t="shared" si="2336"/>
        <v>0</v>
      </c>
    </row>
    <row r="314" spans="2:84" ht="45" outlineLevel="1">
      <c r="C314" s="27" t="s">
        <v>1011</v>
      </c>
      <c r="G314" s="57"/>
      <c r="H314" s="28"/>
      <c r="I314" s="59" t="str">
        <f t="shared" si="2285"/>
        <v/>
      </c>
      <c r="J314" s="60"/>
      <c r="K314" s="59" t="str">
        <f t="shared" si="2286"/>
        <v/>
      </c>
      <c r="L314" s="60"/>
      <c r="M314" s="59" t="str">
        <f t="shared" si="2287"/>
        <v/>
      </c>
      <c r="N314" s="60"/>
      <c r="O314" s="59" t="str">
        <f t="shared" si="2288"/>
        <v/>
      </c>
      <c r="P314" s="60"/>
      <c r="Q314" s="59" t="str">
        <f t="shared" si="2289"/>
        <v/>
      </c>
      <c r="R314" s="60"/>
      <c r="S314" s="59" t="str">
        <f t="shared" si="2290"/>
        <v/>
      </c>
      <c r="T314" s="60"/>
      <c r="U314" s="59" t="str">
        <f t="shared" si="2291"/>
        <v/>
      </c>
      <c r="V314" s="60"/>
      <c r="W314" s="59" t="str">
        <f t="shared" si="2292"/>
        <v/>
      </c>
      <c r="X314" s="95"/>
      <c r="Y314" s="59" t="str">
        <f t="shared" si="2293"/>
        <v/>
      </c>
      <c r="Z314" s="95"/>
      <c r="AA314" s="59" t="str">
        <f t="shared" si="2294"/>
        <v/>
      </c>
      <c r="AB314" s="60"/>
      <c r="AC314" s="59" t="str">
        <f t="shared" si="2295"/>
        <v/>
      </c>
      <c r="AD314" s="60"/>
      <c r="AE314" s="59" t="str">
        <f t="shared" si="2296"/>
        <v/>
      </c>
      <c r="AF314" s="95"/>
      <c r="AG314" s="59" t="str">
        <f t="shared" si="2297"/>
        <v/>
      </c>
      <c r="AH314" s="95"/>
      <c r="AI314" s="59" t="str">
        <f t="shared" si="2298"/>
        <v/>
      </c>
      <c r="AJ314" s="60"/>
      <c r="AK314" s="59" t="str">
        <f t="shared" si="2299"/>
        <v/>
      </c>
      <c r="AL314" s="60"/>
      <c r="AM314" s="59" t="str">
        <f t="shared" si="2300"/>
        <v/>
      </c>
      <c r="AN314" s="60"/>
      <c r="AO314" s="59" t="str">
        <f t="shared" si="2301"/>
        <v/>
      </c>
      <c r="AP314" s="60"/>
      <c r="AQ314" s="59" t="str">
        <f t="shared" si="2302"/>
        <v/>
      </c>
      <c r="AR314" s="60"/>
      <c r="AS314" s="59" t="str">
        <f t="shared" si="2303"/>
        <v/>
      </c>
      <c r="AT314" s="60"/>
      <c r="AU314" s="59" t="str">
        <f t="shared" si="2304"/>
        <v/>
      </c>
      <c r="AV314" s="60"/>
      <c r="AW314" s="59" t="str">
        <f t="shared" si="2305"/>
        <v/>
      </c>
      <c r="AX314" s="60"/>
      <c r="AY314" s="59" t="str">
        <f t="shared" si="2306"/>
        <v/>
      </c>
      <c r="AZ314" s="60"/>
      <c r="BA314" s="59" t="str">
        <f t="shared" si="2307"/>
        <v/>
      </c>
      <c r="BB314" s="60"/>
      <c r="BC314" s="59" t="str">
        <f t="shared" si="2308"/>
        <v/>
      </c>
      <c r="BD314" s="61">
        <f t="shared" si="2309"/>
        <v>0</v>
      </c>
      <c r="BE314" s="59" t="str">
        <f t="shared" si="2310"/>
        <v/>
      </c>
      <c r="BF314" s="208">
        <f t="shared" si="2311"/>
        <v>0</v>
      </c>
      <c r="BG314" s="205" t="str">
        <f t="shared" si="2312"/>
        <v/>
      </c>
      <c r="BH314" s="184"/>
      <c r="BI314" s="209">
        <f t="shared" si="2313"/>
        <v>0</v>
      </c>
      <c r="BJ314" s="209">
        <f t="shared" si="2314"/>
        <v>0</v>
      </c>
      <c r="BK314" s="209">
        <f t="shared" si="2315"/>
        <v>0</v>
      </c>
      <c r="BL314" s="209">
        <f t="shared" si="2316"/>
        <v>0</v>
      </c>
      <c r="BM314" s="209">
        <f t="shared" si="2317"/>
        <v>0</v>
      </c>
      <c r="BN314" s="209">
        <f t="shared" si="2318"/>
        <v>0</v>
      </c>
      <c r="BO314" s="209">
        <f t="shared" si="2319"/>
        <v>0</v>
      </c>
      <c r="BP314" s="209">
        <f t="shared" si="2320"/>
        <v>0</v>
      </c>
      <c r="BQ314" s="209">
        <f t="shared" si="2321"/>
        <v>0</v>
      </c>
      <c r="BR314" s="209">
        <f t="shared" si="2322"/>
        <v>0</v>
      </c>
      <c r="BS314" s="209">
        <f t="shared" si="2323"/>
        <v>0</v>
      </c>
      <c r="BT314" s="209">
        <f t="shared" si="2324"/>
        <v>0</v>
      </c>
      <c r="BU314" s="209">
        <f t="shared" si="2325"/>
        <v>0</v>
      </c>
      <c r="BV314" s="209">
        <f t="shared" si="2326"/>
        <v>0</v>
      </c>
      <c r="BW314" s="209">
        <f t="shared" si="2327"/>
        <v>0</v>
      </c>
      <c r="BX314" s="209">
        <f t="shared" si="2328"/>
        <v>0</v>
      </c>
      <c r="BY314" s="209">
        <f t="shared" si="2329"/>
        <v>0</v>
      </c>
      <c r="BZ314" s="209">
        <f t="shared" si="2330"/>
        <v>0</v>
      </c>
      <c r="CA314" s="209">
        <f t="shared" si="2331"/>
        <v>0</v>
      </c>
      <c r="CB314" s="209">
        <f t="shared" si="2332"/>
        <v>0</v>
      </c>
      <c r="CC314" s="209">
        <f t="shared" si="2333"/>
        <v>0</v>
      </c>
      <c r="CD314" s="209">
        <f t="shared" si="2334"/>
        <v>0</v>
      </c>
      <c r="CE314" s="209">
        <f t="shared" si="2335"/>
        <v>0</v>
      </c>
      <c r="CF314" s="209">
        <f t="shared" si="2336"/>
        <v>0</v>
      </c>
    </row>
    <row r="315" spans="2:84" outlineLevel="1">
      <c r="C315" s="27"/>
      <c r="G315" s="57"/>
      <c r="H315" s="28"/>
      <c r="I315" s="59" t="str">
        <f t="shared" si="2285"/>
        <v/>
      </c>
      <c r="J315" s="60"/>
      <c r="K315" s="59" t="str">
        <f t="shared" si="2286"/>
        <v/>
      </c>
      <c r="L315" s="60"/>
      <c r="M315" s="59" t="str">
        <f t="shared" si="2287"/>
        <v/>
      </c>
      <c r="N315" s="60"/>
      <c r="O315" s="59" t="str">
        <f t="shared" si="2288"/>
        <v/>
      </c>
      <c r="P315" s="60"/>
      <c r="Q315" s="59" t="str">
        <f t="shared" si="2289"/>
        <v/>
      </c>
      <c r="R315" s="60"/>
      <c r="S315" s="59" t="str">
        <f t="shared" si="2290"/>
        <v/>
      </c>
      <c r="T315" s="60"/>
      <c r="U315" s="59" t="str">
        <f t="shared" si="2291"/>
        <v/>
      </c>
      <c r="V315" s="60"/>
      <c r="W315" s="59" t="str">
        <f t="shared" si="2292"/>
        <v/>
      </c>
      <c r="X315" s="95"/>
      <c r="Y315" s="59" t="str">
        <f t="shared" si="2293"/>
        <v/>
      </c>
      <c r="Z315" s="95"/>
      <c r="AA315" s="59" t="str">
        <f t="shared" si="2294"/>
        <v/>
      </c>
      <c r="AB315" s="60"/>
      <c r="AC315" s="59" t="str">
        <f t="shared" si="2295"/>
        <v/>
      </c>
      <c r="AD315" s="60"/>
      <c r="AE315" s="59" t="str">
        <f t="shared" si="2296"/>
        <v/>
      </c>
      <c r="AF315" s="95"/>
      <c r="AG315" s="59" t="str">
        <f t="shared" si="2297"/>
        <v/>
      </c>
      <c r="AH315" s="95"/>
      <c r="AI315" s="59" t="str">
        <f t="shared" si="2298"/>
        <v/>
      </c>
      <c r="AJ315" s="60"/>
      <c r="AK315" s="59" t="str">
        <f t="shared" si="2299"/>
        <v/>
      </c>
      <c r="AL315" s="60"/>
      <c r="AM315" s="59" t="str">
        <f t="shared" si="2300"/>
        <v/>
      </c>
      <c r="AN315" s="60"/>
      <c r="AO315" s="59" t="str">
        <f t="shared" si="2301"/>
        <v/>
      </c>
      <c r="AP315" s="60"/>
      <c r="AQ315" s="59" t="str">
        <f t="shared" si="2302"/>
        <v/>
      </c>
      <c r="AR315" s="60"/>
      <c r="AS315" s="59" t="str">
        <f t="shared" si="2303"/>
        <v/>
      </c>
      <c r="AT315" s="60"/>
      <c r="AU315" s="59" t="str">
        <f t="shared" si="2304"/>
        <v/>
      </c>
      <c r="AV315" s="60"/>
      <c r="AW315" s="59" t="str">
        <f t="shared" si="2305"/>
        <v/>
      </c>
      <c r="AX315" s="60"/>
      <c r="AY315" s="59" t="str">
        <f t="shared" si="2306"/>
        <v/>
      </c>
      <c r="AZ315" s="60"/>
      <c r="BA315" s="59" t="str">
        <f t="shared" si="2307"/>
        <v/>
      </c>
      <c r="BB315" s="60"/>
      <c r="BC315" s="59" t="str">
        <f t="shared" si="2308"/>
        <v/>
      </c>
      <c r="BD315" s="61">
        <f t="shared" si="2309"/>
        <v>0</v>
      </c>
      <c r="BE315" s="59" t="str">
        <f t="shared" si="2310"/>
        <v/>
      </c>
      <c r="BF315" s="208">
        <f t="shared" si="2311"/>
        <v>0</v>
      </c>
      <c r="BG315" s="205" t="str">
        <f t="shared" si="2312"/>
        <v/>
      </c>
      <c r="BH315" s="184"/>
      <c r="BI315" s="209">
        <f t="shared" si="2313"/>
        <v>0</v>
      </c>
      <c r="BJ315" s="209">
        <f t="shared" si="2314"/>
        <v>0</v>
      </c>
      <c r="BK315" s="209">
        <f t="shared" si="2315"/>
        <v>0</v>
      </c>
      <c r="BL315" s="209">
        <f t="shared" si="2316"/>
        <v>0</v>
      </c>
      <c r="BM315" s="209">
        <f t="shared" si="2317"/>
        <v>0</v>
      </c>
      <c r="BN315" s="209">
        <f t="shared" si="2318"/>
        <v>0</v>
      </c>
      <c r="BO315" s="209">
        <f t="shared" si="2319"/>
        <v>0</v>
      </c>
      <c r="BP315" s="209">
        <f t="shared" si="2320"/>
        <v>0</v>
      </c>
      <c r="BQ315" s="209">
        <f t="shared" si="2321"/>
        <v>0</v>
      </c>
      <c r="BR315" s="209">
        <f t="shared" si="2322"/>
        <v>0</v>
      </c>
      <c r="BS315" s="209">
        <f t="shared" si="2323"/>
        <v>0</v>
      </c>
      <c r="BT315" s="209">
        <f t="shared" si="2324"/>
        <v>0</v>
      </c>
      <c r="BU315" s="209">
        <f t="shared" si="2325"/>
        <v>0</v>
      </c>
      <c r="BV315" s="209">
        <f t="shared" si="2326"/>
        <v>0</v>
      </c>
      <c r="BW315" s="209">
        <f t="shared" si="2327"/>
        <v>0</v>
      </c>
      <c r="BX315" s="209">
        <f t="shared" si="2328"/>
        <v>0</v>
      </c>
      <c r="BY315" s="209">
        <f t="shared" si="2329"/>
        <v>0</v>
      </c>
      <c r="BZ315" s="209">
        <f t="shared" si="2330"/>
        <v>0</v>
      </c>
      <c r="CA315" s="209">
        <f t="shared" si="2331"/>
        <v>0</v>
      </c>
      <c r="CB315" s="209">
        <f t="shared" si="2332"/>
        <v>0</v>
      </c>
      <c r="CC315" s="209">
        <f t="shared" si="2333"/>
        <v>0</v>
      </c>
      <c r="CD315" s="209">
        <f t="shared" si="2334"/>
        <v>0</v>
      </c>
      <c r="CE315" s="209">
        <f t="shared" si="2335"/>
        <v>0</v>
      </c>
      <c r="CF315" s="209">
        <f t="shared" si="2336"/>
        <v>0</v>
      </c>
    </row>
    <row r="316" spans="2:84" ht="45" outlineLevel="1">
      <c r="C316" s="27" t="s">
        <v>1012</v>
      </c>
      <c r="D316" s="55">
        <v>3</v>
      </c>
      <c r="E316" s="88" t="s">
        <v>828</v>
      </c>
      <c r="F316" s="56">
        <v>2096.14</v>
      </c>
      <c r="G316" s="57">
        <f t="shared" si="2284"/>
        <v>6288.42</v>
      </c>
      <c r="H316" s="28"/>
      <c r="I316" s="59" t="str">
        <f t="shared" si="2285"/>
        <v/>
      </c>
      <c r="J316" s="60"/>
      <c r="K316" s="59" t="str">
        <f t="shared" si="2286"/>
        <v/>
      </c>
      <c r="L316" s="60"/>
      <c r="M316" s="59" t="str">
        <f t="shared" si="2287"/>
        <v/>
      </c>
      <c r="N316" s="60"/>
      <c r="O316" s="59" t="str">
        <f t="shared" si="2288"/>
        <v/>
      </c>
      <c r="P316" s="60"/>
      <c r="Q316" s="59" t="str">
        <f t="shared" si="2289"/>
        <v/>
      </c>
      <c r="R316" s="60"/>
      <c r="S316" s="59" t="str">
        <f t="shared" si="2290"/>
        <v/>
      </c>
      <c r="T316" s="60"/>
      <c r="U316" s="59" t="str">
        <f t="shared" si="2291"/>
        <v/>
      </c>
      <c r="V316" s="60"/>
      <c r="W316" s="59" t="str">
        <f t="shared" si="2292"/>
        <v/>
      </c>
      <c r="X316" s="95"/>
      <c r="Y316" s="59" t="str">
        <f t="shared" si="2293"/>
        <v/>
      </c>
      <c r="Z316" s="95"/>
      <c r="AA316" s="59" t="str">
        <f t="shared" si="2294"/>
        <v/>
      </c>
      <c r="AB316" s="60"/>
      <c r="AC316" s="59" t="str">
        <f t="shared" si="2295"/>
        <v/>
      </c>
      <c r="AD316" s="60"/>
      <c r="AE316" s="59" t="str">
        <f t="shared" si="2296"/>
        <v/>
      </c>
      <c r="AF316" s="95"/>
      <c r="AG316" s="59" t="str">
        <f t="shared" si="2297"/>
        <v/>
      </c>
      <c r="AH316" s="95"/>
      <c r="AI316" s="59" t="str">
        <f t="shared" si="2298"/>
        <v/>
      </c>
      <c r="AJ316" s="60"/>
      <c r="AK316" s="59" t="str">
        <f t="shared" si="2299"/>
        <v/>
      </c>
      <c r="AL316" s="60"/>
      <c r="AM316" s="59" t="str">
        <f t="shared" si="2300"/>
        <v/>
      </c>
      <c r="AN316" s="60"/>
      <c r="AO316" s="59" t="str">
        <f t="shared" si="2301"/>
        <v/>
      </c>
      <c r="AP316" s="60"/>
      <c r="AQ316" s="59" t="str">
        <f t="shared" si="2302"/>
        <v/>
      </c>
      <c r="AR316" s="60"/>
      <c r="AS316" s="59" t="str">
        <f t="shared" si="2303"/>
        <v/>
      </c>
      <c r="AT316" s="60"/>
      <c r="AU316" s="59" t="str">
        <f t="shared" si="2304"/>
        <v/>
      </c>
      <c r="AV316" s="60"/>
      <c r="AW316" s="59" t="str">
        <f t="shared" si="2305"/>
        <v/>
      </c>
      <c r="AX316" s="60"/>
      <c r="AY316" s="59" t="str">
        <f t="shared" si="2306"/>
        <v/>
      </c>
      <c r="AZ316" s="60"/>
      <c r="BA316" s="59" t="str">
        <f t="shared" si="2307"/>
        <v/>
      </c>
      <c r="BB316" s="60"/>
      <c r="BC316" s="59" t="str">
        <f t="shared" si="2308"/>
        <v/>
      </c>
      <c r="BD316" s="61">
        <f t="shared" si="2309"/>
        <v>0</v>
      </c>
      <c r="BE316" s="59">
        <f t="shared" si="2310"/>
        <v>0</v>
      </c>
      <c r="BF316" s="208">
        <f t="shared" si="2311"/>
        <v>3</v>
      </c>
      <c r="BG316" s="205">
        <f t="shared" si="2312"/>
        <v>6288.42</v>
      </c>
      <c r="BH316" s="184"/>
      <c r="BI316" s="209">
        <f t="shared" si="2313"/>
        <v>0</v>
      </c>
      <c r="BJ316" s="209">
        <f t="shared" si="2314"/>
        <v>0</v>
      </c>
      <c r="BK316" s="209">
        <f t="shared" si="2315"/>
        <v>0</v>
      </c>
      <c r="BL316" s="209">
        <f t="shared" si="2316"/>
        <v>0</v>
      </c>
      <c r="BM316" s="209">
        <f t="shared" si="2317"/>
        <v>0</v>
      </c>
      <c r="BN316" s="209">
        <f t="shared" si="2318"/>
        <v>0</v>
      </c>
      <c r="BO316" s="209">
        <f t="shared" si="2319"/>
        <v>0</v>
      </c>
      <c r="BP316" s="209">
        <f t="shared" si="2320"/>
        <v>0</v>
      </c>
      <c r="BQ316" s="209">
        <f t="shared" si="2321"/>
        <v>0</v>
      </c>
      <c r="BR316" s="209">
        <f t="shared" si="2322"/>
        <v>0</v>
      </c>
      <c r="BS316" s="209">
        <f t="shared" si="2323"/>
        <v>0</v>
      </c>
      <c r="BT316" s="209">
        <f t="shared" si="2324"/>
        <v>0</v>
      </c>
      <c r="BU316" s="209">
        <f t="shared" si="2325"/>
        <v>0</v>
      </c>
      <c r="BV316" s="209">
        <f t="shared" si="2326"/>
        <v>0</v>
      </c>
      <c r="BW316" s="209">
        <f t="shared" si="2327"/>
        <v>0</v>
      </c>
      <c r="BX316" s="209">
        <f t="shared" si="2328"/>
        <v>0</v>
      </c>
      <c r="BY316" s="209">
        <f t="shared" si="2329"/>
        <v>0</v>
      </c>
      <c r="BZ316" s="209">
        <f t="shared" si="2330"/>
        <v>0</v>
      </c>
      <c r="CA316" s="209">
        <f t="shared" si="2331"/>
        <v>0</v>
      </c>
      <c r="CB316" s="209">
        <f t="shared" si="2332"/>
        <v>0</v>
      </c>
      <c r="CC316" s="209">
        <f t="shared" si="2333"/>
        <v>0</v>
      </c>
      <c r="CD316" s="209">
        <f t="shared" si="2334"/>
        <v>0</v>
      </c>
      <c r="CE316" s="209">
        <f t="shared" si="2335"/>
        <v>0</v>
      </c>
      <c r="CF316" s="209">
        <f t="shared" si="2336"/>
        <v>0</v>
      </c>
    </row>
    <row r="317" spans="2:84" outlineLevel="1">
      <c r="C317" s="27"/>
      <c r="G317" s="57"/>
      <c r="H317" s="28"/>
      <c r="I317" s="59" t="str">
        <f t="shared" si="2285"/>
        <v/>
      </c>
      <c r="J317" s="60"/>
      <c r="K317" s="59" t="str">
        <f t="shared" si="2286"/>
        <v/>
      </c>
      <c r="L317" s="60"/>
      <c r="M317" s="59" t="str">
        <f t="shared" si="2287"/>
        <v/>
      </c>
      <c r="N317" s="60"/>
      <c r="O317" s="59" t="str">
        <f t="shared" si="2288"/>
        <v/>
      </c>
      <c r="P317" s="60"/>
      <c r="Q317" s="59" t="str">
        <f t="shared" si="2289"/>
        <v/>
      </c>
      <c r="R317" s="60"/>
      <c r="S317" s="59" t="str">
        <f t="shared" si="2290"/>
        <v/>
      </c>
      <c r="T317" s="60"/>
      <c r="U317" s="59" t="str">
        <f t="shared" si="2291"/>
        <v/>
      </c>
      <c r="V317" s="60"/>
      <c r="W317" s="59" t="str">
        <f t="shared" si="2292"/>
        <v/>
      </c>
      <c r="X317" s="95"/>
      <c r="Y317" s="59" t="str">
        <f t="shared" si="2293"/>
        <v/>
      </c>
      <c r="Z317" s="95"/>
      <c r="AA317" s="59" t="str">
        <f t="shared" si="2294"/>
        <v/>
      </c>
      <c r="AB317" s="60"/>
      <c r="AC317" s="59" t="str">
        <f t="shared" si="2295"/>
        <v/>
      </c>
      <c r="AD317" s="60"/>
      <c r="AE317" s="59" t="str">
        <f t="shared" si="2296"/>
        <v/>
      </c>
      <c r="AF317" s="95"/>
      <c r="AG317" s="59" t="str">
        <f t="shared" si="2297"/>
        <v/>
      </c>
      <c r="AH317" s="95"/>
      <c r="AI317" s="59" t="str">
        <f t="shared" si="2298"/>
        <v/>
      </c>
      <c r="AJ317" s="60"/>
      <c r="AK317" s="59" t="str">
        <f t="shared" si="2299"/>
        <v/>
      </c>
      <c r="AL317" s="60"/>
      <c r="AM317" s="59" t="str">
        <f t="shared" si="2300"/>
        <v/>
      </c>
      <c r="AN317" s="60"/>
      <c r="AO317" s="59" t="str">
        <f t="shared" si="2301"/>
        <v/>
      </c>
      <c r="AP317" s="60"/>
      <c r="AQ317" s="59" t="str">
        <f t="shared" si="2302"/>
        <v/>
      </c>
      <c r="AR317" s="60"/>
      <c r="AS317" s="59" t="str">
        <f t="shared" si="2303"/>
        <v/>
      </c>
      <c r="AT317" s="60"/>
      <c r="AU317" s="59" t="str">
        <f t="shared" si="2304"/>
        <v/>
      </c>
      <c r="AV317" s="60"/>
      <c r="AW317" s="59" t="str">
        <f t="shared" si="2305"/>
        <v/>
      </c>
      <c r="AX317" s="60"/>
      <c r="AY317" s="59" t="str">
        <f t="shared" si="2306"/>
        <v/>
      </c>
      <c r="AZ317" s="60"/>
      <c r="BA317" s="59" t="str">
        <f t="shared" si="2307"/>
        <v/>
      </c>
      <c r="BB317" s="60"/>
      <c r="BC317" s="59" t="str">
        <f t="shared" si="2308"/>
        <v/>
      </c>
      <c r="BD317" s="61">
        <f t="shared" si="2309"/>
        <v>0</v>
      </c>
      <c r="BE317" s="59" t="str">
        <f t="shared" si="2310"/>
        <v/>
      </c>
      <c r="BF317" s="208">
        <f t="shared" si="2311"/>
        <v>0</v>
      </c>
      <c r="BG317" s="205" t="str">
        <f t="shared" si="2312"/>
        <v/>
      </c>
      <c r="BH317" s="184"/>
      <c r="BI317" s="209">
        <f t="shared" si="2313"/>
        <v>0</v>
      </c>
      <c r="BJ317" s="209">
        <f t="shared" si="2314"/>
        <v>0</v>
      </c>
      <c r="BK317" s="209">
        <f t="shared" si="2315"/>
        <v>0</v>
      </c>
      <c r="BL317" s="209">
        <f t="shared" si="2316"/>
        <v>0</v>
      </c>
      <c r="BM317" s="209">
        <f t="shared" si="2317"/>
        <v>0</v>
      </c>
      <c r="BN317" s="209">
        <f t="shared" si="2318"/>
        <v>0</v>
      </c>
      <c r="BO317" s="209">
        <f t="shared" si="2319"/>
        <v>0</v>
      </c>
      <c r="BP317" s="209">
        <f t="shared" si="2320"/>
        <v>0</v>
      </c>
      <c r="BQ317" s="209">
        <f t="shared" si="2321"/>
        <v>0</v>
      </c>
      <c r="BR317" s="209">
        <f t="shared" si="2322"/>
        <v>0</v>
      </c>
      <c r="BS317" s="209">
        <f t="shared" si="2323"/>
        <v>0</v>
      </c>
      <c r="BT317" s="209">
        <f t="shared" si="2324"/>
        <v>0</v>
      </c>
      <c r="BU317" s="209">
        <f t="shared" si="2325"/>
        <v>0</v>
      </c>
      <c r="BV317" s="209">
        <f t="shared" si="2326"/>
        <v>0</v>
      </c>
      <c r="BW317" s="209">
        <f t="shared" si="2327"/>
        <v>0</v>
      </c>
      <c r="BX317" s="209">
        <f t="shared" si="2328"/>
        <v>0</v>
      </c>
      <c r="BY317" s="209">
        <f t="shared" si="2329"/>
        <v>0</v>
      </c>
      <c r="BZ317" s="209">
        <f t="shared" si="2330"/>
        <v>0</v>
      </c>
      <c r="CA317" s="209">
        <f t="shared" si="2331"/>
        <v>0</v>
      </c>
      <c r="CB317" s="209">
        <f t="shared" si="2332"/>
        <v>0</v>
      </c>
      <c r="CC317" s="209">
        <f t="shared" si="2333"/>
        <v>0</v>
      </c>
      <c r="CD317" s="209">
        <f t="shared" si="2334"/>
        <v>0</v>
      </c>
      <c r="CE317" s="209">
        <f t="shared" si="2335"/>
        <v>0</v>
      </c>
      <c r="CF317" s="209">
        <f t="shared" si="2336"/>
        <v>0</v>
      </c>
    </row>
    <row r="318" spans="2:84" ht="33.75" outlineLevel="1">
      <c r="C318" s="27" t="s">
        <v>1013</v>
      </c>
      <c r="D318" s="55">
        <v>1</v>
      </c>
      <c r="E318" s="88" t="s">
        <v>828</v>
      </c>
      <c r="F318" s="56">
        <v>2617.4299999999998</v>
      </c>
      <c r="G318" s="57">
        <f t="shared" si="2284"/>
        <v>2617.4299999999998</v>
      </c>
      <c r="H318" s="28"/>
      <c r="I318" s="59" t="str">
        <f t="shared" si="2285"/>
        <v/>
      </c>
      <c r="J318" s="60"/>
      <c r="K318" s="59" t="str">
        <f t="shared" si="2286"/>
        <v/>
      </c>
      <c r="L318" s="60"/>
      <c r="M318" s="59" t="str">
        <f t="shared" si="2287"/>
        <v/>
      </c>
      <c r="N318" s="60"/>
      <c r="O318" s="59" t="str">
        <f t="shared" si="2288"/>
        <v/>
      </c>
      <c r="P318" s="60"/>
      <c r="Q318" s="59" t="str">
        <f t="shared" si="2289"/>
        <v/>
      </c>
      <c r="R318" s="60"/>
      <c r="S318" s="59" t="str">
        <f t="shared" si="2290"/>
        <v/>
      </c>
      <c r="T318" s="60"/>
      <c r="U318" s="59" t="str">
        <f t="shared" si="2291"/>
        <v/>
      </c>
      <c r="V318" s="60"/>
      <c r="W318" s="59" t="str">
        <f t="shared" si="2292"/>
        <v/>
      </c>
      <c r="X318" s="95"/>
      <c r="Y318" s="59" t="str">
        <f t="shared" si="2293"/>
        <v/>
      </c>
      <c r="Z318" s="95"/>
      <c r="AA318" s="59" t="str">
        <f t="shared" si="2294"/>
        <v/>
      </c>
      <c r="AB318" s="60"/>
      <c r="AC318" s="59" t="str">
        <f t="shared" si="2295"/>
        <v/>
      </c>
      <c r="AD318" s="60"/>
      <c r="AE318" s="59" t="str">
        <f t="shared" si="2296"/>
        <v/>
      </c>
      <c r="AF318" s="95"/>
      <c r="AG318" s="59" t="str">
        <f t="shared" si="2297"/>
        <v/>
      </c>
      <c r="AH318" s="95"/>
      <c r="AI318" s="59" t="str">
        <f t="shared" si="2298"/>
        <v/>
      </c>
      <c r="AJ318" s="60"/>
      <c r="AK318" s="59" t="str">
        <f t="shared" si="2299"/>
        <v/>
      </c>
      <c r="AL318" s="60"/>
      <c r="AM318" s="59" t="str">
        <f t="shared" si="2300"/>
        <v/>
      </c>
      <c r="AN318" s="60"/>
      <c r="AO318" s="59" t="str">
        <f t="shared" si="2301"/>
        <v/>
      </c>
      <c r="AP318" s="60"/>
      <c r="AQ318" s="59" t="str">
        <f t="shared" si="2302"/>
        <v/>
      </c>
      <c r="AR318" s="60"/>
      <c r="AS318" s="59" t="str">
        <f t="shared" si="2303"/>
        <v/>
      </c>
      <c r="AT318" s="60"/>
      <c r="AU318" s="59" t="str">
        <f t="shared" si="2304"/>
        <v/>
      </c>
      <c r="AV318" s="60"/>
      <c r="AW318" s="59" t="str">
        <f t="shared" si="2305"/>
        <v/>
      </c>
      <c r="AX318" s="60"/>
      <c r="AY318" s="59" t="str">
        <f t="shared" si="2306"/>
        <v/>
      </c>
      <c r="AZ318" s="60"/>
      <c r="BA318" s="59" t="str">
        <f t="shared" si="2307"/>
        <v/>
      </c>
      <c r="BB318" s="60"/>
      <c r="BC318" s="59" t="str">
        <f t="shared" si="2308"/>
        <v/>
      </c>
      <c r="BD318" s="61">
        <f t="shared" si="2309"/>
        <v>0</v>
      </c>
      <c r="BE318" s="59">
        <f t="shared" si="2310"/>
        <v>0</v>
      </c>
      <c r="BF318" s="208">
        <f t="shared" si="2311"/>
        <v>1</v>
      </c>
      <c r="BG318" s="205">
        <f t="shared" si="2312"/>
        <v>2617.4299999999998</v>
      </c>
      <c r="BH318" s="184"/>
      <c r="BI318" s="209">
        <f t="shared" si="2313"/>
        <v>0</v>
      </c>
      <c r="BJ318" s="209">
        <f t="shared" si="2314"/>
        <v>0</v>
      </c>
      <c r="BK318" s="209">
        <f t="shared" si="2315"/>
        <v>0</v>
      </c>
      <c r="BL318" s="209">
        <f t="shared" si="2316"/>
        <v>0</v>
      </c>
      <c r="BM318" s="209">
        <f t="shared" si="2317"/>
        <v>0</v>
      </c>
      <c r="BN318" s="209">
        <f t="shared" si="2318"/>
        <v>0</v>
      </c>
      <c r="BO318" s="209">
        <f t="shared" si="2319"/>
        <v>0</v>
      </c>
      <c r="BP318" s="209">
        <f t="shared" si="2320"/>
        <v>0</v>
      </c>
      <c r="BQ318" s="209">
        <f t="shared" si="2321"/>
        <v>0</v>
      </c>
      <c r="BR318" s="209">
        <f t="shared" si="2322"/>
        <v>0</v>
      </c>
      <c r="BS318" s="209">
        <f t="shared" si="2323"/>
        <v>0</v>
      </c>
      <c r="BT318" s="209">
        <f t="shared" si="2324"/>
        <v>0</v>
      </c>
      <c r="BU318" s="209">
        <f t="shared" si="2325"/>
        <v>0</v>
      </c>
      <c r="BV318" s="209">
        <f t="shared" si="2326"/>
        <v>0</v>
      </c>
      <c r="BW318" s="209">
        <f t="shared" si="2327"/>
        <v>0</v>
      </c>
      <c r="BX318" s="209">
        <f t="shared" si="2328"/>
        <v>0</v>
      </c>
      <c r="BY318" s="209">
        <f t="shared" si="2329"/>
        <v>0</v>
      </c>
      <c r="BZ318" s="209">
        <f t="shared" si="2330"/>
        <v>0</v>
      </c>
      <c r="CA318" s="209">
        <f t="shared" si="2331"/>
        <v>0</v>
      </c>
      <c r="CB318" s="209">
        <f t="shared" si="2332"/>
        <v>0</v>
      </c>
      <c r="CC318" s="209">
        <f t="shared" si="2333"/>
        <v>0</v>
      </c>
      <c r="CD318" s="209">
        <f t="shared" si="2334"/>
        <v>0</v>
      </c>
      <c r="CE318" s="209">
        <f t="shared" si="2335"/>
        <v>0</v>
      </c>
      <c r="CF318" s="209">
        <f t="shared" si="2336"/>
        <v>0</v>
      </c>
    </row>
    <row r="319" spans="2:84" outlineLevel="1">
      <c r="C319" s="27"/>
      <c r="G319" s="57"/>
      <c r="H319" s="28"/>
      <c r="I319" s="59" t="str">
        <f t="shared" si="2285"/>
        <v/>
      </c>
      <c r="J319" s="60"/>
      <c r="K319" s="59" t="str">
        <f t="shared" si="2286"/>
        <v/>
      </c>
      <c r="L319" s="60"/>
      <c r="M319" s="59" t="str">
        <f t="shared" si="2287"/>
        <v/>
      </c>
      <c r="N319" s="60"/>
      <c r="O319" s="59" t="str">
        <f t="shared" si="2288"/>
        <v/>
      </c>
      <c r="P319" s="60"/>
      <c r="Q319" s="59" t="str">
        <f t="shared" si="2289"/>
        <v/>
      </c>
      <c r="R319" s="60"/>
      <c r="S319" s="59" t="str">
        <f t="shared" si="2290"/>
        <v/>
      </c>
      <c r="T319" s="60"/>
      <c r="U319" s="59" t="str">
        <f t="shared" si="2291"/>
        <v/>
      </c>
      <c r="V319" s="60"/>
      <c r="W319" s="59" t="str">
        <f t="shared" si="2292"/>
        <v/>
      </c>
      <c r="X319" s="95"/>
      <c r="Y319" s="59" t="str">
        <f t="shared" si="2293"/>
        <v/>
      </c>
      <c r="Z319" s="95"/>
      <c r="AA319" s="59" t="str">
        <f t="shared" si="2294"/>
        <v/>
      </c>
      <c r="AB319" s="60"/>
      <c r="AC319" s="59" t="str">
        <f t="shared" si="2295"/>
        <v/>
      </c>
      <c r="AD319" s="60"/>
      <c r="AE319" s="59" t="str">
        <f t="shared" si="2296"/>
        <v/>
      </c>
      <c r="AF319" s="95"/>
      <c r="AG319" s="59" t="str">
        <f t="shared" si="2297"/>
        <v/>
      </c>
      <c r="AH319" s="95"/>
      <c r="AI319" s="59" t="str">
        <f t="shared" si="2298"/>
        <v/>
      </c>
      <c r="AJ319" s="60"/>
      <c r="AK319" s="59" t="str">
        <f t="shared" si="2299"/>
        <v/>
      </c>
      <c r="AL319" s="60"/>
      <c r="AM319" s="59" t="str">
        <f t="shared" si="2300"/>
        <v/>
      </c>
      <c r="AN319" s="60"/>
      <c r="AO319" s="59" t="str">
        <f t="shared" si="2301"/>
        <v/>
      </c>
      <c r="AP319" s="60"/>
      <c r="AQ319" s="59" t="str">
        <f t="shared" si="2302"/>
        <v/>
      </c>
      <c r="AR319" s="60"/>
      <c r="AS319" s="59" t="str">
        <f t="shared" si="2303"/>
        <v/>
      </c>
      <c r="AT319" s="60"/>
      <c r="AU319" s="59" t="str">
        <f t="shared" si="2304"/>
        <v/>
      </c>
      <c r="AV319" s="60"/>
      <c r="AW319" s="59" t="str">
        <f t="shared" si="2305"/>
        <v/>
      </c>
      <c r="AX319" s="60"/>
      <c r="AY319" s="59" t="str">
        <f t="shared" si="2306"/>
        <v/>
      </c>
      <c r="AZ319" s="60"/>
      <c r="BA319" s="59" t="str">
        <f t="shared" si="2307"/>
        <v/>
      </c>
      <c r="BB319" s="60"/>
      <c r="BC319" s="59" t="str">
        <f t="shared" si="2308"/>
        <v/>
      </c>
      <c r="BD319" s="61">
        <f t="shared" si="2309"/>
        <v>0</v>
      </c>
      <c r="BE319" s="59" t="str">
        <f t="shared" si="2310"/>
        <v/>
      </c>
      <c r="BF319" s="208">
        <f t="shared" si="2311"/>
        <v>0</v>
      </c>
      <c r="BG319" s="205" t="str">
        <f t="shared" si="2312"/>
        <v/>
      </c>
      <c r="BH319" s="184"/>
      <c r="BI319" s="209">
        <f t="shared" si="2313"/>
        <v>0</v>
      </c>
      <c r="BJ319" s="209">
        <f t="shared" si="2314"/>
        <v>0</v>
      </c>
      <c r="BK319" s="209">
        <f t="shared" si="2315"/>
        <v>0</v>
      </c>
      <c r="BL319" s="209">
        <f t="shared" si="2316"/>
        <v>0</v>
      </c>
      <c r="BM319" s="209">
        <f t="shared" si="2317"/>
        <v>0</v>
      </c>
      <c r="BN319" s="209">
        <f t="shared" si="2318"/>
        <v>0</v>
      </c>
      <c r="BO319" s="209">
        <f t="shared" si="2319"/>
        <v>0</v>
      </c>
      <c r="BP319" s="209">
        <f t="shared" si="2320"/>
        <v>0</v>
      </c>
      <c r="BQ319" s="209">
        <f t="shared" si="2321"/>
        <v>0</v>
      </c>
      <c r="BR319" s="209">
        <f t="shared" si="2322"/>
        <v>0</v>
      </c>
      <c r="BS319" s="209">
        <f t="shared" si="2323"/>
        <v>0</v>
      </c>
      <c r="BT319" s="209">
        <f t="shared" si="2324"/>
        <v>0</v>
      </c>
      <c r="BU319" s="209">
        <f t="shared" si="2325"/>
        <v>0</v>
      </c>
      <c r="BV319" s="209">
        <f t="shared" si="2326"/>
        <v>0</v>
      </c>
      <c r="BW319" s="209">
        <f t="shared" si="2327"/>
        <v>0</v>
      </c>
      <c r="BX319" s="209">
        <f t="shared" si="2328"/>
        <v>0</v>
      </c>
      <c r="BY319" s="209">
        <f t="shared" si="2329"/>
        <v>0</v>
      </c>
      <c r="BZ319" s="209">
        <f t="shared" si="2330"/>
        <v>0</v>
      </c>
      <c r="CA319" s="209">
        <f t="shared" si="2331"/>
        <v>0</v>
      </c>
      <c r="CB319" s="209">
        <f t="shared" si="2332"/>
        <v>0</v>
      </c>
      <c r="CC319" s="209">
        <f t="shared" si="2333"/>
        <v>0</v>
      </c>
      <c r="CD319" s="209">
        <f t="shared" si="2334"/>
        <v>0</v>
      </c>
      <c r="CE319" s="209">
        <f t="shared" si="2335"/>
        <v>0</v>
      </c>
      <c r="CF319" s="209">
        <f t="shared" si="2336"/>
        <v>0</v>
      </c>
    </row>
    <row r="320" spans="2:84" ht="45" outlineLevel="1">
      <c r="C320" s="27" t="s">
        <v>1014</v>
      </c>
      <c r="D320" s="55">
        <v>4</v>
      </c>
      <c r="E320" s="88" t="s">
        <v>828</v>
      </c>
      <c r="F320" s="56">
        <v>2096.14</v>
      </c>
      <c r="G320" s="57">
        <f t="shared" si="2284"/>
        <v>8384.56</v>
      </c>
      <c r="H320" s="28"/>
      <c r="I320" s="59" t="str">
        <f t="shared" si="2285"/>
        <v/>
      </c>
      <c r="J320" s="60"/>
      <c r="K320" s="59" t="str">
        <f t="shared" si="2286"/>
        <v/>
      </c>
      <c r="L320" s="60"/>
      <c r="M320" s="59" t="str">
        <f t="shared" si="2287"/>
        <v/>
      </c>
      <c r="N320" s="60"/>
      <c r="O320" s="59" t="str">
        <f t="shared" si="2288"/>
        <v/>
      </c>
      <c r="P320" s="60"/>
      <c r="Q320" s="59" t="str">
        <f t="shared" si="2289"/>
        <v/>
      </c>
      <c r="R320" s="60"/>
      <c r="S320" s="59" t="str">
        <f t="shared" si="2290"/>
        <v/>
      </c>
      <c r="T320" s="60"/>
      <c r="U320" s="59" t="str">
        <f t="shared" si="2291"/>
        <v/>
      </c>
      <c r="V320" s="60"/>
      <c r="W320" s="59" t="str">
        <f t="shared" si="2292"/>
        <v/>
      </c>
      <c r="X320" s="95"/>
      <c r="Y320" s="59" t="str">
        <f t="shared" si="2293"/>
        <v/>
      </c>
      <c r="Z320" s="95"/>
      <c r="AA320" s="59" t="str">
        <f t="shared" si="2294"/>
        <v/>
      </c>
      <c r="AB320" s="60"/>
      <c r="AC320" s="59" t="str">
        <f t="shared" si="2295"/>
        <v/>
      </c>
      <c r="AD320" s="60"/>
      <c r="AE320" s="59" t="str">
        <f t="shared" si="2296"/>
        <v/>
      </c>
      <c r="AF320" s="95"/>
      <c r="AG320" s="59" t="str">
        <f t="shared" si="2297"/>
        <v/>
      </c>
      <c r="AH320" s="95"/>
      <c r="AI320" s="59" t="str">
        <f t="shared" si="2298"/>
        <v/>
      </c>
      <c r="AJ320" s="60"/>
      <c r="AK320" s="59" t="str">
        <f t="shared" si="2299"/>
        <v/>
      </c>
      <c r="AL320" s="60"/>
      <c r="AM320" s="59" t="str">
        <f t="shared" si="2300"/>
        <v/>
      </c>
      <c r="AN320" s="60"/>
      <c r="AO320" s="59" t="str">
        <f t="shared" si="2301"/>
        <v/>
      </c>
      <c r="AP320" s="60"/>
      <c r="AQ320" s="59" t="str">
        <f t="shared" si="2302"/>
        <v/>
      </c>
      <c r="AR320" s="60"/>
      <c r="AS320" s="59" t="str">
        <f t="shared" si="2303"/>
        <v/>
      </c>
      <c r="AT320" s="60"/>
      <c r="AU320" s="59" t="str">
        <f t="shared" si="2304"/>
        <v/>
      </c>
      <c r="AV320" s="60"/>
      <c r="AW320" s="59" t="str">
        <f t="shared" si="2305"/>
        <v/>
      </c>
      <c r="AX320" s="60"/>
      <c r="AY320" s="59" t="str">
        <f t="shared" si="2306"/>
        <v/>
      </c>
      <c r="AZ320" s="60"/>
      <c r="BA320" s="59" t="str">
        <f t="shared" si="2307"/>
        <v/>
      </c>
      <c r="BB320" s="60"/>
      <c r="BC320" s="59" t="str">
        <f t="shared" si="2308"/>
        <v/>
      </c>
      <c r="BD320" s="61">
        <f t="shared" si="2309"/>
        <v>0</v>
      </c>
      <c r="BE320" s="59">
        <f t="shared" si="2310"/>
        <v>0</v>
      </c>
      <c r="BF320" s="208">
        <f t="shared" si="2311"/>
        <v>4</v>
      </c>
      <c r="BG320" s="205">
        <f t="shared" si="2312"/>
        <v>8384.56</v>
      </c>
      <c r="BH320" s="184"/>
      <c r="BI320" s="209">
        <f t="shared" si="2313"/>
        <v>0</v>
      </c>
      <c r="BJ320" s="209">
        <f t="shared" si="2314"/>
        <v>0</v>
      </c>
      <c r="BK320" s="209">
        <f t="shared" si="2315"/>
        <v>0</v>
      </c>
      <c r="BL320" s="209">
        <f t="shared" si="2316"/>
        <v>0</v>
      </c>
      <c r="BM320" s="209">
        <f t="shared" si="2317"/>
        <v>0</v>
      </c>
      <c r="BN320" s="209">
        <f t="shared" si="2318"/>
        <v>0</v>
      </c>
      <c r="BO320" s="209">
        <f t="shared" si="2319"/>
        <v>0</v>
      </c>
      <c r="BP320" s="209">
        <f t="shared" si="2320"/>
        <v>0</v>
      </c>
      <c r="BQ320" s="209">
        <f t="shared" si="2321"/>
        <v>0</v>
      </c>
      <c r="BR320" s="209">
        <f t="shared" si="2322"/>
        <v>0</v>
      </c>
      <c r="BS320" s="209">
        <f t="shared" si="2323"/>
        <v>0</v>
      </c>
      <c r="BT320" s="209">
        <f t="shared" si="2324"/>
        <v>0</v>
      </c>
      <c r="BU320" s="209">
        <f t="shared" si="2325"/>
        <v>0</v>
      </c>
      <c r="BV320" s="209">
        <f t="shared" si="2326"/>
        <v>0</v>
      </c>
      <c r="BW320" s="209">
        <f t="shared" si="2327"/>
        <v>0</v>
      </c>
      <c r="BX320" s="209">
        <f t="shared" si="2328"/>
        <v>0</v>
      </c>
      <c r="BY320" s="209">
        <f t="shared" si="2329"/>
        <v>0</v>
      </c>
      <c r="BZ320" s="209">
        <f t="shared" si="2330"/>
        <v>0</v>
      </c>
      <c r="CA320" s="209">
        <f t="shared" si="2331"/>
        <v>0</v>
      </c>
      <c r="CB320" s="209">
        <f t="shared" si="2332"/>
        <v>0</v>
      </c>
      <c r="CC320" s="209">
        <f t="shared" si="2333"/>
        <v>0</v>
      </c>
      <c r="CD320" s="209">
        <f t="shared" si="2334"/>
        <v>0</v>
      </c>
      <c r="CE320" s="209">
        <f t="shared" si="2335"/>
        <v>0</v>
      </c>
      <c r="CF320" s="209">
        <f t="shared" si="2336"/>
        <v>0</v>
      </c>
    </row>
    <row r="321" spans="2:84" outlineLevel="1">
      <c r="C321" s="27"/>
      <c r="G321" s="57"/>
      <c r="H321" s="28"/>
      <c r="I321" s="59" t="str">
        <f t="shared" si="2285"/>
        <v/>
      </c>
      <c r="J321" s="60"/>
      <c r="K321" s="59" t="str">
        <f t="shared" si="2286"/>
        <v/>
      </c>
      <c r="L321" s="60"/>
      <c r="M321" s="59" t="str">
        <f t="shared" si="2287"/>
        <v/>
      </c>
      <c r="N321" s="60"/>
      <c r="O321" s="59" t="str">
        <f t="shared" si="2288"/>
        <v/>
      </c>
      <c r="P321" s="60"/>
      <c r="Q321" s="59" t="str">
        <f t="shared" si="2289"/>
        <v/>
      </c>
      <c r="R321" s="60"/>
      <c r="S321" s="59" t="str">
        <f t="shared" si="2290"/>
        <v/>
      </c>
      <c r="T321" s="60"/>
      <c r="U321" s="59" t="str">
        <f t="shared" si="2291"/>
        <v/>
      </c>
      <c r="V321" s="60"/>
      <c r="W321" s="59" t="str">
        <f t="shared" si="2292"/>
        <v/>
      </c>
      <c r="X321" s="95"/>
      <c r="Y321" s="59" t="str">
        <f t="shared" si="2293"/>
        <v/>
      </c>
      <c r="Z321" s="95"/>
      <c r="AA321" s="59" t="str">
        <f t="shared" si="2294"/>
        <v/>
      </c>
      <c r="AB321" s="60"/>
      <c r="AC321" s="59" t="str">
        <f t="shared" si="2295"/>
        <v/>
      </c>
      <c r="AD321" s="60"/>
      <c r="AE321" s="59" t="str">
        <f t="shared" si="2296"/>
        <v/>
      </c>
      <c r="AF321" s="95"/>
      <c r="AG321" s="59" t="str">
        <f t="shared" si="2297"/>
        <v/>
      </c>
      <c r="AH321" s="95"/>
      <c r="AI321" s="59" t="str">
        <f t="shared" si="2298"/>
        <v/>
      </c>
      <c r="AJ321" s="60"/>
      <c r="AK321" s="59" t="str">
        <f t="shared" si="2299"/>
        <v/>
      </c>
      <c r="AL321" s="60"/>
      <c r="AM321" s="59" t="str">
        <f t="shared" si="2300"/>
        <v/>
      </c>
      <c r="AN321" s="60"/>
      <c r="AO321" s="59" t="str">
        <f t="shared" si="2301"/>
        <v/>
      </c>
      <c r="AP321" s="60"/>
      <c r="AQ321" s="59" t="str">
        <f t="shared" si="2302"/>
        <v/>
      </c>
      <c r="AR321" s="60"/>
      <c r="AS321" s="59" t="str">
        <f t="shared" si="2303"/>
        <v/>
      </c>
      <c r="AT321" s="60"/>
      <c r="AU321" s="59" t="str">
        <f t="shared" si="2304"/>
        <v/>
      </c>
      <c r="AV321" s="60"/>
      <c r="AW321" s="59" t="str">
        <f t="shared" si="2305"/>
        <v/>
      </c>
      <c r="AX321" s="60"/>
      <c r="AY321" s="59" t="str">
        <f t="shared" si="2306"/>
        <v/>
      </c>
      <c r="AZ321" s="60"/>
      <c r="BA321" s="59" t="str">
        <f t="shared" si="2307"/>
        <v/>
      </c>
      <c r="BB321" s="60"/>
      <c r="BC321" s="59" t="str">
        <f t="shared" si="2308"/>
        <v/>
      </c>
      <c r="BD321" s="61">
        <f t="shared" si="2309"/>
        <v>0</v>
      </c>
      <c r="BE321" s="59" t="str">
        <f t="shared" si="2310"/>
        <v/>
      </c>
      <c r="BF321" s="208">
        <f t="shared" si="2311"/>
        <v>0</v>
      </c>
      <c r="BG321" s="205" t="str">
        <f t="shared" si="2312"/>
        <v/>
      </c>
      <c r="BH321" s="184"/>
      <c r="BI321" s="209">
        <f t="shared" si="2313"/>
        <v>0</v>
      </c>
      <c r="BJ321" s="209">
        <f t="shared" si="2314"/>
        <v>0</v>
      </c>
      <c r="BK321" s="209">
        <f t="shared" si="2315"/>
        <v>0</v>
      </c>
      <c r="BL321" s="209">
        <f t="shared" si="2316"/>
        <v>0</v>
      </c>
      <c r="BM321" s="209">
        <f t="shared" si="2317"/>
        <v>0</v>
      </c>
      <c r="BN321" s="209">
        <f t="shared" si="2318"/>
        <v>0</v>
      </c>
      <c r="BO321" s="209">
        <f t="shared" si="2319"/>
        <v>0</v>
      </c>
      <c r="BP321" s="209">
        <f t="shared" si="2320"/>
        <v>0</v>
      </c>
      <c r="BQ321" s="209">
        <f t="shared" si="2321"/>
        <v>0</v>
      </c>
      <c r="BR321" s="209">
        <f t="shared" si="2322"/>
        <v>0</v>
      </c>
      <c r="BS321" s="209">
        <f t="shared" si="2323"/>
        <v>0</v>
      </c>
      <c r="BT321" s="209">
        <f t="shared" si="2324"/>
        <v>0</v>
      </c>
      <c r="BU321" s="209">
        <f t="shared" si="2325"/>
        <v>0</v>
      </c>
      <c r="BV321" s="209">
        <f t="shared" si="2326"/>
        <v>0</v>
      </c>
      <c r="BW321" s="209">
        <f t="shared" si="2327"/>
        <v>0</v>
      </c>
      <c r="BX321" s="209">
        <f t="shared" si="2328"/>
        <v>0</v>
      </c>
      <c r="BY321" s="209">
        <f t="shared" si="2329"/>
        <v>0</v>
      </c>
      <c r="BZ321" s="209">
        <f t="shared" si="2330"/>
        <v>0</v>
      </c>
      <c r="CA321" s="209">
        <f t="shared" si="2331"/>
        <v>0</v>
      </c>
      <c r="CB321" s="209">
        <f t="shared" si="2332"/>
        <v>0</v>
      </c>
      <c r="CC321" s="209">
        <f t="shared" si="2333"/>
        <v>0</v>
      </c>
      <c r="CD321" s="209">
        <f t="shared" si="2334"/>
        <v>0</v>
      </c>
      <c r="CE321" s="209">
        <f t="shared" si="2335"/>
        <v>0</v>
      </c>
      <c r="CF321" s="209">
        <f t="shared" si="2336"/>
        <v>0</v>
      </c>
    </row>
    <row r="322" spans="2:84" ht="45" outlineLevel="1">
      <c r="C322" s="27" t="s">
        <v>1015</v>
      </c>
      <c r="D322" s="55">
        <v>7</v>
      </c>
      <c r="E322" s="88" t="s">
        <v>828</v>
      </c>
      <c r="F322" s="56">
        <v>2143.69</v>
      </c>
      <c r="G322" s="57">
        <f t="shared" si="2284"/>
        <v>15005.83</v>
      </c>
      <c r="H322" s="28"/>
      <c r="I322" s="59" t="str">
        <f t="shared" si="2285"/>
        <v/>
      </c>
      <c r="J322" s="60"/>
      <c r="K322" s="59" t="str">
        <f t="shared" si="2286"/>
        <v/>
      </c>
      <c r="L322" s="60"/>
      <c r="M322" s="59" t="str">
        <f t="shared" si="2287"/>
        <v/>
      </c>
      <c r="N322" s="60"/>
      <c r="O322" s="59" t="str">
        <f t="shared" si="2288"/>
        <v/>
      </c>
      <c r="P322" s="60"/>
      <c r="Q322" s="59" t="str">
        <f t="shared" si="2289"/>
        <v/>
      </c>
      <c r="R322" s="60"/>
      <c r="S322" s="59" t="str">
        <f t="shared" si="2290"/>
        <v/>
      </c>
      <c r="T322" s="60"/>
      <c r="U322" s="59" t="str">
        <f t="shared" si="2291"/>
        <v/>
      </c>
      <c r="V322" s="60"/>
      <c r="W322" s="59" t="str">
        <f t="shared" si="2292"/>
        <v/>
      </c>
      <c r="X322" s="95"/>
      <c r="Y322" s="59" t="str">
        <f t="shared" si="2293"/>
        <v/>
      </c>
      <c r="Z322" s="95"/>
      <c r="AA322" s="59" t="str">
        <f t="shared" si="2294"/>
        <v/>
      </c>
      <c r="AB322" s="60"/>
      <c r="AC322" s="59" t="str">
        <f t="shared" si="2295"/>
        <v/>
      </c>
      <c r="AD322" s="60"/>
      <c r="AE322" s="59" t="str">
        <f t="shared" si="2296"/>
        <v/>
      </c>
      <c r="AF322" s="95"/>
      <c r="AG322" s="59" t="str">
        <f t="shared" si="2297"/>
        <v/>
      </c>
      <c r="AH322" s="95"/>
      <c r="AI322" s="59" t="str">
        <f t="shared" si="2298"/>
        <v/>
      </c>
      <c r="AJ322" s="60"/>
      <c r="AK322" s="59" t="str">
        <f t="shared" si="2299"/>
        <v/>
      </c>
      <c r="AL322" s="60"/>
      <c r="AM322" s="59" t="str">
        <f t="shared" si="2300"/>
        <v/>
      </c>
      <c r="AN322" s="60"/>
      <c r="AO322" s="59" t="str">
        <f t="shared" si="2301"/>
        <v/>
      </c>
      <c r="AP322" s="60"/>
      <c r="AQ322" s="59" t="str">
        <f t="shared" si="2302"/>
        <v/>
      </c>
      <c r="AR322" s="60"/>
      <c r="AS322" s="59" t="str">
        <f t="shared" si="2303"/>
        <v/>
      </c>
      <c r="AT322" s="60"/>
      <c r="AU322" s="59" t="str">
        <f t="shared" si="2304"/>
        <v/>
      </c>
      <c r="AV322" s="60"/>
      <c r="AW322" s="59" t="str">
        <f t="shared" si="2305"/>
        <v/>
      </c>
      <c r="AX322" s="60"/>
      <c r="AY322" s="59" t="str">
        <f t="shared" si="2306"/>
        <v/>
      </c>
      <c r="AZ322" s="60"/>
      <c r="BA322" s="59" t="str">
        <f t="shared" si="2307"/>
        <v/>
      </c>
      <c r="BB322" s="60"/>
      <c r="BC322" s="59" t="str">
        <f t="shared" si="2308"/>
        <v/>
      </c>
      <c r="BD322" s="61">
        <f t="shared" si="2309"/>
        <v>0</v>
      </c>
      <c r="BE322" s="59">
        <f t="shared" si="2310"/>
        <v>0</v>
      </c>
      <c r="BF322" s="208">
        <f t="shared" si="2311"/>
        <v>7</v>
      </c>
      <c r="BG322" s="205">
        <f t="shared" si="2312"/>
        <v>15005.83</v>
      </c>
      <c r="BH322" s="184"/>
      <c r="BI322" s="209">
        <f t="shared" si="2313"/>
        <v>0</v>
      </c>
      <c r="BJ322" s="209">
        <f t="shared" si="2314"/>
        <v>0</v>
      </c>
      <c r="BK322" s="209">
        <f t="shared" si="2315"/>
        <v>0</v>
      </c>
      <c r="BL322" s="209">
        <f t="shared" si="2316"/>
        <v>0</v>
      </c>
      <c r="BM322" s="209">
        <f t="shared" si="2317"/>
        <v>0</v>
      </c>
      <c r="BN322" s="209">
        <f t="shared" si="2318"/>
        <v>0</v>
      </c>
      <c r="BO322" s="209">
        <f t="shared" si="2319"/>
        <v>0</v>
      </c>
      <c r="BP322" s="209">
        <f t="shared" si="2320"/>
        <v>0</v>
      </c>
      <c r="BQ322" s="209">
        <f t="shared" si="2321"/>
        <v>0</v>
      </c>
      <c r="BR322" s="209">
        <f t="shared" si="2322"/>
        <v>0</v>
      </c>
      <c r="BS322" s="209">
        <f t="shared" si="2323"/>
        <v>0</v>
      </c>
      <c r="BT322" s="209">
        <f t="shared" si="2324"/>
        <v>0</v>
      </c>
      <c r="BU322" s="209">
        <f t="shared" si="2325"/>
        <v>0</v>
      </c>
      <c r="BV322" s="209">
        <f t="shared" si="2326"/>
        <v>0</v>
      </c>
      <c r="BW322" s="209">
        <f t="shared" si="2327"/>
        <v>0</v>
      </c>
      <c r="BX322" s="209">
        <f t="shared" si="2328"/>
        <v>0</v>
      </c>
      <c r="BY322" s="209">
        <f t="shared" si="2329"/>
        <v>0</v>
      </c>
      <c r="BZ322" s="209">
        <f t="shared" si="2330"/>
        <v>0</v>
      </c>
      <c r="CA322" s="209">
        <f t="shared" si="2331"/>
        <v>0</v>
      </c>
      <c r="CB322" s="209">
        <f t="shared" si="2332"/>
        <v>0</v>
      </c>
      <c r="CC322" s="209">
        <f t="shared" si="2333"/>
        <v>0</v>
      </c>
      <c r="CD322" s="209">
        <f t="shared" si="2334"/>
        <v>0</v>
      </c>
      <c r="CE322" s="209">
        <f t="shared" si="2335"/>
        <v>0</v>
      </c>
      <c r="CF322" s="209">
        <f t="shared" si="2336"/>
        <v>0</v>
      </c>
    </row>
    <row r="323" spans="2:84" outlineLevel="1">
      <c r="C323" s="27"/>
      <c r="G323" s="57"/>
      <c r="H323" s="28"/>
      <c r="I323" s="59" t="str">
        <f t="shared" si="2285"/>
        <v/>
      </c>
      <c r="J323" s="60"/>
      <c r="K323" s="59" t="str">
        <f t="shared" si="2286"/>
        <v/>
      </c>
      <c r="L323" s="60"/>
      <c r="M323" s="59" t="str">
        <f t="shared" si="2287"/>
        <v/>
      </c>
      <c r="N323" s="60"/>
      <c r="O323" s="59" t="str">
        <f t="shared" si="2288"/>
        <v/>
      </c>
      <c r="P323" s="60"/>
      <c r="Q323" s="59" t="str">
        <f t="shared" si="2289"/>
        <v/>
      </c>
      <c r="R323" s="60"/>
      <c r="S323" s="59" t="str">
        <f t="shared" si="2290"/>
        <v/>
      </c>
      <c r="T323" s="60"/>
      <c r="U323" s="59" t="str">
        <f t="shared" si="2291"/>
        <v/>
      </c>
      <c r="V323" s="60"/>
      <c r="W323" s="59" t="str">
        <f t="shared" si="2292"/>
        <v/>
      </c>
      <c r="X323" s="95"/>
      <c r="Y323" s="59" t="str">
        <f t="shared" si="2293"/>
        <v/>
      </c>
      <c r="Z323" s="95"/>
      <c r="AA323" s="59" t="str">
        <f t="shared" si="2294"/>
        <v/>
      </c>
      <c r="AB323" s="60"/>
      <c r="AC323" s="59" t="str">
        <f t="shared" si="2295"/>
        <v/>
      </c>
      <c r="AD323" s="60"/>
      <c r="AE323" s="59" t="str">
        <f t="shared" si="2296"/>
        <v/>
      </c>
      <c r="AF323" s="95"/>
      <c r="AG323" s="59" t="str">
        <f t="shared" si="2297"/>
        <v/>
      </c>
      <c r="AH323" s="95"/>
      <c r="AI323" s="59" t="str">
        <f t="shared" si="2298"/>
        <v/>
      </c>
      <c r="AJ323" s="60"/>
      <c r="AK323" s="59" t="str">
        <f t="shared" si="2299"/>
        <v/>
      </c>
      <c r="AL323" s="60"/>
      <c r="AM323" s="59" t="str">
        <f t="shared" si="2300"/>
        <v/>
      </c>
      <c r="AN323" s="60"/>
      <c r="AO323" s="59" t="str">
        <f t="shared" si="2301"/>
        <v/>
      </c>
      <c r="AP323" s="60"/>
      <c r="AQ323" s="59" t="str">
        <f t="shared" si="2302"/>
        <v/>
      </c>
      <c r="AR323" s="60"/>
      <c r="AS323" s="59" t="str">
        <f t="shared" si="2303"/>
        <v/>
      </c>
      <c r="AT323" s="60"/>
      <c r="AU323" s="59" t="str">
        <f t="shared" si="2304"/>
        <v/>
      </c>
      <c r="AV323" s="60"/>
      <c r="AW323" s="59" t="str">
        <f t="shared" si="2305"/>
        <v/>
      </c>
      <c r="AX323" s="60"/>
      <c r="AY323" s="59" t="str">
        <f t="shared" si="2306"/>
        <v/>
      </c>
      <c r="AZ323" s="60"/>
      <c r="BA323" s="59" t="str">
        <f t="shared" si="2307"/>
        <v/>
      </c>
      <c r="BB323" s="60"/>
      <c r="BC323" s="59" t="str">
        <f t="shared" si="2308"/>
        <v/>
      </c>
      <c r="BD323" s="61">
        <f t="shared" si="2309"/>
        <v>0</v>
      </c>
      <c r="BE323" s="59" t="str">
        <f t="shared" si="2310"/>
        <v/>
      </c>
      <c r="BF323" s="208">
        <f t="shared" si="2311"/>
        <v>0</v>
      </c>
      <c r="BG323" s="205" t="str">
        <f t="shared" si="2312"/>
        <v/>
      </c>
      <c r="BH323" s="184"/>
      <c r="BI323" s="209">
        <f t="shared" si="2313"/>
        <v>0</v>
      </c>
      <c r="BJ323" s="209">
        <f t="shared" si="2314"/>
        <v>0</v>
      </c>
      <c r="BK323" s="209">
        <f t="shared" si="2315"/>
        <v>0</v>
      </c>
      <c r="BL323" s="209">
        <f t="shared" si="2316"/>
        <v>0</v>
      </c>
      <c r="BM323" s="209">
        <f t="shared" si="2317"/>
        <v>0</v>
      </c>
      <c r="BN323" s="209">
        <f t="shared" si="2318"/>
        <v>0</v>
      </c>
      <c r="BO323" s="209">
        <f t="shared" si="2319"/>
        <v>0</v>
      </c>
      <c r="BP323" s="209">
        <f t="shared" si="2320"/>
        <v>0</v>
      </c>
      <c r="BQ323" s="209">
        <f t="shared" si="2321"/>
        <v>0</v>
      </c>
      <c r="BR323" s="209">
        <f t="shared" si="2322"/>
        <v>0</v>
      </c>
      <c r="BS323" s="209">
        <f t="shared" si="2323"/>
        <v>0</v>
      </c>
      <c r="BT323" s="209">
        <f t="shared" si="2324"/>
        <v>0</v>
      </c>
      <c r="BU323" s="209">
        <f t="shared" si="2325"/>
        <v>0</v>
      </c>
      <c r="BV323" s="209">
        <f t="shared" si="2326"/>
        <v>0</v>
      </c>
      <c r="BW323" s="209">
        <f t="shared" si="2327"/>
        <v>0</v>
      </c>
      <c r="BX323" s="209">
        <f t="shared" si="2328"/>
        <v>0</v>
      </c>
      <c r="BY323" s="209">
        <f t="shared" si="2329"/>
        <v>0</v>
      </c>
      <c r="BZ323" s="209">
        <f t="shared" si="2330"/>
        <v>0</v>
      </c>
      <c r="CA323" s="209">
        <f t="shared" si="2331"/>
        <v>0</v>
      </c>
      <c r="CB323" s="209">
        <f t="shared" si="2332"/>
        <v>0</v>
      </c>
      <c r="CC323" s="209">
        <f t="shared" si="2333"/>
        <v>0</v>
      </c>
      <c r="CD323" s="209">
        <f t="shared" si="2334"/>
        <v>0</v>
      </c>
      <c r="CE323" s="209">
        <f t="shared" si="2335"/>
        <v>0</v>
      </c>
      <c r="CF323" s="209">
        <f t="shared" si="2336"/>
        <v>0</v>
      </c>
    </row>
    <row r="324" spans="2:84" ht="45" outlineLevel="1">
      <c r="C324" s="27" t="s">
        <v>1016</v>
      </c>
      <c r="D324" s="55">
        <v>1</v>
      </c>
      <c r="E324" s="88" t="s">
        <v>828</v>
      </c>
      <c r="F324" s="56">
        <v>4773.92</v>
      </c>
      <c r="G324" s="57">
        <f t="shared" si="2284"/>
        <v>4773.92</v>
      </c>
      <c r="H324" s="28"/>
      <c r="I324" s="59" t="str">
        <f t="shared" si="2285"/>
        <v/>
      </c>
      <c r="J324" s="60"/>
      <c r="K324" s="59" t="str">
        <f t="shared" si="2286"/>
        <v/>
      </c>
      <c r="L324" s="60"/>
      <c r="M324" s="59" t="str">
        <f t="shared" si="2287"/>
        <v/>
      </c>
      <c r="N324" s="60"/>
      <c r="O324" s="59" t="str">
        <f t="shared" si="2288"/>
        <v/>
      </c>
      <c r="P324" s="60"/>
      <c r="Q324" s="59" t="str">
        <f t="shared" si="2289"/>
        <v/>
      </c>
      <c r="R324" s="60"/>
      <c r="S324" s="59" t="str">
        <f t="shared" si="2290"/>
        <v/>
      </c>
      <c r="T324" s="60"/>
      <c r="U324" s="59" t="str">
        <f t="shared" si="2291"/>
        <v/>
      </c>
      <c r="V324" s="60"/>
      <c r="W324" s="59" t="str">
        <f t="shared" si="2292"/>
        <v/>
      </c>
      <c r="X324" s="95"/>
      <c r="Y324" s="59" t="str">
        <f t="shared" si="2293"/>
        <v/>
      </c>
      <c r="Z324" s="95"/>
      <c r="AA324" s="59" t="str">
        <f t="shared" si="2294"/>
        <v/>
      </c>
      <c r="AB324" s="60"/>
      <c r="AC324" s="59" t="str">
        <f t="shared" si="2295"/>
        <v/>
      </c>
      <c r="AD324" s="60"/>
      <c r="AE324" s="59" t="str">
        <f t="shared" si="2296"/>
        <v/>
      </c>
      <c r="AF324" s="95"/>
      <c r="AG324" s="59" t="str">
        <f t="shared" si="2297"/>
        <v/>
      </c>
      <c r="AH324" s="95"/>
      <c r="AI324" s="59" t="str">
        <f t="shared" si="2298"/>
        <v/>
      </c>
      <c r="AJ324" s="60"/>
      <c r="AK324" s="59" t="str">
        <f t="shared" si="2299"/>
        <v/>
      </c>
      <c r="AL324" s="60"/>
      <c r="AM324" s="59" t="str">
        <f t="shared" si="2300"/>
        <v/>
      </c>
      <c r="AN324" s="60"/>
      <c r="AO324" s="59" t="str">
        <f t="shared" si="2301"/>
        <v/>
      </c>
      <c r="AP324" s="60"/>
      <c r="AQ324" s="59" t="str">
        <f t="shared" si="2302"/>
        <v/>
      </c>
      <c r="AR324" s="60"/>
      <c r="AS324" s="59" t="str">
        <f t="shared" si="2303"/>
        <v/>
      </c>
      <c r="AT324" s="60"/>
      <c r="AU324" s="59" t="str">
        <f t="shared" si="2304"/>
        <v/>
      </c>
      <c r="AV324" s="60"/>
      <c r="AW324" s="59" t="str">
        <f t="shared" si="2305"/>
        <v/>
      </c>
      <c r="AX324" s="60"/>
      <c r="AY324" s="59" t="str">
        <f t="shared" si="2306"/>
        <v/>
      </c>
      <c r="AZ324" s="60"/>
      <c r="BA324" s="59" t="str">
        <f t="shared" si="2307"/>
        <v/>
      </c>
      <c r="BB324" s="60"/>
      <c r="BC324" s="59" t="str">
        <f t="shared" si="2308"/>
        <v/>
      </c>
      <c r="BD324" s="61">
        <f t="shared" si="2309"/>
        <v>0</v>
      </c>
      <c r="BE324" s="59">
        <f t="shared" si="2310"/>
        <v>0</v>
      </c>
      <c r="BF324" s="208">
        <f t="shared" si="2311"/>
        <v>1</v>
      </c>
      <c r="BG324" s="205">
        <f t="shared" si="2312"/>
        <v>4773.92</v>
      </c>
      <c r="BH324" s="184"/>
      <c r="BI324" s="209">
        <f t="shared" si="2313"/>
        <v>0</v>
      </c>
      <c r="BJ324" s="209">
        <f t="shared" si="2314"/>
        <v>0</v>
      </c>
      <c r="BK324" s="209">
        <f t="shared" si="2315"/>
        <v>0</v>
      </c>
      <c r="BL324" s="209">
        <f t="shared" si="2316"/>
        <v>0</v>
      </c>
      <c r="BM324" s="209">
        <f t="shared" si="2317"/>
        <v>0</v>
      </c>
      <c r="BN324" s="209">
        <f t="shared" si="2318"/>
        <v>0</v>
      </c>
      <c r="BO324" s="209">
        <f t="shared" si="2319"/>
        <v>0</v>
      </c>
      <c r="BP324" s="209">
        <f t="shared" si="2320"/>
        <v>0</v>
      </c>
      <c r="BQ324" s="209">
        <f t="shared" si="2321"/>
        <v>0</v>
      </c>
      <c r="BR324" s="209">
        <f t="shared" si="2322"/>
        <v>0</v>
      </c>
      <c r="BS324" s="209">
        <f t="shared" si="2323"/>
        <v>0</v>
      </c>
      <c r="BT324" s="209">
        <f t="shared" si="2324"/>
        <v>0</v>
      </c>
      <c r="BU324" s="209">
        <f t="shared" si="2325"/>
        <v>0</v>
      </c>
      <c r="BV324" s="209">
        <f t="shared" si="2326"/>
        <v>0</v>
      </c>
      <c r="BW324" s="209">
        <f t="shared" si="2327"/>
        <v>0</v>
      </c>
      <c r="BX324" s="209">
        <f t="shared" si="2328"/>
        <v>0</v>
      </c>
      <c r="BY324" s="209">
        <f t="shared" si="2329"/>
        <v>0</v>
      </c>
      <c r="BZ324" s="209">
        <f t="shared" si="2330"/>
        <v>0</v>
      </c>
      <c r="CA324" s="209">
        <f t="shared" si="2331"/>
        <v>0</v>
      </c>
      <c r="CB324" s="209">
        <f t="shared" si="2332"/>
        <v>0</v>
      </c>
      <c r="CC324" s="209">
        <f t="shared" si="2333"/>
        <v>0</v>
      </c>
      <c r="CD324" s="209">
        <f t="shared" si="2334"/>
        <v>0</v>
      </c>
      <c r="CE324" s="209">
        <f t="shared" si="2335"/>
        <v>0</v>
      </c>
      <c r="CF324" s="209">
        <f t="shared" si="2336"/>
        <v>0</v>
      </c>
    </row>
    <row r="325" spans="2:84" outlineLevel="1">
      <c r="C325" s="27"/>
      <c r="G325" s="57"/>
      <c r="H325" s="28"/>
      <c r="I325" s="59" t="str">
        <f t="shared" si="2285"/>
        <v/>
      </c>
      <c r="J325" s="60"/>
      <c r="K325" s="59" t="str">
        <f t="shared" si="2286"/>
        <v/>
      </c>
      <c r="L325" s="60"/>
      <c r="M325" s="59" t="str">
        <f t="shared" si="2287"/>
        <v/>
      </c>
      <c r="N325" s="60"/>
      <c r="O325" s="59" t="str">
        <f t="shared" si="2288"/>
        <v/>
      </c>
      <c r="P325" s="60"/>
      <c r="Q325" s="59" t="str">
        <f t="shared" si="2289"/>
        <v/>
      </c>
      <c r="R325" s="60"/>
      <c r="S325" s="59" t="str">
        <f t="shared" si="2290"/>
        <v/>
      </c>
      <c r="T325" s="60"/>
      <c r="U325" s="59" t="str">
        <f t="shared" si="2291"/>
        <v/>
      </c>
      <c r="V325" s="60"/>
      <c r="W325" s="59" t="str">
        <f t="shared" si="2292"/>
        <v/>
      </c>
      <c r="X325" s="95"/>
      <c r="Y325" s="59" t="str">
        <f t="shared" si="2293"/>
        <v/>
      </c>
      <c r="Z325" s="95"/>
      <c r="AA325" s="59" t="str">
        <f t="shared" si="2294"/>
        <v/>
      </c>
      <c r="AB325" s="60"/>
      <c r="AC325" s="59" t="str">
        <f t="shared" si="2295"/>
        <v/>
      </c>
      <c r="AD325" s="60"/>
      <c r="AE325" s="59" t="str">
        <f t="shared" si="2296"/>
        <v/>
      </c>
      <c r="AF325" s="95"/>
      <c r="AG325" s="59" t="str">
        <f t="shared" si="2297"/>
        <v/>
      </c>
      <c r="AH325" s="95"/>
      <c r="AI325" s="59" t="str">
        <f t="shared" si="2298"/>
        <v/>
      </c>
      <c r="AJ325" s="60"/>
      <c r="AK325" s="59" t="str">
        <f t="shared" si="2299"/>
        <v/>
      </c>
      <c r="AL325" s="60"/>
      <c r="AM325" s="59" t="str">
        <f t="shared" si="2300"/>
        <v/>
      </c>
      <c r="AN325" s="60"/>
      <c r="AO325" s="59" t="str">
        <f t="shared" si="2301"/>
        <v/>
      </c>
      <c r="AP325" s="60"/>
      <c r="AQ325" s="59" t="str">
        <f t="shared" si="2302"/>
        <v/>
      </c>
      <c r="AR325" s="60"/>
      <c r="AS325" s="59" t="str">
        <f t="shared" si="2303"/>
        <v/>
      </c>
      <c r="AT325" s="60"/>
      <c r="AU325" s="59" t="str">
        <f t="shared" si="2304"/>
        <v/>
      </c>
      <c r="AV325" s="60"/>
      <c r="AW325" s="59" t="str">
        <f t="shared" si="2305"/>
        <v/>
      </c>
      <c r="AX325" s="60"/>
      <c r="AY325" s="59" t="str">
        <f t="shared" si="2306"/>
        <v/>
      </c>
      <c r="AZ325" s="60"/>
      <c r="BA325" s="59" t="str">
        <f t="shared" si="2307"/>
        <v/>
      </c>
      <c r="BB325" s="60"/>
      <c r="BC325" s="59" t="str">
        <f t="shared" si="2308"/>
        <v/>
      </c>
      <c r="BD325" s="61">
        <f t="shared" si="2309"/>
        <v>0</v>
      </c>
      <c r="BE325" s="59" t="str">
        <f t="shared" si="2310"/>
        <v/>
      </c>
      <c r="BF325" s="208">
        <f t="shared" si="2311"/>
        <v>0</v>
      </c>
      <c r="BG325" s="205" t="str">
        <f t="shared" si="2312"/>
        <v/>
      </c>
      <c r="BH325" s="184"/>
      <c r="BI325" s="209">
        <f t="shared" si="2313"/>
        <v>0</v>
      </c>
      <c r="BJ325" s="209">
        <f t="shared" si="2314"/>
        <v>0</v>
      </c>
      <c r="BK325" s="209">
        <f t="shared" si="2315"/>
        <v>0</v>
      </c>
      <c r="BL325" s="209">
        <f t="shared" si="2316"/>
        <v>0</v>
      </c>
      <c r="BM325" s="209">
        <f t="shared" si="2317"/>
        <v>0</v>
      </c>
      <c r="BN325" s="209">
        <f t="shared" si="2318"/>
        <v>0</v>
      </c>
      <c r="BO325" s="209">
        <f t="shared" si="2319"/>
        <v>0</v>
      </c>
      <c r="BP325" s="209">
        <f t="shared" si="2320"/>
        <v>0</v>
      </c>
      <c r="BQ325" s="209">
        <f t="shared" si="2321"/>
        <v>0</v>
      </c>
      <c r="BR325" s="209">
        <f t="shared" si="2322"/>
        <v>0</v>
      </c>
      <c r="BS325" s="209">
        <f t="shared" si="2323"/>
        <v>0</v>
      </c>
      <c r="BT325" s="209">
        <f t="shared" si="2324"/>
        <v>0</v>
      </c>
      <c r="BU325" s="209">
        <f t="shared" si="2325"/>
        <v>0</v>
      </c>
      <c r="BV325" s="209">
        <f t="shared" si="2326"/>
        <v>0</v>
      </c>
      <c r="BW325" s="209">
        <f t="shared" si="2327"/>
        <v>0</v>
      </c>
      <c r="BX325" s="209">
        <f t="shared" si="2328"/>
        <v>0</v>
      </c>
      <c r="BY325" s="209">
        <f t="shared" si="2329"/>
        <v>0</v>
      </c>
      <c r="BZ325" s="209">
        <f t="shared" si="2330"/>
        <v>0</v>
      </c>
      <c r="CA325" s="209">
        <f t="shared" si="2331"/>
        <v>0</v>
      </c>
      <c r="CB325" s="209">
        <f t="shared" si="2332"/>
        <v>0</v>
      </c>
      <c r="CC325" s="209">
        <f t="shared" si="2333"/>
        <v>0</v>
      </c>
      <c r="CD325" s="209">
        <f t="shared" si="2334"/>
        <v>0</v>
      </c>
      <c r="CE325" s="209">
        <f t="shared" si="2335"/>
        <v>0</v>
      </c>
      <c r="CF325" s="209">
        <f t="shared" si="2336"/>
        <v>0</v>
      </c>
    </row>
    <row r="326" spans="2:84" ht="45" outlineLevel="1">
      <c r="C326" s="27" t="s">
        <v>1017</v>
      </c>
      <c r="D326" s="55">
        <v>1</v>
      </c>
      <c r="E326" s="88" t="s">
        <v>828</v>
      </c>
      <c r="F326" s="56">
        <v>3834.24</v>
      </c>
      <c r="G326" s="57">
        <f t="shared" si="2284"/>
        <v>3834.24</v>
      </c>
      <c r="H326" s="28"/>
      <c r="I326" s="59" t="str">
        <f t="shared" si="2285"/>
        <v/>
      </c>
      <c r="J326" s="60"/>
      <c r="K326" s="59" t="str">
        <f t="shared" si="2286"/>
        <v/>
      </c>
      <c r="L326" s="60"/>
      <c r="M326" s="59" t="str">
        <f t="shared" si="2287"/>
        <v/>
      </c>
      <c r="N326" s="60"/>
      <c r="O326" s="59" t="str">
        <f t="shared" si="2288"/>
        <v/>
      </c>
      <c r="P326" s="60"/>
      <c r="Q326" s="59" t="str">
        <f t="shared" si="2289"/>
        <v/>
      </c>
      <c r="R326" s="60"/>
      <c r="S326" s="59" t="str">
        <f t="shared" si="2290"/>
        <v/>
      </c>
      <c r="T326" s="60"/>
      <c r="U326" s="59" t="str">
        <f t="shared" si="2291"/>
        <v/>
      </c>
      <c r="V326" s="60"/>
      <c r="W326" s="59" t="str">
        <f t="shared" si="2292"/>
        <v/>
      </c>
      <c r="X326" s="95"/>
      <c r="Y326" s="59" t="str">
        <f t="shared" si="2293"/>
        <v/>
      </c>
      <c r="Z326" s="95"/>
      <c r="AA326" s="59" t="str">
        <f t="shared" si="2294"/>
        <v/>
      </c>
      <c r="AB326" s="60"/>
      <c r="AC326" s="59" t="str">
        <f t="shared" si="2295"/>
        <v/>
      </c>
      <c r="AD326" s="60"/>
      <c r="AE326" s="59" t="str">
        <f t="shared" si="2296"/>
        <v/>
      </c>
      <c r="AF326" s="95"/>
      <c r="AG326" s="59" t="str">
        <f t="shared" si="2297"/>
        <v/>
      </c>
      <c r="AH326" s="95"/>
      <c r="AI326" s="59" t="str">
        <f t="shared" si="2298"/>
        <v/>
      </c>
      <c r="AJ326" s="60"/>
      <c r="AK326" s="59" t="str">
        <f t="shared" si="2299"/>
        <v/>
      </c>
      <c r="AL326" s="60"/>
      <c r="AM326" s="59" t="str">
        <f t="shared" si="2300"/>
        <v/>
      </c>
      <c r="AN326" s="60"/>
      <c r="AO326" s="59" t="str">
        <f t="shared" si="2301"/>
        <v/>
      </c>
      <c r="AP326" s="60"/>
      <c r="AQ326" s="59" t="str">
        <f t="shared" si="2302"/>
        <v/>
      </c>
      <c r="AR326" s="60"/>
      <c r="AS326" s="59" t="str">
        <f t="shared" si="2303"/>
        <v/>
      </c>
      <c r="AT326" s="60"/>
      <c r="AU326" s="59" t="str">
        <f t="shared" si="2304"/>
        <v/>
      </c>
      <c r="AV326" s="60"/>
      <c r="AW326" s="59" t="str">
        <f t="shared" si="2305"/>
        <v/>
      </c>
      <c r="AX326" s="60"/>
      <c r="AY326" s="59" t="str">
        <f t="shared" si="2306"/>
        <v/>
      </c>
      <c r="AZ326" s="60"/>
      <c r="BA326" s="59" t="str">
        <f t="shared" si="2307"/>
        <v/>
      </c>
      <c r="BB326" s="60"/>
      <c r="BC326" s="59" t="str">
        <f t="shared" si="2308"/>
        <v/>
      </c>
      <c r="BD326" s="61">
        <f t="shared" si="2309"/>
        <v>0</v>
      </c>
      <c r="BE326" s="59">
        <f t="shared" si="2310"/>
        <v>0</v>
      </c>
      <c r="BF326" s="208">
        <f t="shared" si="2311"/>
        <v>1</v>
      </c>
      <c r="BG326" s="205">
        <f t="shared" si="2312"/>
        <v>3834.24</v>
      </c>
      <c r="BH326" s="184"/>
      <c r="BI326" s="209">
        <f t="shared" si="2313"/>
        <v>0</v>
      </c>
      <c r="BJ326" s="209">
        <f t="shared" si="2314"/>
        <v>0</v>
      </c>
      <c r="BK326" s="209">
        <f t="shared" si="2315"/>
        <v>0</v>
      </c>
      <c r="BL326" s="209">
        <f t="shared" si="2316"/>
        <v>0</v>
      </c>
      <c r="BM326" s="209">
        <f t="shared" si="2317"/>
        <v>0</v>
      </c>
      <c r="BN326" s="209">
        <f t="shared" si="2318"/>
        <v>0</v>
      </c>
      <c r="BO326" s="209">
        <f t="shared" si="2319"/>
        <v>0</v>
      </c>
      <c r="BP326" s="209">
        <f t="shared" si="2320"/>
        <v>0</v>
      </c>
      <c r="BQ326" s="209">
        <f t="shared" si="2321"/>
        <v>0</v>
      </c>
      <c r="BR326" s="209">
        <f t="shared" si="2322"/>
        <v>0</v>
      </c>
      <c r="BS326" s="209">
        <f t="shared" si="2323"/>
        <v>0</v>
      </c>
      <c r="BT326" s="209">
        <f t="shared" si="2324"/>
        <v>0</v>
      </c>
      <c r="BU326" s="209">
        <f t="shared" si="2325"/>
        <v>0</v>
      </c>
      <c r="BV326" s="209">
        <f t="shared" si="2326"/>
        <v>0</v>
      </c>
      <c r="BW326" s="209">
        <f t="shared" si="2327"/>
        <v>0</v>
      </c>
      <c r="BX326" s="209">
        <f t="shared" si="2328"/>
        <v>0</v>
      </c>
      <c r="BY326" s="209">
        <f t="shared" si="2329"/>
        <v>0</v>
      </c>
      <c r="BZ326" s="209">
        <f t="shared" si="2330"/>
        <v>0</v>
      </c>
      <c r="CA326" s="209">
        <f t="shared" si="2331"/>
        <v>0</v>
      </c>
      <c r="CB326" s="209">
        <f t="shared" si="2332"/>
        <v>0</v>
      </c>
      <c r="CC326" s="209">
        <f t="shared" si="2333"/>
        <v>0</v>
      </c>
      <c r="CD326" s="209">
        <f t="shared" si="2334"/>
        <v>0</v>
      </c>
      <c r="CE326" s="209">
        <f t="shared" si="2335"/>
        <v>0</v>
      </c>
      <c r="CF326" s="209">
        <f t="shared" si="2336"/>
        <v>0</v>
      </c>
    </row>
    <row r="327" spans="2:84">
      <c r="B327" s="12"/>
      <c r="C327" s="13"/>
      <c r="D327" s="65"/>
      <c r="E327" s="87"/>
      <c r="F327" s="66"/>
      <c r="G327" s="67"/>
      <c r="H327" s="68"/>
      <c r="I327" s="67"/>
      <c r="J327" s="65"/>
      <c r="K327" s="67"/>
      <c r="L327" s="65"/>
      <c r="M327" s="67"/>
      <c r="N327" s="65"/>
      <c r="O327" s="67"/>
      <c r="P327" s="65"/>
      <c r="Q327" s="67"/>
      <c r="R327" s="65"/>
      <c r="S327" s="67"/>
      <c r="T327" s="65"/>
      <c r="U327" s="67"/>
      <c r="V327" s="65"/>
      <c r="W327" s="67"/>
      <c r="X327" s="65"/>
      <c r="Y327" s="67"/>
      <c r="Z327" s="65"/>
      <c r="AA327" s="67"/>
      <c r="AB327" s="65"/>
      <c r="AC327" s="67"/>
      <c r="AD327" s="65"/>
      <c r="AE327" s="67"/>
      <c r="AF327" s="65"/>
      <c r="AG327" s="67"/>
      <c r="AH327" s="65"/>
      <c r="AI327" s="67"/>
      <c r="AJ327" s="65"/>
      <c r="AK327" s="67"/>
      <c r="AL327" s="65"/>
      <c r="AM327" s="67"/>
      <c r="AN327" s="65"/>
      <c r="AO327" s="67"/>
      <c r="AP327" s="65"/>
      <c r="AQ327" s="67"/>
      <c r="AR327" s="65"/>
      <c r="AS327" s="67"/>
      <c r="AT327" s="65"/>
      <c r="AU327" s="67"/>
      <c r="AV327" s="65"/>
      <c r="AW327" s="67"/>
      <c r="AX327" s="65"/>
      <c r="AY327" s="67"/>
      <c r="AZ327" s="65"/>
      <c r="BA327" s="67"/>
      <c r="BB327" s="65"/>
      <c r="BC327" s="67"/>
      <c r="BD327" s="65"/>
      <c r="BE327" s="67"/>
      <c r="BF327" s="65"/>
      <c r="BG327" s="67"/>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row>
    <row r="328" spans="2:84"/>
    <row r="329" spans="2:84"/>
    <row r="330" spans="2:84"/>
    <row r="331" spans="2:84"/>
    <row r="332" spans="2:84"/>
    <row r="333" spans="2:84"/>
    <row r="334" spans="2:84"/>
    <row r="335" spans="2:84"/>
    <row r="336" spans="2:84"/>
    <row r="337"/>
    <row r="338"/>
    <row r="339"/>
    <row r="340"/>
    <row r="341"/>
    <row r="342"/>
    <row r="343"/>
    <row r="344"/>
    <row r="345"/>
    <row r="346"/>
    <row r="347"/>
    <row r="348"/>
    <row r="349"/>
    <row r="350"/>
    <row r="351"/>
    <row r="352"/>
    <row r="353"/>
    <row r="354"/>
    <row r="355"/>
    <row r="356"/>
    <row r="357"/>
    <row r="358"/>
    <row r="359"/>
    <row r="360"/>
    <row r="361"/>
  </sheetData>
  <autoFilter ref="B1:CO361" xr:uid="{8DC0D8FF-75B1-49C8-BB06-CF43DCF709BD}"/>
  <mergeCells count="33">
    <mergeCell ref="C2:BG2"/>
    <mergeCell ref="B4:B5"/>
    <mergeCell ref="C4:C5"/>
    <mergeCell ref="F4:F5"/>
    <mergeCell ref="G4:G5"/>
    <mergeCell ref="H4:I4"/>
    <mergeCell ref="J4:K4"/>
    <mergeCell ref="L4:M4"/>
    <mergeCell ref="N4:O4"/>
    <mergeCell ref="AL4:AM4"/>
    <mergeCell ref="P4:Q4"/>
    <mergeCell ref="R4:S4"/>
    <mergeCell ref="T4:U4"/>
    <mergeCell ref="V4:W4"/>
    <mergeCell ref="X4:Y4"/>
    <mergeCell ref="BF4:BG4"/>
    <mergeCell ref="D4:E5"/>
    <mergeCell ref="AJ4:AK4"/>
    <mergeCell ref="AZ4:BA4"/>
    <mergeCell ref="BB4:BC4"/>
    <mergeCell ref="AN4:AO4"/>
    <mergeCell ref="AP4:AQ4"/>
    <mergeCell ref="AR4:AS4"/>
    <mergeCell ref="AT4:AU4"/>
    <mergeCell ref="AV4:AW4"/>
    <mergeCell ref="CG4:CH4"/>
    <mergeCell ref="BD4:BE4"/>
    <mergeCell ref="Z4:AA4"/>
    <mergeCell ref="AB4:AC4"/>
    <mergeCell ref="AD4:AE4"/>
    <mergeCell ref="AF4:AG4"/>
    <mergeCell ref="AH4:AI4"/>
    <mergeCell ref="AX4:AY4"/>
  </mergeCells>
  <printOptions horizontalCentered="1"/>
  <pageMargins left="0.11811023622047245" right="0.11811023622047245" top="0.19685039370078741" bottom="0.19685039370078741" header="0" footer="7.874015748031496E-2"/>
  <pageSetup paperSize="9" scale="87" fitToHeight="0" orientation="portrait" r:id="rId1"/>
  <headerFooter>
    <oddFooter>&amp;L&amp;"Calibri,Negrito"&amp;8LSD  |  Largo de São Domingos&amp;C&amp;"Calibri,Negrito"&amp;8&amp;D&amp;R&amp;"Calibri,Negrito"&amp;8&amp;P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vt:i4>
      </vt:variant>
      <vt:variant>
        <vt:lpstr>Intervalos com Nome</vt:lpstr>
      </vt:variant>
      <vt:variant>
        <vt:i4>4</vt:i4>
      </vt:variant>
    </vt:vector>
  </HeadingPairs>
  <TitlesOfParts>
    <vt:vector size="6" baseType="lpstr">
      <vt:lpstr>TN</vt:lpstr>
      <vt:lpstr>TCm</vt:lpstr>
      <vt:lpstr>TCm!Área_de_Impressão</vt:lpstr>
      <vt:lpstr>TN!Área_de_Impressão</vt:lpstr>
      <vt:lpstr>TCm!Títulos_de_Impressão</vt:lpstr>
      <vt:lpstr>TN!Títulos_de_Impressão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jofer</dc:creator>
  <cp:lastModifiedBy>Carlos Ferreira</cp:lastModifiedBy>
  <cp:lastPrinted>2026-05-30T14:33:23Z</cp:lastPrinted>
  <dcterms:created xsi:type="dcterms:W3CDTF">2013-03-13T20:06:37Z</dcterms:created>
  <dcterms:modified xsi:type="dcterms:W3CDTF">2026-09-19T17:31:27Z</dcterms:modified>
</cp:coreProperties>
</file>